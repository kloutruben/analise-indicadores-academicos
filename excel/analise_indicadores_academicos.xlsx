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hidePivotFieldList="1"/>
  <mc:AlternateContent xmlns:mc="http://schemas.openxmlformats.org/markup-compatibility/2006">
    <mc:Choice Requires="x15">
      <x15ac:absPath xmlns:x15ac="http://schemas.microsoft.com/office/spreadsheetml/2010/11/ac" url="/Users/kloutruben/Downloads/"/>
    </mc:Choice>
  </mc:AlternateContent>
  <xr:revisionPtr revIDLastSave="0" documentId="13_ncr:1_{80D0EE6D-37B9-E540-97FE-570A9960434D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Dados" sheetId="1" r:id="rId1"/>
    <sheet name="Indicadores" sheetId="2" r:id="rId2"/>
    <sheet name="AvalPorCurso" sheetId="3" r:id="rId3"/>
    <sheet name="AnaliseCursos" sheetId="5" r:id="rId4"/>
    <sheet name="Dashboard Excel" sheetId="6" r:id="rId5"/>
    <sheet name="AnaliseAssi" sheetId="11" r:id="rId6"/>
    <sheet name="EvolTemporal" sheetId="17" r:id="rId7"/>
    <sheet name="DashExecutivo" sheetId="18" r:id="rId8"/>
  </sheets>
  <calcPr calcId="191029"/>
  <pivotCaches>
    <pivotCache cacheId="4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8" l="1"/>
  <c r="H5" i="18"/>
  <c r="K5" i="18"/>
  <c r="E5" i="18"/>
  <c r="D17" i="17"/>
  <c r="D18" i="17"/>
  <c r="D19" i="17"/>
  <c r="D20" i="17"/>
  <c r="D21" i="17"/>
  <c r="D16" i="17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E4" i="3"/>
  <c r="C4" i="3"/>
  <c r="B4" i="3"/>
  <c r="E3" i="3"/>
  <c r="C3" i="3"/>
  <c r="B3" i="3"/>
  <c r="E2" i="3"/>
  <c r="C2" i="3"/>
  <c r="B2" i="3"/>
  <c r="B10" i="2"/>
  <c r="B9" i="2"/>
  <c r="B8" i="2"/>
  <c r="B7" i="2"/>
  <c r="B5" i="2"/>
  <c r="B4" i="2"/>
  <c r="B3" i="2"/>
  <c r="D4" i="3" l="1"/>
  <c r="D3" i="3"/>
  <c r="D2" i="3"/>
  <c r="B6" i="2"/>
</calcChain>
</file>

<file path=xl/sharedStrings.xml><?xml version="1.0" encoding="utf-8"?>
<sst xmlns="http://schemas.openxmlformats.org/spreadsheetml/2006/main" count="13033" uniqueCount="601">
  <si>
    <t>id_estudante</t>
  </si>
  <si>
    <t>ano</t>
  </si>
  <si>
    <t>semestre</t>
  </si>
  <si>
    <t>curso</t>
  </si>
  <si>
    <t>disciplina</t>
  </si>
  <si>
    <t>nota_final</t>
  </si>
  <si>
    <t>assiduidade_pct</t>
  </si>
  <si>
    <t>situacao</t>
  </si>
  <si>
    <t>E202401001</t>
  </si>
  <si>
    <t>Engenharia de Telecomunicacoes</t>
  </si>
  <si>
    <t>Redes</t>
  </si>
  <si>
    <t>Reprovado</t>
  </si>
  <si>
    <t>Matematica</t>
  </si>
  <si>
    <t>Aprovado</t>
  </si>
  <si>
    <t>Sinais</t>
  </si>
  <si>
    <t>E202401002</t>
  </si>
  <si>
    <t>E202401003</t>
  </si>
  <si>
    <t>E202401004</t>
  </si>
  <si>
    <t>E202401005</t>
  </si>
  <si>
    <t>E202401006</t>
  </si>
  <si>
    <t>E202401007</t>
  </si>
  <si>
    <t>E202401008</t>
  </si>
  <si>
    <t>E202401009</t>
  </si>
  <si>
    <t>E202401010</t>
  </si>
  <si>
    <t>E202401011</t>
  </si>
  <si>
    <t>E202401012</t>
  </si>
  <si>
    <t>E202401013</t>
  </si>
  <si>
    <t>E202401014</t>
  </si>
  <si>
    <t>E202401015</t>
  </si>
  <si>
    <t>E202401016</t>
  </si>
  <si>
    <t>E202401017</t>
  </si>
  <si>
    <t>E202401018</t>
  </si>
  <si>
    <t>E202401019</t>
  </si>
  <si>
    <t>E202401020</t>
  </si>
  <si>
    <t>E202401021</t>
  </si>
  <si>
    <t>E202401022</t>
  </si>
  <si>
    <t>E202401023</t>
  </si>
  <si>
    <t>E202401024</t>
  </si>
  <si>
    <t>E202401025</t>
  </si>
  <si>
    <t>E202401026</t>
  </si>
  <si>
    <t>E202401027</t>
  </si>
  <si>
    <t>E202401028</t>
  </si>
  <si>
    <t>E202401029</t>
  </si>
  <si>
    <t>E202401030</t>
  </si>
  <si>
    <t>E202401031</t>
  </si>
  <si>
    <t>E202401032</t>
  </si>
  <si>
    <t>E202401033</t>
  </si>
  <si>
    <t>E202401034</t>
  </si>
  <si>
    <t>E202401035</t>
  </si>
  <si>
    <t>E202401036</t>
  </si>
  <si>
    <t>E202401037</t>
  </si>
  <si>
    <t>E202401038</t>
  </si>
  <si>
    <t>E202401039</t>
  </si>
  <si>
    <t>E202401040</t>
  </si>
  <si>
    <t>E202401041</t>
  </si>
  <si>
    <t>E202401042</t>
  </si>
  <si>
    <t>E202401043</t>
  </si>
  <si>
    <t>E202401044</t>
  </si>
  <si>
    <t>E202401045</t>
  </si>
  <si>
    <t>E202401046</t>
  </si>
  <si>
    <t>E202401047</t>
  </si>
  <si>
    <t>E202401048</t>
  </si>
  <si>
    <t>E202401049</t>
  </si>
  <si>
    <t>E202401050</t>
  </si>
  <si>
    <t>E202401051</t>
  </si>
  <si>
    <t>E202401052</t>
  </si>
  <si>
    <t>E202401053</t>
  </si>
  <si>
    <t>E202401054</t>
  </si>
  <si>
    <t>E202401055</t>
  </si>
  <si>
    <t>E202401056</t>
  </si>
  <si>
    <t>E202401057</t>
  </si>
  <si>
    <t>E202401058</t>
  </si>
  <si>
    <t>E202401059</t>
  </si>
  <si>
    <t>E202401060</t>
  </si>
  <si>
    <t>E202402001</t>
  </si>
  <si>
    <t>Gestao</t>
  </si>
  <si>
    <t>Contabilidade</t>
  </si>
  <si>
    <t>Estatistica</t>
  </si>
  <si>
    <t>Marketing</t>
  </si>
  <si>
    <t>E202402002</t>
  </si>
  <si>
    <t>E202402003</t>
  </si>
  <si>
    <t>E202402004</t>
  </si>
  <si>
    <t>E202402005</t>
  </si>
  <si>
    <t>E202402006</t>
  </si>
  <si>
    <t>E202402007</t>
  </si>
  <si>
    <t>E202402008</t>
  </si>
  <si>
    <t>E202402009</t>
  </si>
  <si>
    <t>E202402010</t>
  </si>
  <si>
    <t>E202402011</t>
  </si>
  <si>
    <t>E202402012</t>
  </si>
  <si>
    <t>E202402013</t>
  </si>
  <si>
    <t>E202402014</t>
  </si>
  <si>
    <t>E202402015</t>
  </si>
  <si>
    <t>E202402016</t>
  </si>
  <si>
    <t>E202402017</t>
  </si>
  <si>
    <t>E202402018</t>
  </si>
  <si>
    <t>E202402019</t>
  </si>
  <si>
    <t>E202402020</t>
  </si>
  <si>
    <t>E202402021</t>
  </si>
  <si>
    <t>E202402022</t>
  </si>
  <si>
    <t>E202402023</t>
  </si>
  <si>
    <t>E202402024</t>
  </si>
  <si>
    <t>E202402025</t>
  </si>
  <si>
    <t>E202402026</t>
  </si>
  <si>
    <t>E202402027</t>
  </si>
  <si>
    <t>E202402028</t>
  </si>
  <si>
    <t>E202402029</t>
  </si>
  <si>
    <t>E202402030</t>
  </si>
  <si>
    <t>E202402031</t>
  </si>
  <si>
    <t>E202402032</t>
  </si>
  <si>
    <t>E202402033</t>
  </si>
  <si>
    <t>E202402034</t>
  </si>
  <si>
    <t>E202402035</t>
  </si>
  <si>
    <t>E202402036</t>
  </si>
  <si>
    <t>E202402037</t>
  </si>
  <si>
    <t>E202402038</t>
  </si>
  <si>
    <t>E202402039</t>
  </si>
  <si>
    <t>E202402040</t>
  </si>
  <si>
    <t>E202402041</t>
  </si>
  <si>
    <t>E202402042</t>
  </si>
  <si>
    <t>E202402043</t>
  </si>
  <si>
    <t>E202402044</t>
  </si>
  <si>
    <t>E202402045</t>
  </si>
  <si>
    <t>E202402046</t>
  </si>
  <si>
    <t>E202402047</t>
  </si>
  <si>
    <t>E202402048</t>
  </si>
  <si>
    <t>E202402049</t>
  </si>
  <si>
    <t>E202402050</t>
  </si>
  <si>
    <t>E202402051</t>
  </si>
  <si>
    <t>E202402052</t>
  </si>
  <si>
    <t>E202402053</t>
  </si>
  <si>
    <t>E202402054</t>
  </si>
  <si>
    <t>E202402055</t>
  </si>
  <si>
    <t>E202402056</t>
  </si>
  <si>
    <t>E202402057</t>
  </si>
  <si>
    <t>E202402058</t>
  </si>
  <si>
    <t>E202402059</t>
  </si>
  <si>
    <t>E202402060</t>
  </si>
  <si>
    <t>E202403001</t>
  </si>
  <si>
    <t>Informatica</t>
  </si>
  <si>
    <t>Programacao</t>
  </si>
  <si>
    <t>Bases de Dados</t>
  </si>
  <si>
    <t>E202403002</t>
  </si>
  <si>
    <t>E202403003</t>
  </si>
  <si>
    <t>E202403004</t>
  </si>
  <si>
    <t>E202403005</t>
  </si>
  <si>
    <t>E202403006</t>
  </si>
  <si>
    <t>E202403007</t>
  </si>
  <si>
    <t>E202403008</t>
  </si>
  <si>
    <t>E202403009</t>
  </si>
  <si>
    <t>E202403010</t>
  </si>
  <si>
    <t>E202403011</t>
  </si>
  <si>
    <t>E202403012</t>
  </si>
  <si>
    <t>E202403013</t>
  </si>
  <si>
    <t>E202403014</t>
  </si>
  <si>
    <t>E202403015</t>
  </si>
  <si>
    <t>E202403016</t>
  </si>
  <si>
    <t>E202403017</t>
  </si>
  <si>
    <t>E202403018</t>
  </si>
  <si>
    <t>E202403019</t>
  </si>
  <si>
    <t>E202403020</t>
  </si>
  <si>
    <t>E202403021</t>
  </si>
  <si>
    <t>E202403022</t>
  </si>
  <si>
    <t>E202403023</t>
  </si>
  <si>
    <t>E202403024</t>
  </si>
  <si>
    <t>E202403025</t>
  </si>
  <si>
    <t>E202403026</t>
  </si>
  <si>
    <t>E202403027</t>
  </si>
  <si>
    <t>E202403028</t>
  </si>
  <si>
    <t>E202403029</t>
  </si>
  <si>
    <t>E202403030</t>
  </si>
  <si>
    <t>E202403031</t>
  </si>
  <si>
    <t>E202403032</t>
  </si>
  <si>
    <t>E202403033</t>
  </si>
  <si>
    <t>E202403034</t>
  </si>
  <si>
    <t>E202403035</t>
  </si>
  <si>
    <t>E202403036</t>
  </si>
  <si>
    <t>E202403037</t>
  </si>
  <si>
    <t>E202403038</t>
  </si>
  <si>
    <t>E202403039</t>
  </si>
  <si>
    <t>E202403040</t>
  </si>
  <si>
    <t>E202403041</t>
  </si>
  <si>
    <t>E202403042</t>
  </si>
  <si>
    <t>E202403043</t>
  </si>
  <si>
    <t>E202403044</t>
  </si>
  <si>
    <t>E202403045</t>
  </si>
  <si>
    <t>E202403046</t>
  </si>
  <si>
    <t>E202403047</t>
  </si>
  <si>
    <t>E202403048</t>
  </si>
  <si>
    <t>E202403049</t>
  </si>
  <si>
    <t>E202403050</t>
  </si>
  <si>
    <t>E202403051</t>
  </si>
  <si>
    <t>E202403052</t>
  </si>
  <si>
    <t>E202403053</t>
  </si>
  <si>
    <t>E202403054</t>
  </si>
  <si>
    <t>E202403055</t>
  </si>
  <si>
    <t>E202403056</t>
  </si>
  <si>
    <t>E202403057</t>
  </si>
  <si>
    <t>E202403058</t>
  </si>
  <si>
    <t>E202403059</t>
  </si>
  <si>
    <t>E202403060</t>
  </si>
  <si>
    <t>E202501001</t>
  </si>
  <si>
    <t>E202501002</t>
  </si>
  <si>
    <t>E202501003</t>
  </si>
  <si>
    <t>E202501004</t>
  </si>
  <si>
    <t>E202501005</t>
  </si>
  <si>
    <t>E202501006</t>
  </si>
  <si>
    <t>E202501007</t>
  </si>
  <si>
    <t>E202501008</t>
  </si>
  <si>
    <t>E202501009</t>
  </si>
  <si>
    <t>E202501010</t>
  </si>
  <si>
    <t>E202501011</t>
  </si>
  <si>
    <t>E202501012</t>
  </si>
  <si>
    <t>E202501013</t>
  </si>
  <si>
    <t>E202501014</t>
  </si>
  <si>
    <t>E202501015</t>
  </si>
  <si>
    <t>E202501016</t>
  </si>
  <si>
    <t>E202501017</t>
  </si>
  <si>
    <t>E202501018</t>
  </si>
  <si>
    <t>E202501019</t>
  </si>
  <si>
    <t>E202501020</t>
  </si>
  <si>
    <t>E202501021</t>
  </si>
  <si>
    <t>E202501022</t>
  </si>
  <si>
    <t>E202501023</t>
  </si>
  <si>
    <t>E202501024</t>
  </si>
  <si>
    <t>E202501025</t>
  </si>
  <si>
    <t>E202501026</t>
  </si>
  <si>
    <t>E202501027</t>
  </si>
  <si>
    <t>E202501028</t>
  </si>
  <si>
    <t>E202501029</t>
  </si>
  <si>
    <t>E202501030</t>
  </si>
  <si>
    <t>E202501031</t>
  </si>
  <si>
    <t>E202501032</t>
  </si>
  <si>
    <t>E202501033</t>
  </si>
  <si>
    <t>E202501034</t>
  </si>
  <si>
    <t>E202501035</t>
  </si>
  <si>
    <t>E202501036</t>
  </si>
  <si>
    <t>E202501037</t>
  </si>
  <si>
    <t>E202501038</t>
  </si>
  <si>
    <t>E202501039</t>
  </si>
  <si>
    <t>E202501040</t>
  </si>
  <si>
    <t>E202501041</t>
  </si>
  <si>
    <t>E202501042</t>
  </si>
  <si>
    <t>E202501043</t>
  </si>
  <si>
    <t>E202501044</t>
  </si>
  <si>
    <t>E202501045</t>
  </si>
  <si>
    <t>E202501046</t>
  </si>
  <si>
    <t>E202501047</t>
  </si>
  <si>
    <t>E202501048</t>
  </si>
  <si>
    <t>E202501049</t>
  </si>
  <si>
    <t>E202501050</t>
  </si>
  <si>
    <t>E202501051</t>
  </si>
  <si>
    <t>E202501052</t>
  </si>
  <si>
    <t>E202501053</t>
  </si>
  <si>
    <t>E202501054</t>
  </si>
  <si>
    <t>E202501055</t>
  </si>
  <si>
    <t>E202501056</t>
  </si>
  <si>
    <t>E202501057</t>
  </si>
  <si>
    <t>E202501058</t>
  </si>
  <si>
    <t>E202501059</t>
  </si>
  <si>
    <t>E202501060</t>
  </si>
  <si>
    <t>E202502001</t>
  </si>
  <si>
    <t>E202502002</t>
  </si>
  <si>
    <t>E202502003</t>
  </si>
  <si>
    <t>E202502004</t>
  </si>
  <si>
    <t>E202502005</t>
  </si>
  <si>
    <t>E202502006</t>
  </si>
  <si>
    <t>E202502007</t>
  </si>
  <si>
    <t>E202502008</t>
  </si>
  <si>
    <t>E202502009</t>
  </si>
  <si>
    <t>E202502010</t>
  </si>
  <si>
    <t>E202502011</t>
  </si>
  <si>
    <t>E202502012</t>
  </si>
  <si>
    <t>E202502013</t>
  </si>
  <si>
    <t>E202502014</t>
  </si>
  <si>
    <t>E202502015</t>
  </si>
  <si>
    <t>E202502016</t>
  </si>
  <si>
    <t>E202502017</t>
  </si>
  <si>
    <t>E202502018</t>
  </si>
  <si>
    <t>E202502019</t>
  </si>
  <si>
    <t>E202502020</t>
  </si>
  <si>
    <t>E202502021</t>
  </si>
  <si>
    <t>E202502022</t>
  </si>
  <si>
    <t>E202502023</t>
  </si>
  <si>
    <t>E202502024</t>
  </si>
  <si>
    <t>E202502025</t>
  </si>
  <si>
    <t>E202502026</t>
  </si>
  <si>
    <t>E202502027</t>
  </si>
  <si>
    <t>E202502028</t>
  </si>
  <si>
    <t>E202502029</t>
  </si>
  <si>
    <t>E202502030</t>
  </si>
  <si>
    <t>E202502031</t>
  </si>
  <si>
    <t>E202502032</t>
  </si>
  <si>
    <t>E202502033</t>
  </si>
  <si>
    <t>E202502034</t>
  </si>
  <si>
    <t>E202502035</t>
  </si>
  <si>
    <t>E202502036</t>
  </si>
  <si>
    <t>E202502037</t>
  </si>
  <si>
    <t>E202502038</t>
  </si>
  <si>
    <t>E202502039</t>
  </si>
  <si>
    <t>E202502040</t>
  </si>
  <si>
    <t>E202502041</t>
  </si>
  <si>
    <t>E202502042</t>
  </si>
  <si>
    <t>E202502043</t>
  </si>
  <si>
    <t>E202502044</t>
  </si>
  <si>
    <t>E202502045</t>
  </si>
  <si>
    <t>E202502046</t>
  </si>
  <si>
    <t>E202502047</t>
  </si>
  <si>
    <t>E202502048</t>
  </si>
  <si>
    <t>E202502049</t>
  </si>
  <si>
    <t>E202502050</t>
  </si>
  <si>
    <t>E202502051</t>
  </si>
  <si>
    <t>E202502052</t>
  </si>
  <si>
    <t>E202502053</t>
  </si>
  <si>
    <t>E202502054</t>
  </si>
  <si>
    <t>E202502055</t>
  </si>
  <si>
    <t>E202502056</t>
  </si>
  <si>
    <t>E202502057</t>
  </si>
  <si>
    <t>E202502058</t>
  </si>
  <si>
    <t>E202502059</t>
  </si>
  <si>
    <t>E202502060</t>
  </si>
  <si>
    <t>E202503001</t>
  </si>
  <si>
    <t>E202503002</t>
  </si>
  <si>
    <t>E202503003</t>
  </si>
  <si>
    <t>E202503004</t>
  </si>
  <si>
    <t>E202503005</t>
  </si>
  <si>
    <t>E202503006</t>
  </si>
  <si>
    <t>E202503007</t>
  </si>
  <si>
    <t>E202503008</t>
  </si>
  <si>
    <t>E202503009</t>
  </si>
  <si>
    <t>E202503010</t>
  </si>
  <si>
    <t>E202503011</t>
  </si>
  <si>
    <t>E202503012</t>
  </si>
  <si>
    <t>E202503013</t>
  </si>
  <si>
    <t>E202503014</t>
  </si>
  <si>
    <t>E202503015</t>
  </si>
  <si>
    <t>E202503016</t>
  </si>
  <si>
    <t>E202503017</t>
  </si>
  <si>
    <t>E202503018</t>
  </si>
  <si>
    <t>E202503019</t>
  </si>
  <si>
    <t>E202503020</t>
  </si>
  <si>
    <t>E202503021</t>
  </si>
  <si>
    <t>E202503022</t>
  </si>
  <si>
    <t>E202503023</t>
  </si>
  <si>
    <t>E202503024</t>
  </si>
  <si>
    <t>E202503025</t>
  </si>
  <si>
    <t>E202503026</t>
  </si>
  <si>
    <t>E202503027</t>
  </si>
  <si>
    <t>E202503028</t>
  </si>
  <si>
    <t>E202503029</t>
  </si>
  <si>
    <t>E202503030</t>
  </si>
  <si>
    <t>E202503031</t>
  </si>
  <si>
    <t>E202503032</t>
  </si>
  <si>
    <t>E202503033</t>
  </si>
  <si>
    <t>E202503034</t>
  </si>
  <si>
    <t>E202503035</t>
  </si>
  <si>
    <t>E202503036</t>
  </si>
  <si>
    <t>E202503037</t>
  </si>
  <si>
    <t>E202503038</t>
  </si>
  <si>
    <t>E202503039</t>
  </si>
  <si>
    <t>E202503040</t>
  </si>
  <si>
    <t>E202503041</t>
  </si>
  <si>
    <t>E202503042</t>
  </si>
  <si>
    <t>E202503043</t>
  </si>
  <si>
    <t>E202503044</t>
  </si>
  <si>
    <t>E202503045</t>
  </si>
  <si>
    <t>E202503046</t>
  </si>
  <si>
    <t>E202503047</t>
  </si>
  <si>
    <t>E202503048</t>
  </si>
  <si>
    <t>E202503049</t>
  </si>
  <si>
    <t>E202503050</t>
  </si>
  <si>
    <t>E202503051</t>
  </si>
  <si>
    <t>E202503052</t>
  </si>
  <si>
    <t>E202503053</t>
  </si>
  <si>
    <t>E202503054</t>
  </si>
  <si>
    <t>E202503055</t>
  </si>
  <si>
    <t>E202503056</t>
  </si>
  <si>
    <t>E202503057</t>
  </si>
  <si>
    <t>E202503058</t>
  </si>
  <si>
    <t>E202503059</t>
  </si>
  <si>
    <t>E202503060</t>
  </si>
  <si>
    <t>E202601001</t>
  </si>
  <si>
    <t>E202601002</t>
  </si>
  <si>
    <t>E202601003</t>
  </si>
  <si>
    <t>E202601004</t>
  </si>
  <si>
    <t>E202601005</t>
  </si>
  <si>
    <t>E202601006</t>
  </si>
  <si>
    <t>E202601007</t>
  </si>
  <si>
    <t>E202601008</t>
  </si>
  <si>
    <t>E202601009</t>
  </si>
  <si>
    <t>E202601010</t>
  </si>
  <si>
    <t>E202601011</t>
  </si>
  <si>
    <t>E202601012</t>
  </si>
  <si>
    <t>E202601013</t>
  </si>
  <si>
    <t>E202601014</t>
  </si>
  <si>
    <t>E202601015</t>
  </si>
  <si>
    <t>E202601016</t>
  </si>
  <si>
    <t>E202601017</t>
  </si>
  <si>
    <t>E202601018</t>
  </si>
  <si>
    <t>E202601019</t>
  </si>
  <si>
    <t>E202601020</t>
  </si>
  <si>
    <t>E202601021</t>
  </si>
  <si>
    <t>E202601022</t>
  </si>
  <si>
    <t>E202601023</t>
  </si>
  <si>
    <t>E202601024</t>
  </si>
  <si>
    <t>E202601025</t>
  </si>
  <si>
    <t>E202601026</t>
  </si>
  <si>
    <t>E202601027</t>
  </si>
  <si>
    <t>E202601028</t>
  </si>
  <si>
    <t>E202601029</t>
  </si>
  <si>
    <t>E202601030</t>
  </si>
  <si>
    <t>E202601031</t>
  </si>
  <si>
    <t>E202601032</t>
  </si>
  <si>
    <t>E202601033</t>
  </si>
  <si>
    <t>E202601034</t>
  </si>
  <si>
    <t>E202601035</t>
  </si>
  <si>
    <t>E202601036</t>
  </si>
  <si>
    <t>E202601037</t>
  </si>
  <si>
    <t>E202601038</t>
  </si>
  <si>
    <t>E202601039</t>
  </si>
  <si>
    <t>E202601040</t>
  </si>
  <si>
    <t>E202601041</t>
  </si>
  <si>
    <t>E202601042</t>
  </si>
  <si>
    <t>E202601043</t>
  </si>
  <si>
    <t>E202601044</t>
  </si>
  <si>
    <t>E202601045</t>
  </si>
  <si>
    <t>E202601046</t>
  </si>
  <si>
    <t>E202601047</t>
  </si>
  <si>
    <t>E202601048</t>
  </si>
  <si>
    <t>E202601049</t>
  </si>
  <si>
    <t>E202601050</t>
  </si>
  <si>
    <t>E202601051</t>
  </si>
  <si>
    <t>E202601052</t>
  </si>
  <si>
    <t>E202601053</t>
  </si>
  <si>
    <t>E202601054</t>
  </si>
  <si>
    <t>E202601055</t>
  </si>
  <si>
    <t>E202601056</t>
  </si>
  <si>
    <t>E202601057</t>
  </si>
  <si>
    <t>E202601058</t>
  </si>
  <si>
    <t>E202601059</t>
  </si>
  <si>
    <t>E202601060</t>
  </si>
  <si>
    <t>E202602001</t>
  </si>
  <si>
    <t>E202602002</t>
  </si>
  <si>
    <t>E202602003</t>
  </si>
  <si>
    <t>E202602004</t>
  </si>
  <si>
    <t>E202602005</t>
  </si>
  <si>
    <t>E202602006</t>
  </si>
  <si>
    <t>E202602007</t>
  </si>
  <si>
    <t>E202602008</t>
  </si>
  <si>
    <t>E202602009</t>
  </si>
  <si>
    <t>E202602010</t>
  </si>
  <si>
    <t>E202602011</t>
  </si>
  <si>
    <t>E202602012</t>
  </si>
  <si>
    <t>E202602013</t>
  </si>
  <si>
    <t>E202602014</t>
  </si>
  <si>
    <t>E202602015</t>
  </si>
  <si>
    <t>E202602016</t>
  </si>
  <si>
    <t>E202602017</t>
  </si>
  <si>
    <t>E202602018</t>
  </si>
  <si>
    <t>E202602019</t>
  </si>
  <si>
    <t>E202602020</t>
  </si>
  <si>
    <t>E202602021</t>
  </si>
  <si>
    <t>E202602022</t>
  </si>
  <si>
    <t>E202602023</t>
  </si>
  <si>
    <t>E202602024</t>
  </si>
  <si>
    <t>E202602025</t>
  </si>
  <si>
    <t>E202602026</t>
  </si>
  <si>
    <t>E202602027</t>
  </si>
  <si>
    <t>E202602028</t>
  </si>
  <si>
    <t>E202602029</t>
  </si>
  <si>
    <t>E202602030</t>
  </si>
  <si>
    <t>E202602031</t>
  </si>
  <si>
    <t>E202602032</t>
  </si>
  <si>
    <t>E202602033</t>
  </si>
  <si>
    <t>E202602034</t>
  </si>
  <si>
    <t>E202602035</t>
  </si>
  <si>
    <t>E202602036</t>
  </si>
  <si>
    <t>E202602037</t>
  </si>
  <si>
    <t>E202602038</t>
  </si>
  <si>
    <t>E202602039</t>
  </si>
  <si>
    <t>E202602040</t>
  </si>
  <si>
    <t>E202602041</t>
  </si>
  <si>
    <t>E202602042</t>
  </si>
  <si>
    <t>E202602043</t>
  </si>
  <si>
    <t>E202602044</t>
  </si>
  <si>
    <t>E202602045</t>
  </si>
  <si>
    <t>E202602046</t>
  </si>
  <si>
    <t>E202602047</t>
  </si>
  <si>
    <t>E202602048</t>
  </si>
  <si>
    <t>E202602049</t>
  </si>
  <si>
    <t>E202602050</t>
  </si>
  <si>
    <t>E202602051</t>
  </si>
  <si>
    <t>E202602052</t>
  </si>
  <si>
    <t>E202602053</t>
  </si>
  <si>
    <t>E202602054</t>
  </si>
  <si>
    <t>E202602055</t>
  </si>
  <si>
    <t>E202602056</t>
  </si>
  <si>
    <t>E202602057</t>
  </si>
  <si>
    <t>E202602058</t>
  </si>
  <si>
    <t>E202602059</t>
  </si>
  <si>
    <t>E202602060</t>
  </si>
  <si>
    <t>E202603001</t>
  </si>
  <si>
    <t>E202603002</t>
  </si>
  <si>
    <t>E202603003</t>
  </si>
  <si>
    <t>E202603004</t>
  </si>
  <si>
    <t>E202603005</t>
  </si>
  <si>
    <t>E202603006</t>
  </si>
  <si>
    <t>E202603007</t>
  </si>
  <si>
    <t>E202603008</t>
  </si>
  <si>
    <t>E202603009</t>
  </si>
  <si>
    <t>E202603010</t>
  </si>
  <si>
    <t>E202603011</t>
  </si>
  <si>
    <t>E202603012</t>
  </si>
  <si>
    <t>E202603013</t>
  </si>
  <si>
    <t>E202603014</t>
  </si>
  <si>
    <t>E202603015</t>
  </si>
  <si>
    <t>E202603016</t>
  </si>
  <si>
    <t>E202603017</t>
  </si>
  <si>
    <t>E202603018</t>
  </si>
  <si>
    <t>E202603019</t>
  </si>
  <si>
    <t>E202603020</t>
  </si>
  <si>
    <t>E202603021</t>
  </si>
  <si>
    <t>E202603022</t>
  </si>
  <si>
    <t>E202603023</t>
  </si>
  <si>
    <t>E202603024</t>
  </si>
  <si>
    <t>E202603025</t>
  </si>
  <si>
    <t>E202603026</t>
  </si>
  <si>
    <t>E202603027</t>
  </si>
  <si>
    <t>E202603028</t>
  </si>
  <si>
    <t>E202603029</t>
  </si>
  <si>
    <t>E202603030</t>
  </si>
  <si>
    <t>E202603031</t>
  </si>
  <si>
    <t>E202603032</t>
  </si>
  <si>
    <t>E202603033</t>
  </si>
  <si>
    <t>E202603034</t>
  </si>
  <si>
    <t>E202603035</t>
  </si>
  <si>
    <t>E202603036</t>
  </si>
  <si>
    <t>E202603037</t>
  </si>
  <si>
    <t>E202603038</t>
  </si>
  <si>
    <t>E202603039</t>
  </si>
  <si>
    <t>E202603040</t>
  </si>
  <si>
    <t>E202603041</t>
  </si>
  <si>
    <t>E202603042</t>
  </si>
  <si>
    <t>E202603043</t>
  </si>
  <si>
    <t>E202603044</t>
  </si>
  <si>
    <t>E202603045</t>
  </si>
  <si>
    <t>E202603046</t>
  </si>
  <si>
    <t>E202603047</t>
  </si>
  <si>
    <t>E202603048</t>
  </si>
  <si>
    <t>E202603049</t>
  </si>
  <si>
    <t>E202603050</t>
  </si>
  <si>
    <t>E202603051</t>
  </si>
  <si>
    <t>E202603052</t>
  </si>
  <si>
    <t>E202603053</t>
  </si>
  <si>
    <t>E202603054</t>
  </si>
  <si>
    <t>E202603055</t>
  </si>
  <si>
    <t>E202603056</t>
  </si>
  <si>
    <t>E202603057</t>
  </si>
  <si>
    <t>E202603058</t>
  </si>
  <si>
    <t>E202603059</t>
  </si>
  <si>
    <t>E202603060</t>
  </si>
  <si>
    <t>PAINEL DE INDICADORES ACADÉMICOS</t>
  </si>
  <si>
    <t>Avaliações aprovadas</t>
  </si>
  <si>
    <t>Avaliações reprovadas</t>
  </si>
  <si>
    <t>Taxa de aprovação</t>
  </si>
  <si>
    <t>Nota média</t>
  </si>
  <si>
    <t>Registos sem nota</t>
  </si>
  <si>
    <t>Registos com situação incoerente</t>
  </si>
  <si>
    <t>Nota metodológica</t>
  </si>
  <si>
    <t>Taxa de aprovação = avaliações aprovadas / avaliações totais; não equivale à proporção de estudantes aprovados.</t>
  </si>
  <si>
    <t>Curso</t>
  </si>
  <si>
    <t>Avaliações</t>
  </si>
  <si>
    <t>Aprovadas</t>
  </si>
  <si>
    <t>Taxa aprovação</t>
  </si>
  <si>
    <t>Row Labels</t>
  </si>
  <si>
    <t>Grand Total</t>
  </si>
  <si>
    <t>Column Labels</t>
  </si>
  <si>
    <t>Count of id_estudante</t>
  </si>
  <si>
    <t>faixa_assiduidade</t>
  </si>
  <si>
    <t>Alta</t>
  </si>
  <si>
    <t>Baixa</t>
  </si>
  <si>
    <t>Média</t>
  </si>
  <si>
    <t>Count of nota_final</t>
  </si>
  <si>
    <t>Average of nota_final2</t>
  </si>
  <si>
    <t>Aprovados</t>
  </si>
  <si>
    <t>Reprovados</t>
  </si>
  <si>
    <t>Taxa de Aprovação</t>
  </si>
  <si>
    <t>2024 - S1</t>
  </si>
  <si>
    <t>2024 - S2</t>
  </si>
  <si>
    <t>2025 - S1</t>
  </si>
  <si>
    <t>2025 - S2</t>
  </si>
  <si>
    <t>2026 - S2</t>
  </si>
  <si>
    <t>Periodo</t>
  </si>
  <si>
    <t>2026 - S1</t>
  </si>
  <si>
    <t>DASHBOARD EXECUTIVO - INDICADORES ACADÉMICOS</t>
  </si>
  <si>
    <t>Total de avaliações</t>
  </si>
  <si>
    <t>Nota Média</t>
  </si>
  <si>
    <t>Assiduidade Média</t>
  </si>
  <si>
    <t>Média de assiduidade</t>
  </si>
  <si>
    <t>Média de notas</t>
  </si>
  <si>
    <t>Fonte: Dataset sintético de avaliações académicas (2024–2026) | Ferramenta: Microsoft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</si>
</sst>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70" formatCode="0.00&quot;%&quot;"/>
  </numFmts>
  <fonts count="10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11"/>
      <color theme="1"/>
      <name val="Carlito"/>
    </font>
    <font>
      <sz val="8"/>
      <name val="Carlito"/>
    </font>
    <font>
      <b/>
      <sz val="18"/>
      <color theme="0"/>
      <name val="Carlito"/>
    </font>
    <font>
      <b/>
      <sz val="2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9F1F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0" fontId="1" fillId="2" borderId="0" xfId="0" applyFont="1" applyFill="1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  <xf numFmtId="10" fontId="0" fillId="0" borderId="0" xfId="1" applyNumberFormat="1" applyFont="1"/>
    <xf numFmtId="0" fontId="4" fillId="0" borderId="0" xfId="0" applyFont="1"/>
    <xf numFmtId="0" fontId="0" fillId="0" borderId="1" xfId="0" applyFill="1" applyBorder="1" applyAlignment="1"/>
    <xf numFmtId="0" fontId="8" fillId="5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2" fontId="7" fillId="5" borderId="1" xfId="0" applyNumberFormat="1" applyFont="1" applyFill="1" applyBorder="1" applyAlignment="1">
      <alignment horizontal="left"/>
    </xf>
    <xf numFmtId="0" fontId="6" fillId="4" borderId="0" xfId="0" applyFont="1" applyFill="1" applyAlignment="1">
      <alignment horizontal="center" vertical="center"/>
    </xf>
    <xf numFmtId="4" fontId="0" fillId="0" borderId="0" xfId="1" applyNumberFormat="1" applyFont="1"/>
    <xf numFmtId="0" fontId="8" fillId="0" borderId="1" xfId="0" applyFont="1" applyFill="1" applyBorder="1" applyAlignment="1">
      <alignment vertical="top"/>
    </xf>
    <xf numFmtId="0" fontId="9" fillId="0" borderId="1" xfId="0" applyFont="1" applyFill="1" applyBorder="1" applyAlignment="1">
      <alignment vertical="top"/>
    </xf>
    <xf numFmtId="2" fontId="7" fillId="0" borderId="1" xfId="0" applyNumberFormat="1" applyFont="1" applyFill="1" applyBorder="1" applyAlignment="1"/>
    <xf numFmtId="170" fontId="7" fillId="5" borderId="1" xfId="0" applyNumberFormat="1" applyFont="1" applyFill="1" applyBorder="1" applyAlignment="1">
      <alignment horizontal="left" indent="2"/>
    </xf>
    <xf numFmtId="0" fontId="9" fillId="5" borderId="1" xfId="0" applyFont="1" applyFill="1" applyBorder="1" applyAlignment="1">
      <alignment horizontal="left" vertical="top" indent="2"/>
    </xf>
    <xf numFmtId="3" fontId="7" fillId="5" borderId="1" xfId="0" applyNumberFormat="1" applyFont="1" applyFill="1" applyBorder="1" applyAlignment="1">
      <alignment horizontal="left" indent="2"/>
    </xf>
    <xf numFmtId="3" fontId="7" fillId="0" borderId="1" xfId="0" applyNumberFormat="1" applyFont="1" applyFill="1" applyBorder="1" applyAlignment="1">
      <alignment horizontal="left" indent="2"/>
    </xf>
    <xf numFmtId="10" fontId="7" fillId="5" borderId="1" xfId="1" applyNumberFormat="1" applyFont="1" applyFill="1" applyBorder="1" applyAlignment="1">
      <alignment horizontal="left" indent="2"/>
    </xf>
    <xf numFmtId="10" fontId="7" fillId="0" borderId="1" xfId="1" applyNumberFormat="1" applyFont="1" applyFill="1" applyBorder="1" applyAlignment="1">
      <alignment horizontal="left" indent="2"/>
    </xf>
    <xf numFmtId="2" fontId="7" fillId="5" borderId="1" xfId="0" applyNumberFormat="1" applyFont="1" applyFill="1" applyBorder="1" applyAlignment="1">
      <alignment horizontal="left" indent="2"/>
    </xf>
    <xf numFmtId="0" fontId="8" fillId="5" borderId="1" xfId="0" applyFont="1" applyFill="1" applyBorder="1" applyAlignment="1">
      <alignment horizontal="left" vertical="top" indent="2"/>
    </xf>
    <xf numFmtId="0" fontId="8" fillId="0" borderId="1" xfId="0" applyFont="1" applyFill="1" applyBorder="1" applyAlignment="1">
      <alignment horizontal="left" vertical="top" indent="2"/>
    </xf>
    <xf numFmtId="0" fontId="9" fillId="0" borderId="1" xfId="0" applyFont="1" applyFill="1" applyBorder="1" applyAlignment="1">
      <alignment horizontal="left" vertical="top" indent="2"/>
    </xf>
    <xf numFmtId="0" fontId="9" fillId="0" borderId="0" xfId="0" applyFont="1" applyAlignment="1">
      <alignment horizontal="left"/>
    </xf>
  </cellXfs>
  <cellStyles count="2">
    <cellStyle name="Normal" xfId="0" builtinId="0"/>
    <cellStyle name="Per cent" xfId="1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Avaliações por curso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Avaliações</c:v>
          </c:tx>
          <c:invertIfNegative val="1"/>
          <c:cat>
            <c:strRef>
              <c:f>AvalPorCurso!$A$2:$A$4</c:f>
              <c:strCache>
                <c:ptCount val="3"/>
                <c:pt idx="0">
                  <c:v>Engenharia de Telecomunicacoes</c:v>
                </c:pt>
                <c:pt idx="1">
                  <c:v>Gestao</c:v>
                </c:pt>
                <c:pt idx="2">
                  <c:v>Informatica</c:v>
                </c:pt>
              </c:strCache>
            </c:strRef>
          </c:cat>
          <c:val>
            <c:numRef>
              <c:f>AvalPorCurso!$B$2:$B$4</c:f>
              <c:numCache>
                <c:formatCode>General</c:formatCode>
                <c:ptCount val="3"/>
                <c:pt idx="0">
                  <c:v>1080</c:v>
                </c:pt>
                <c:pt idx="1">
                  <c:v>1080</c:v>
                </c:pt>
                <c:pt idx="2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A-7A45-944F-A31F2F26D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[analise_indicadores_academicos.xlsx]AnaliseCursos!Aprovações vs Reprovações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AnaliseCursos!$B$3:$B$4</c:f>
              <c:strCache>
                <c:ptCount val="1"/>
                <c:pt idx="0">
                  <c:v>Aprovado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AnaliseCursos!$A$5:$A$8</c:f>
              <c:strCache>
                <c:ptCount val="3"/>
                <c:pt idx="0">
                  <c:v>Engenharia de Telecomunicacoes</c:v>
                </c:pt>
                <c:pt idx="1">
                  <c:v>Gestao</c:v>
                </c:pt>
                <c:pt idx="2">
                  <c:v>Informatica</c:v>
                </c:pt>
              </c:strCache>
            </c:strRef>
          </c:cat>
          <c:val>
            <c:numRef>
              <c:f>AnaliseCursos!$B$5:$B$8</c:f>
              <c:numCache>
                <c:formatCode>General</c:formatCode>
                <c:ptCount val="3"/>
                <c:pt idx="0">
                  <c:v>640</c:v>
                </c:pt>
                <c:pt idx="1">
                  <c:v>646</c:v>
                </c:pt>
                <c:pt idx="2">
                  <c:v>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2-9241-8E62-AC5AA154A0B7}"/>
            </c:ext>
          </c:extLst>
        </c:ser>
        <c:ser>
          <c:idx val="1"/>
          <c:order val="1"/>
          <c:tx>
            <c:strRef>
              <c:f>AnaliseCursos!$C$3:$C$4</c:f>
              <c:strCache>
                <c:ptCount val="1"/>
                <c:pt idx="0">
                  <c:v>Reprovado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AnaliseCursos!$A$5:$A$8</c:f>
              <c:strCache>
                <c:ptCount val="3"/>
                <c:pt idx="0">
                  <c:v>Engenharia de Telecomunicacoes</c:v>
                </c:pt>
                <c:pt idx="1">
                  <c:v>Gestao</c:v>
                </c:pt>
                <c:pt idx="2">
                  <c:v>Informatica</c:v>
                </c:pt>
              </c:strCache>
            </c:strRef>
          </c:cat>
          <c:val>
            <c:numRef>
              <c:f>AnaliseCursos!$C$5:$C$8</c:f>
              <c:numCache>
                <c:formatCode>General</c:formatCode>
                <c:ptCount val="3"/>
                <c:pt idx="0">
                  <c:v>440</c:v>
                </c:pt>
                <c:pt idx="1">
                  <c:v>434</c:v>
                </c:pt>
                <c:pt idx="2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2-9241-8E62-AC5AA154A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846784"/>
        <c:axId val="475848576"/>
      </c:barChart>
      <c:catAx>
        <c:axId val="47584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475848576"/>
        <c:crosses val="autoZero"/>
        <c:auto val="1"/>
        <c:lblAlgn val="ctr"/>
        <c:lblOffset val="100"/>
        <c:noMultiLvlLbl val="0"/>
      </c:catAx>
      <c:valAx>
        <c:axId val="4758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47584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[analise_indicadores_academicos.xlsx]AnaliseAssi!PivotTable7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Nota Média por Faixa</a:t>
            </a:r>
            <a:r>
              <a:rPr lang="en-GB" baseline="0"/>
              <a:t> de Assiduidade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AnaliseAssi!$B$1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AnaliseAssi!$A$2:$A$5</c:f>
              <c:strCache>
                <c:ptCount val="3"/>
                <c:pt idx="0">
                  <c:v>Baixa</c:v>
                </c:pt>
                <c:pt idx="1">
                  <c:v>Média</c:v>
                </c:pt>
                <c:pt idx="2">
                  <c:v>Alta</c:v>
                </c:pt>
              </c:strCache>
            </c:strRef>
          </c:cat>
          <c:val>
            <c:numRef>
              <c:f>AnaliseAssi!$B$2:$B$5</c:f>
              <c:numCache>
                <c:formatCode>0.00</c:formatCode>
                <c:ptCount val="3"/>
                <c:pt idx="0">
                  <c:v>8.2941747572815601</c:v>
                </c:pt>
                <c:pt idx="1">
                  <c:v>9.677869415807578</c:v>
                </c:pt>
                <c:pt idx="2">
                  <c:v>12.598306233062342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D-DF4F-934F-EB7A84D7A6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2183424"/>
        <c:axId val="372180736"/>
      </c:barChart>
      <c:catAx>
        <c:axId val="37218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372180736"/>
        <c:crosses val="autoZero"/>
        <c:auto val="1"/>
        <c:lblAlgn val="ctr"/>
        <c:lblOffset val="100"/>
        <c:noMultiLvlLbl val="0"/>
      </c:catAx>
      <c:valAx>
        <c:axId val="37218073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372183424"/>
        <c:crosses val="autoZero"/>
        <c:crossBetween val="between"/>
        <c:majorUnit val="2"/>
        <c:minorUnit val="0.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Semestral da Taxa de Aprovação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EvolTemporal!$D$15</c:f>
              <c:strCache>
                <c:ptCount val="1"/>
                <c:pt idx="0">
                  <c:v>Taxa de Aprovação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EvolTemporal!$A$16:$A$21</c:f>
              <c:strCache>
                <c:ptCount val="6"/>
                <c:pt idx="0">
                  <c:v>2024 - S1</c:v>
                </c:pt>
                <c:pt idx="1">
                  <c:v>2024 - S2</c:v>
                </c:pt>
                <c:pt idx="2">
                  <c:v>2025 - S1</c:v>
                </c:pt>
                <c:pt idx="3">
                  <c:v>2025 - S2</c:v>
                </c:pt>
                <c:pt idx="4">
                  <c:v>2026 - S1</c:v>
                </c:pt>
                <c:pt idx="5">
                  <c:v>2026 - S2</c:v>
                </c:pt>
              </c:strCache>
            </c:strRef>
          </c:cat>
          <c:val>
            <c:numRef>
              <c:f>EvolTemporal!$D$16:$D$21</c:f>
              <c:numCache>
                <c:formatCode>0.00%</c:formatCode>
                <c:ptCount val="6"/>
                <c:pt idx="0">
                  <c:v>0.62222222222222223</c:v>
                </c:pt>
                <c:pt idx="1">
                  <c:v>0.59444444444444444</c:v>
                </c:pt>
                <c:pt idx="2">
                  <c:v>0.56111111111111112</c:v>
                </c:pt>
                <c:pt idx="3">
                  <c:v>0.6</c:v>
                </c:pt>
                <c:pt idx="4">
                  <c:v>0.60370370370370374</c:v>
                </c:pt>
                <c:pt idx="5">
                  <c:v>0.58148148148148149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7-364C-B29B-C4F22FF1661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9950400"/>
        <c:axId val="359945024"/>
      </c:lineChart>
      <c:catAx>
        <c:axId val="35995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359945024"/>
        <c:crosses val="autoZero"/>
        <c:auto val="1"/>
        <c:lblAlgn val="ctr"/>
        <c:lblOffset val="100"/>
        <c:noMultiLvlLbl val="0"/>
      </c:catAx>
      <c:valAx>
        <c:axId val="3599450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359950400"/>
        <c:crosses val="autoZero"/>
        <c:crossBetween val="between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[analise_indicadores_academicos.xlsx]AnaliseCursos!Aprovações vs Reprovações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Aprovações e Reprovações por Curso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AnaliseCursos!$B$3:$B$4</c:f>
              <c:strCache>
                <c:ptCount val="1"/>
                <c:pt idx="0">
                  <c:v>Aprovado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AnaliseCursos!$A$5:$A$8</c:f>
              <c:strCache>
                <c:ptCount val="3"/>
                <c:pt idx="0">
                  <c:v>Engenharia de Telecomunicacoes</c:v>
                </c:pt>
                <c:pt idx="1">
                  <c:v>Gestao</c:v>
                </c:pt>
                <c:pt idx="2">
                  <c:v>Informatica</c:v>
                </c:pt>
              </c:strCache>
            </c:strRef>
          </c:cat>
          <c:val>
            <c:numRef>
              <c:f>AnaliseCursos!$B$5:$B$8</c:f>
              <c:numCache>
                <c:formatCode>General</c:formatCode>
                <c:ptCount val="3"/>
                <c:pt idx="0">
                  <c:v>640</c:v>
                </c:pt>
                <c:pt idx="1">
                  <c:v>646</c:v>
                </c:pt>
                <c:pt idx="2">
                  <c:v>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7-4449-87BF-5958552A2A78}"/>
            </c:ext>
          </c:extLst>
        </c:ser>
        <c:ser>
          <c:idx val="1"/>
          <c:order val="1"/>
          <c:tx>
            <c:strRef>
              <c:f>AnaliseCursos!$C$3:$C$4</c:f>
              <c:strCache>
                <c:ptCount val="1"/>
                <c:pt idx="0">
                  <c:v>Reprovado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AnaliseCursos!$A$5:$A$8</c:f>
              <c:strCache>
                <c:ptCount val="3"/>
                <c:pt idx="0">
                  <c:v>Engenharia de Telecomunicacoes</c:v>
                </c:pt>
                <c:pt idx="1">
                  <c:v>Gestao</c:v>
                </c:pt>
                <c:pt idx="2">
                  <c:v>Informatica</c:v>
                </c:pt>
              </c:strCache>
            </c:strRef>
          </c:cat>
          <c:val>
            <c:numRef>
              <c:f>AnaliseCursos!$C$5:$C$8</c:f>
              <c:numCache>
                <c:formatCode>General</c:formatCode>
                <c:ptCount val="3"/>
                <c:pt idx="0">
                  <c:v>440</c:v>
                </c:pt>
                <c:pt idx="1">
                  <c:v>434</c:v>
                </c:pt>
                <c:pt idx="2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D7-4449-87BF-5958552A2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846784"/>
        <c:axId val="475848576"/>
      </c:barChart>
      <c:catAx>
        <c:axId val="47584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475848576"/>
        <c:crosses val="autoZero"/>
        <c:auto val="1"/>
        <c:lblAlgn val="ctr"/>
        <c:lblOffset val="100"/>
        <c:noMultiLvlLbl val="0"/>
      </c:catAx>
      <c:valAx>
        <c:axId val="4758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47584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Evolução Semestral da Taxa de Aprovação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EvolTemporal!$D$15</c:f>
              <c:strCache>
                <c:ptCount val="1"/>
                <c:pt idx="0">
                  <c:v>Taxa de Aprovação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EvolTemporal!$A$16:$A$21</c:f>
              <c:strCache>
                <c:ptCount val="6"/>
                <c:pt idx="0">
                  <c:v>2024 - S1</c:v>
                </c:pt>
                <c:pt idx="1">
                  <c:v>2024 - S2</c:v>
                </c:pt>
                <c:pt idx="2">
                  <c:v>2025 - S1</c:v>
                </c:pt>
                <c:pt idx="3">
                  <c:v>2025 - S2</c:v>
                </c:pt>
                <c:pt idx="4">
                  <c:v>2026 - S1</c:v>
                </c:pt>
                <c:pt idx="5">
                  <c:v>2026 - S2</c:v>
                </c:pt>
              </c:strCache>
            </c:strRef>
          </c:cat>
          <c:val>
            <c:numRef>
              <c:f>EvolTemporal!$D$16:$D$21</c:f>
              <c:numCache>
                <c:formatCode>0.00%</c:formatCode>
                <c:ptCount val="6"/>
                <c:pt idx="0">
                  <c:v>0.62222222222222223</c:v>
                </c:pt>
                <c:pt idx="1">
                  <c:v>0.59444444444444444</c:v>
                </c:pt>
                <c:pt idx="2">
                  <c:v>0.56111111111111112</c:v>
                </c:pt>
                <c:pt idx="3">
                  <c:v>0.6</c:v>
                </c:pt>
                <c:pt idx="4">
                  <c:v>0.60370370370370374</c:v>
                </c:pt>
                <c:pt idx="5">
                  <c:v>0.58148148148148149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D4-F042-A64E-B9D018BE62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9950400"/>
        <c:axId val="359945024"/>
      </c:lineChart>
      <c:catAx>
        <c:axId val="35995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359945024"/>
        <c:crosses val="autoZero"/>
        <c:auto val="1"/>
        <c:lblAlgn val="ctr"/>
        <c:lblOffset val="100"/>
        <c:noMultiLvlLbl val="0"/>
      </c:catAx>
      <c:valAx>
        <c:axId val="3599450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359950400"/>
        <c:crosses val="autoZero"/>
        <c:crossBetween val="between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[analise_indicadores_academicos.xlsx]AnaliseAssi!PivotTable7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Nota Média por Faixa</a:t>
            </a:r>
            <a:r>
              <a:rPr lang="en-GB" b="1" baseline="0"/>
              <a:t> de Assiduidade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AnaliseAssi!$B$1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AnaliseAssi!$A$2:$A$5</c:f>
              <c:strCache>
                <c:ptCount val="3"/>
                <c:pt idx="0">
                  <c:v>Baixa</c:v>
                </c:pt>
                <c:pt idx="1">
                  <c:v>Média</c:v>
                </c:pt>
                <c:pt idx="2">
                  <c:v>Alta</c:v>
                </c:pt>
              </c:strCache>
            </c:strRef>
          </c:cat>
          <c:val>
            <c:numRef>
              <c:f>AnaliseAssi!$B$2:$B$5</c:f>
              <c:numCache>
                <c:formatCode>0.00</c:formatCode>
                <c:ptCount val="3"/>
                <c:pt idx="0">
                  <c:v>8.2941747572815601</c:v>
                </c:pt>
                <c:pt idx="1">
                  <c:v>9.677869415807578</c:v>
                </c:pt>
                <c:pt idx="2">
                  <c:v>12.598306233062342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5-8845-8342-D381A0FFCE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2183424"/>
        <c:axId val="372180736"/>
      </c:barChart>
      <c:catAx>
        <c:axId val="37218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372180736"/>
        <c:crosses val="autoZero"/>
        <c:auto val="1"/>
        <c:lblAlgn val="ctr"/>
        <c:lblOffset val="100"/>
        <c:noMultiLvlLbl val="0"/>
      </c:catAx>
      <c:valAx>
        <c:axId val="37218073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372183424"/>
        <c:crosses val="autoZero"/>
        <c:crossBetween val="between"/>
        <c:majorUnit val="2"/>
        <c:minorUnit val="0.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7</xdr:row>
      <xdr:rowOff>165100</xdr:rowOff>
    </xdr:from>
    <xdr:to>
      <xdr:col>2</xdr:col>
      <xdr:colOff>1143000</xdr:colOff>
      <xdr:row>24</xdr:row>
      <xdr:rowOff>165100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444500</xdr:colOff>
      <xdr:row>17</xdr:row>
      <xdr:rowOff>76200</xdr:rowOff>
    </xdr:to>
    <xdr:graphicFrame macro="">
      <xdr:nvGraphicFramePr>
        <xdr:cNvPr id="2" name="Aprovações vs Reprovações">
          <a:extLst>
            <a:ext uri="{FF2B5EF4-FFF2-40B4-BE49-F238E27FC236}">
              <a16:creationId xmlns:a16="http://schemas.microsoft.com/office/drawing/2014/main" id="{387D86AD-7A50-E340-A739-E7CB532C7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431800</xdr:colOff>
      <xdr:row>2</xdr:row>
      <xdr:rowOff>127000</xdr:rowOff>
    </xdr:from>
    <xdr:to>
      <xdr:col>7</xdr:col>
      <xdr:colOff>228600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B87B83-F992-3893-3FA3-F16A0A953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469900</xdr:colOff>
      <xdr:row>3</xdr:row>
      <xdr:rowOff>12700</xdr:rowOff>
    </xdr:from>
    <xdr:to>
      <xdr:col>10</xdr:col>
      <xdr:colOff>88900</xdr:colOff>
      <xdr:row>18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FEDFFD-B409-7FDF-B7F5-B177CA211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10</xdr:row>
      <xdr:rowOff>12700</xdr:rowOff>
    </xdr:from>
    <xdr:to>
      <xdr:col>6</xdr:col>
      <xdr:colOff>254000</xdr:colOff>
      <xdr:row>25</xdr:row>
      <xdr:rowOff>0</xdr:rowOff>
    </xdr:to>
    <xdr:graphicFrame macro="">
      <xdr:nvGraphicFramePr>
        <xdr:cNvPr id="2" name="Aprovações vs Reprovações">
          <a:extLst>
            <a:ext uri="{FF2B5EF4-FFF2-40B4-BE49-F238E27FC236}">
              <a16:creationId xmlns:a16="http://schemas.microsoft.com/office/drawing/2014/main" id="{8AB7A3EF-7779-C447-8D0E-53A68A2E1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13</xdr:col>
      <xdr:colOff>25400</xdr:colOff>
      <xdr:row>42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4D7A42-3BD5-2C41-951B-17EFA795B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114300</xdr:colOff>
      <xdr:row>10</xdr:row>
      <xdr:rowOff>12700</xdr:rowOff>
    </xdr:from>
    <xdr:to>
      <xdr:col>13</xdr:col>
      <xdr:colOff>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CA8ECA-AE36-8347-82EB-BB9E26FEF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LOUT RUBEN" refreshedDate="46324.768705324073" createdVersion="8" refreshedVersion="8" minRefreshableVersion="3" recordCount="3240" xr:uid="{C8193C1B-6F68-5648-99BE-33047C786A95}">
  <cacheSource type="worksheet">
    <worksheetSource name="Avaliacoes"/>
  </cacheSource>
  <cacheFields count="9">
    <cacheField name="id_estudante" numFmtId="0">
      <sharedItems/>
    </cacheField>
    <cacheField name="ano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semestre" numFmtId="0">
      <sharedItems containsSemiMixedTypes="0" containsString="0" containsNumber="1" containsInteger="1" minValue="1" maxValue="2" count="2">
        <n v="1"/>
        <n v="2"/>
      </sharedItems>
    </cacheField>
    <cacheField name="curso" numFmtId="0">
      <sharedItems count="3">
        <s v="Gestao"/>
        <s v="Engenharia de Telecomunicacoes"/>
        <s v="Informatica"/>
      </sharedItems>
    </cacheField>
    <cacheField name="disciplina" numFmtId="0">
      <sharedItems/>
    </cacheField>
    <cacheField name="nota_final" numFmtId="0">
      <sharedItems containsSemiMixedTypes="0" containsString="0" containsNumber="1" minValue="0" maxValue="20"/>
    </cacheField>
    <cacheField name="assiduidade_pct" numFmtId="0">
      <sharedItems containsSemiMixedTypes="0" containsString="0" containsNumber="1" minValue="45" maxValue="100"/>
    </cacheField>
    <cacheField name="situacao" numFmtId="0">
      <sharedItems count="2">
        <s v="Reprovado"/>
        <s v="Aprovado"/>
      </sharedItems>
    </cacheField>
    <cacheField name="faixa_assiduidade" numFmtId="0">
      <sharedItems count="3">
        <s v="Média"/>
        <s v="Baixa"/>
        <s v="Alta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0">
  <r>
    <s v="E202402047"/>
    <x v="0"/>
    <x v="0"/>
    <x v="0"/>
    <s v="Contabilidade"/>
    <n v="0"/>
    <n v="58.3"/>
    <x v="0"/>
    <x v="0"/>
  </r>
  <r>
    <s v="E202402055"/>
    <x v="0"/>
    <x v="0"/>
    <x v="0"/>
    <s v="Estatistica"/>
    <n v="0"/>
    <n v="53"/>
    <x v="0"/>
    <x v="0"/>
  </r>
  <r>
    <s v="E202401002"/>
    <x v="0"/>
    <x v="1"/>
    <x v="1"/>
    <s v="Redes"/>
    <n v="0"/>
    <n v="54.9"/>
    <x v="0"/>
    <x v="0"/>
  </r>
  <r>
    <s v="E202503038"/>
    <x v="1"/>
    <x v="0"/>
    <x v="2"/>
    <s v="Redes"/>
    <n v="0"/>
    <n v="49"/>
    <x v="0"/>
    <x v="1"/>
  </r>
  <r>
    <s v="E202501053"/>
    <x v="1"/>
    <x v="1"/>
    <x v="1"/>
    <s v="Redes"/>
    <n v="0"/>
    <n v="47.7"/>
    <x v="0"/>
    <x v="1"/>
  </r>
  <r>
    <s v="E202603036"/>
    <x v="2"/>
    <x v="0"/>
    <x v="2"/>
    <s v="Programacao"/>
    <n v="0"/>
    <n v="52.2"/>
    <x v="0"/>
    <x v="0"/>
  </r>
  <r>
    <s v="E202503004"/>
    <x v="1"/>
    <x v="1"/>
    <x v="2"/>
    <s v="Bases de Dados"/>
    <n v="0.1"/>
    <n v="67.2"/>
    <x v="0"/>
    <x v="0"/>
  </r>
  <r>
    <s v="E202401023"/>
    <x v="0"/>
    <x v="0"/>
    <x v="1"/>
    <s v="Redes"/>
    <n v="0.2"/>
    <n v="47.9"/>
    <x v="0"/>
    <x v="1"/>
  </r>
  <r>
    <s v="E202603057"/>
    <x v="2"/>
    <x v="1"/>
    <x v="2"/>
    <s v="Redes"/>
    <n v="0.2"/>
    <n v="50.1"/>
    <x v="0"/>
    <x v="0"/>
  </r>
  <r>
    <s v="E202502025"/>
    <x v="1"/>
    <x v="0"/>
    <x v="0"/>
    <s v="Contabilidade"/>
    <n v="0.4"/>
    <n v="45.8"/>
    <x v="0"/>
    <x v="1"/>
  </r>
  <r>
    <s v="E202501012"/>
    <x v="1"/>
    <x v="1"/>
    <x v="1"/>
    <s v="Redes"/>
    <n v="0.5"/>
    <n v="62"/>
    <x v="0"/>
    <x v="0"/>
  </r>
  <r>
    <s v="E202501009"/>
    <x v="1"/>
    <x v="0"/>
    <x v="1"/>
    <s v="Matematica"/>
    <n v="0.7"/>
    <n v="45.4"/>
    <x v="0"/>
    <x v="1"/>
  </r>
  <r>
    <s v="E202501027"/>
    <x v="1"/>
    <x v="1"/>
    <x v="1"/>
    <s v="Redes"/>
    <n v="0.7"/>
    <n v="54.5"/>
    <x v="0"/>
    <x v="0"/>
  </r>
  <r>
    <s v="E202401020"/>
    <x v="0"/>
    <x v="0"/>
    <x v="1"/>
    <s v="Sinais"/>
    <n v="0.8"/>
    <n v="62.9"/>
    <x v="0"/>
    <x v="0"/>
  </r>
  <r>
    <s v="E202502015"/>
    <x v="1"/>
    <x v="1"/>
    <x v="0"/>
    <s v="Contabilidade"/>
    <n v="0.8"/>
    <n v="48.5"/>
    <x v="0"/>
    <x v="1"/>
  </r>
  <r>
    <s v="E202403055"/>
    <x v="0"/>
    <x v="0"/>
    <x v="2"/>
    <s v="Programacao"/>
    <n v="0.9"/>
    <n v="48.4"/>
    <x v="0"/>
    <x v="1"/>
  </r>
  <r>
    <s v="E202502055"/>
    <x v="1"/>
    <x v="0"/>
    <x v="0"/>
    <s v="Contabilidade"/>
    <n v="1.2"/>
    <n v="50.9"/>
    <x v="0"/>
    <x v="0"/>
  </r>
  <r>
    <s v="E202403055"/>
    <x v="0"/>
    <x v="1"/>
    <x v="2"/>
    <s v="Bases de Dados"/>
    <n v="1.3"/>
    <n v="62.8"/>
    <x v="0"/>
    <x v="0"/>
  </r>
  <r>
    <s v="E202603059"/>
    <x v="2"/>
    <x v="1"/>
    <x v="2"/>
    <s v="Redes"/>
    <n v="1.3"/>
    <n v="47.7"/>
    <x v="0"/>
    <x v="1"/>
  </r>
  <r>
    <s v="E202501025"/>
    <x v="1"/>
    <x v="1"/>
    <x v="1"/>
    <s v="Sinais"/>
    <n v="1.4"/>
    <n v="61.7"/>
    <x v="0"/>
    <x v="0"/>
  </r>
  <r>
    <s v="E202603025"/>
    <x v="2"/>
    <x v="1"/>
    <x v="2"/>
    <s v="Programacao"/>
    <n v="1.5"/>
    <n v="51.6"/>
    <x v="0"/>
    <x v="0"/>
  </r>
  <r>
    <s v="E202402055"/>
    <x v="0"/>
    <x v="0"/>
    <x v="0"/>
    <s v="Marketing"/>
    <n v="1.6"/>
    <n v="47.2"/>
    <x v="0"/>
    <x v="1"/>
  </r>
  <r>
    <s v="E202402043"/>
    <x v="0"/>
    <x v="1"/>
    <x v="0"/>
    <s v="Contabilidade"/>
    <n v="1.6"/>
    <n v="48"/>
    <x v="0"/>
    <x v="1"/>
  </r>
  <r>
    <s v="E202503036"/>
    <x v="1"/>
    <x v="1"/>
    <x v="2"/>
    <s v="Redes"/>
    <n v="1.7"/>
    <n v="69.2"/>
    <x v="0"/>
    <x v="0"/>
  </r>
  <r>
    <s v="E202402001"/>
    <x v="0"/>
    <x v="0"/>
    <x v="0"/>
    <s v="Marketing"/>
    <n v="1.8"/>
    <n v="47.7"/>
    <x v="0"/>
    <x v="1"/>
  </r>
  <r>
    <s v="E202502033"/>
    <x v="1"/>
    <x v="1"/>
    <x v="0"/>
    <s v="Estatistica"/>
    <n v="1.8"/>
    <n v="58.1"/>
    <x v="0"/>
    <x v="0"/>
  </r>
  <r>
    <s v="E202401018"/>
    <x v="0"/>
    <x v="1"/>
    <x v="1"/>
    <s v="Matematica"/>
    <n v="1.9"/>
    <n v="59.8"/>
    <x v="0"/>
    <x v="0"/>
  </r>
  <r>
    <s v="E202503043"/>
    <x v="1"/>
    <x v="0"/>
    <x v="2"/>
    <s v="Redes"/>
    <n v="1.9"/>
    <n v="50.8"/>
    <x v="0"/>
    <x v="0"/>
  </r>
  <r>
    <s v="E202402026"/>
    <x v="0"/>
    <x v="1"/>
    <x v="0"/>
    <s v="Contabilidade"/>
    <n v="2"/>
    <n v="62.3"/>
    <x v="0"/>
    <x v="0"/>
  </r>
  <r>
    <s v="E202602008"/>
    <x v="2"/>
    <x v="1"/>
    <x v="0"/>
    <s v="Marketing"/>
    <n v="2"/>
    <n v="64.900000000000006"/>
    <x v="0"/>
    <x v="0"/>
  </r>
  <r>
    <s v="E202503020"/>
    <x v="1"/>
    <x v="1"/>
    <x v="2"/>
    <s v="Redes"/>
    <n v="2.2000000000000002"/>
    <n v="50.5"/>
    <x v="0"/>
    <x v="0"/>
  </r>
  <r>
    <s v="E202602021"/>
    <x v="2"/>
    <x v="1"/>
    <x v="0"/>
    <s v="Contabilidade"/>
    <n v="2.2000000000000002"/>
    <n v="48.9"/>
    <x v="0"/>
    <x v="1"/>
  </r>
  <r>
    <s v="E202402048"/>
    <x v="0"/>
    <x v="1"/>
    <x v="0"/>
    <s v="Marketing"/>
    <n v="2.2999999999999998"/>
    <n v="47.6"/>
    <x v="0"/>
    <x v="1"/>
  </r>
  <r>
    <s v="E202601013"/>
    <x v="2"/>
    <x v="0"/>
    <x v="1"/>
    <s v="Redes"/>
    <n v="2.2999999999999998"/>
    <n v="56.1"/>
    <x v="0"/>
    <x v="0"/>
  </r>
  <r>
    <s v="E202603032"/>
    <x v="2"/>
    <x v="0"/>
    <x v="2"/>
    <s v="Redes"/>
    <n v="2.2999999999999998"/>
    <n v="46.8"/>
    <x v="0"/>
    <x v="1"/>
  </r>
  <r>
    <s v="E202503022"/>
    <x v="1"/>
    <x v="1"/>
    <x v="2"/>
    <s v="Bases de Dados"/>
    <n v="2.4"/>
    <n v="46.7"/>
    <x v="0"/>
    <x v="1"/>
  </r>
  <r>
    <s v="E202501046"/>
    <x v="1"/>
    <x v="0"/>
    <x v="1"/>
    <s v="Redes"/>
    <n v="2.5"/>
    <n v="48.6"/>
    <x v="0"/>
    <x v="1"/>
  </r>
  <r>
    <s v="E202501054"/>
    <x v="1"/>
    <x v="0"/>
    <x v="1"/>
    <s v="Sinais"/>
    <n v="2.5"/>
    <n v="47.8"/>
    <x v="0"/>
    <x v="1"/>
  </r>
  <r>
    <s v="E202402059"/>
    <x v="0"/>
    <x v="0"/>
    <x v="0"/>
    <s v="Estatistica"/>
    <n v="2.7"/>
    <n v="62.5"/>
    <x v="0"/>
    <x v="0"/>
  </r>
  <r>
    <s v="E202403010"/>
    <x v="0"/>
    <x v="1"/>
    <x v="2"/>
    <s v="Bases de Dados"/>
    <n v="2.8"/>
    <n v="46.3"/>
    <x v="0"/>
    <x v="1"/>
  </r>
  <r>
    <s v="E202502018"/>
    <x v="1"/>
    <x v="1"/>
    <x v="0"/>
    <s v="Marketing"/>
    <n v="2.8"/>
    <n v="46.2"/>
    <x v="0"/>
    <x v="1"/>
  </r>
  <r>
    <s v="E202602026"/>
    <x v="2"/>
    <x v="1"/>
    <x v="0"/>
    <s v="Estatistica"/>
    <n v="2.8"/>
    <n v="59.3"/>
    <x v="0"/>
    <x v="0"/>
  </r>
  <r>
    <s v="E202402044"/>
    <x v="0"/>
    <x v="1"/>
    <x v="0"/>
    <s v="Marketing"/>
    <n v="2.9"/>
    <n v="57.3"/>
    <x v="0"/>
    <x v="0"/>
  </r>
  <r>
    <s v="E202501035"/>
    <x v="1"/>
    <x v="0"/>
    <x v="1"/>
    <s v="Sinais"/>
    <n v="3"/>
    <n v="54.7"/>
    <x v="0"/>
    <x v="0"/>
  </r>
  <r>
    <s v="E202602060"/>
    <x v="2"/>
    <x v="0"/>
    <x v="0"/>
    <s v="Estatistica"/>
    <n v="3"/>
    <n v="53.6"/>
    <x v="0"/>
    <x v="0"/>
  </r>
  <r>
    <s v="E202503020"/>
    <x v="1"/>
    <x v="1"/>
    <x v="2"/>
    <s v="Programacao"/>
    <n v="3.2"/>
    <n v="53.8"/>
    <x v="0"/>
    <x v="0"/>
  </r>
  <r>
    <s v="E202601031"/>
    <x v="2"/>
    <x v="1"/>
    <x v="1"/>
    <s v="Sinais"/>
    <n v="3.2"/>
    <n v="48.1"/>
    <x v="0"/>
    <x v="1"/>
  </r>
  <r>
    <s v="E202501049"/>
    <x v="1"/>
    <x v="0"/>
    <x v="1"/>
    <s v="Sinais"/>
    <n v="3.3"/>
    <n v="54.4"/>
    <x v="0"/>
    <x v="0"/>
  </r>
  <r>
    <s v="E202502004"/>
    <x v="1"/>
    <x v="0"/>
    <x v="0"/>
    <s v="Estatistica"/>
    <n v="3.3"/>
    <n v="67.900000000000006"/>
    <x v="0"/>
    <x v="0"/>
  </r>
  <r>
    <s v="E202501015"/>
    <x v="1"/>
    <x v="1"/>
    <x v="1"/>
    <s v="Sinais"/>
    <n v="3.3"/>
    <n v="51.2"/>
    <x v="0"/>
    <x v="0"/>
  </r>
  <r>
    <s v="E202503007"/>
    <x v="1"/>
    <x v="1"/>
    <x v="2"/>
    <s v="Programacao"/>
    <n v="3.3"/>
    <n v="76"/>
    <x v="0"/>
    <x v="2"/>
  </r>
  <r>
    <s v="E202601036"/>
    <x v="2"/>
    <x v="1"/>
    <x v="1"/>
    <s v="Sinais"/>
    <n v="3.3"/>
    <n v="50.1"/>
    <x v="0"/>
    <x v="0"/>
  </r>
  <r>
    <s v="E202502028"/>
    <x v="1"/>
    <x v="0"/>
    <x v="0"/>
    <s v="Contabilidade"/>
    <n v="3.4"/>
    <n v="47.3"/>
    <x v="0"/>
    <x v="1"/>
  </r>
  <r>
    <s v="E202403025"/>
    <x v="0"/>
    <x v="0"/>
    <x v="2"/>
    <s v="Redes"/>
    <n v="3.5"/>
    <n v="67.2"/>
    <x v="0"/>
    <x v="0"/>
  </r>
  <r>
    <s v="E202401014"/>
    <x v="0"/>
    <x v="1"/>
    <x v="1"/>
    <s v="Sinais"/>
    <n v="3.5"/>
    <n v="45.2"/>
    <x v="0"/>
    <x v="1"/>
  </r>
  <r>
    <s v="E202502024"/>
    <x v="1"/>
    <x v="0"/>
    <x v="0"/>
    <s v="Contabilidade"/>
    <n v="3.5"/>
    <n v="49.1"/>
    <x v="0"/>
    <x v="1"/>
  </r>
  <r>
    <s v="E202503043"/>
    <x v="1"/>
    <x v="1"/>
    <x v="2"/>
    <s v="Bases de Dados"/>
    <n v="3.5"/>
    <n v="66.400000000000006"/>
    <x v="0"/>
    <x v="0"/>
  </r>
  <r>
    <s v="E202403012"/>
    <x v="0"/>
    <x v="1"/>
    <x v="2"/>
    <s v="Redes"/>
    <n v="3.6"/>
    <n v="54.1"/>
    <x v="0"/>
    <x v="0"/>
  </r>
  <r>
    <s v="E202501049"/>
    <x v="1"/>
    <x v="1"/>
    <x v="1"/>
    <s v="Matematica"/>
    <n v="3.6"/>
    <n v="79.599999999999994"/>
    <x v="0"/>
    <x v="2"/>
  </r>
  <r>
    <s v="E202503008"/>
    <x v="1"/>
    <x v="1"/>
    <x v="2"/>
    <s v="Programacao"/>
    <n v="3.6"/>
    <n v="48.6"/>
    <x v="0"/>
    <x v="1"/>
  </r>
  <r>
    <s v="E202503034"/>
    <x v="1"/>
    <x v="1"/>
    <x v="2"/>
    <s v="Bases de Dados"/>
    <n v="3.6"/>
    <n v="50"/>
    <x v="0"/>
    <x v="0"/>
  </r>
  <r>
    <s v="E202402003"/>
    <x v="0"/>
    <x v="1"/>
    <x v="0"/>
    <s v="Estatistica"/>
    <n v="3.7"/>
    <n v="80.3"/>
    <x v="0"/>
    <x v="2"/>
  </r>
  <r>
    <s v="E202402059"/>
    <x v="0"/>
    <x v="1"/>
    <x v="0"/>
    <s v="Contabilidade"/>
    <n v="3.7"/>
    <n v="55.1"/>
    <x v="0"/>
    <x v="0"/>
  </r>
  <r>
    <s v="E202502036"/>
    <x v="1"/>
    <x v="0"/>
    <x v="0"/>
    <s v="Estatistica"/>
    <n v="3.7"/>
    <n v="53.5"/>
    <x v="0"/>
    <x v="0"/>
  </r>
  <r>
    <s v="E202503018"/>
    <x v="1"/>
    <x v="1"/>
    <x v="2"/>
    <s v="Redes"/>
    <n v="3.7"/>
    <n v="75.8"/>
    <x v="0"/>
    <x v="2"/>
  </r>
  <r>
    <s v="E202401020"/>
    <x v="0"/>
    <x v="0"/>
    <x v="1"/>
    <s v="Matematica"/>
    <n v="3.8"/>
    <n v="70.900000000000006"/>
    <x v="0"/>
    <x v="0"/>
  </r>
  <r>
    <s v="E202402043"/>
    <x v="0"/>
    <x v="0"/>
    <x v="0"/>
    <s v="Estatistica"/>
    <n v="3.8"/>
    <n v="46.4"/>
    <x v="0"/>
    <x v="1"/>
  </r>
  <r>
    <s v="E202402012"/>
    <x v="0"/>
    <x v="1"/>
    <x v="0"/>
    <s v="Estatistica"/>
    <n v="3.8"/>
    <n v="46.2"/>
    <x v="0"/>
    <x v="1"/>
  </r>
  <r>
    <s v="E202403025"/>
    <x v="0"/>
    <x v="1"/>
    <x v="2"/>
    <s v="Programacao"/>
    <n v="3.8"/>
    <n v="59.1"/>
    <x v="0"/>
    <x v="0"/>
  </r>
  <r>
    <s v="E202501029"/>
    <x v="1"/>
    <x v="1"/>
    <x v="1"/>
    <s v="Redes"/>
    <n v="3.8"/>
    <n v="56.6"/>
    <x v="0"/>
    <x v="0"/>
  </r>
  <r>
    <s v="E202501058"/>
    <x v="1"/>
    <x v="1"/>
    <x v="1"/>
    <s v="Sinais"/>
    <n v="3.8"/>
    <n v="59.5"/>
    <x v="0"/>
    <x v="0"/>
  </r>
  <r>
    <s v="E202502013"/>
    <x v="1"/>
    <x v="1"/>
    <x v="0"/>
    <s v="Marketing"/>
    <n v="3.8"/>
    <n v="70.400000000000006"/>
    <x v="0"/>
    <x v="0"/>
  </r>
  <r>
    <s v="E202601052"/>
    <x v="2"/>
    <x v="0"/>
    <x v="1"/>
    <s v="Redes"/>
    <n v="3.8"/>
    <n v="48.5"/>
    <x v="0"/>
    <x v="1"/>
  </r>
  <r>
    <s v="E202602015"/>
    <x v="2"/>
    <x v="1"/>
    <x v="0"/>
    <s v="Marketing"/>
    <n v="3.8"/>
    <n v="58.7"/>
    <x v="0"/>
    <x v="0"/>
  </r>
  <r>
    <s v="E202402040"/>
    <x v="0"/>
    <x v="1"/>
    <x v="0"/>
    <s v="Marketing"/>
    <n v="3.9"/>
    <n v="46.6"/>
    <x v="0"/>
    <x v="1"/>
  </r>
  <r>
    <s v="E202501004"/>
    <x v="1"/>
    <x v="0"/>
    <x v="1"/>
    <s v="Matematica"/>
    <n v="3.9"/>
    <n v="48.6"/>
    <x v="0"/>
    <x v="1"/>
  </r>
  <r>
    <s v="E202502048"/>
    <x v="1"/>
    <x v="1"/>
    <x v="0"/>
    <s v="Estatistica"/>
    <n v="3.9"/>
    <n v="53.6"/>
    <x v="0"/>
    <x v="0"/>
  </r>
  <r>
    <s v="E202603052"/>
    <x v="2"/>
    <x v="0"/>
    <x v="2"/>
    <s v="Bases de Dados"/>
    <n v="3.9"/>
    <n v="49.3"/>
    <x v="0"/>
    <x v="1"/>
  </r>
  <r>
    <s v="E202401057"/>
    <x v="0"/>
    <x v="0"/>
    <x v="1"/>
    <s v="Matematica"/>
    <n v="4"/>
    <n v="76.3"/>
    <x v="0"/>
    <x v="2"/>
  </r>
  <r>
    <s v="E202403052"/>
    <x v="0"/>
    <x v="0"/>
    <x v="2"/>
    <s v="Programacao"/>
    <n v="4"/>
    <n v="46.9"/>
    <x v="0"/>
    <x v="1"/>
  </r>
  <r>
    <s v="E202502037"/>
    <x v="1"/>
    <x v="1"/>
    <x v="0"/>
    <s v="Contabilidade"/>
    <n v="4"/>
    <n v="47.8"/>
    <x v="0"/>
    <x v="1"/>
  </r>
  <r>
    <s v="E202601054"/>
    <x v="2"/>
    <x v="0"/>
    <x v="1"/>
    <s v="Matematica"/>
    <n v="4"/>
    <n v="69.400000000000006"/>
    <x v="0"/>
    <x v="0"/>
  </r>
  <r>
    <s v="E202602004"/>
    <x v="2"/>
    <x v="0"/>
    <x v="0"/>
    <s v="Contabilidade"/>
    <n v="4"/>
    <n v="57.9"/>
    <x v="0"/>
    <x v="0"/>
  </r>
  <r>
    <s v="E202401010"/>
    <x v="0"/>
    <x v="1"/>
    <x v="1"/>
    <s v="Sinais"/>
    <n v="4.0999999999999996"/>
    <n v="47.9"/>
    <x v="0"/>
    <x v="1"/>
  </r>
  <r>
    <s v="E202403018"/>
    <x v="0"/>
    <x v="1"/>
    <x v="2"/>
    <s v="Bases de Dados"/>
    <n v="4.0999999999999996"/>
    <n v="56.3"/>
    <x v="0"/>
    <x v="0"/>
  </r>
  <r>
    <s v="E202601001"/>
    <x v="2"/>
    <x v="0"/>
    <x v="1"/>
    <s v="Redes"/>
    <n v="4.0999999999999996"/>
    <n v="65.2"/>
    <x v="0"/>
    <x v="0"/>
  </r>
  <r>
    <s v="E202603034"/>
    <x v="2"/>
    <x v="1"/>
    <x v="2"/>
    <s v="Bases de Dados"/>
    <n v="4.0999999999999996"/>
    <n v="59.7"/>
    <x v="0"/>
    <x v="0"/>
  </r>
  <r>
    <s v="E202401033"/>
    <x v="0"/>
    <x v="0"/>
    <x v="1"/>
    <s v="Matematica"/>
    <n v="4.2"/>
    <n v="56.5"/>
    <x v="0"/>
    <x v="0"/>
  </r>
  <r>
    <s v="E202402048"/>
    <x v="0"/>
    <x v="0"/>
    <x v="0"/>
    <s v="Estatistica"/>
    <n v="4.2"/>
    <n v="70.099999999999994"/>
    <x v="0"/>
    <x v="0"/>
  </r>
  <r>
    <s v="E202401001"/>
    <x v="0"/>
    <x v="1"/>
    <x v="1"/>
    <s v="Sinais"/>
    <n v="4.2"/>
    <n v="51.5"/>
    <x v="0"/>
    <x v="0"/>
  </r>
  <r>
    <s v="E202401025"/>
    <x v="0"/>
    <x v="1"/>
    <x v="1"/>
    <s v="Matematica"/>
    <n v="4.2"/>
    <n v="49.7"/>
    <x v="0"/>
    <x v="1"/>
  </r>
  <r>
    <s v="E202501056"/>
    <x v="1"/>
    <x v="0"/>
    <x v="1"/>
    <s v="Redes"/>
    <n v="4.2"/>
    <n v="64.900000000000006"/>
    <x v="0"/>
    <x v="0"/>
  </r>
  <r>
    <s v="E202503007"/>
    <x v="1"/>
    <x v="0"/>
    <x v="2"/>
    <s v="Bases de Dados"/>
    <n v="4.2"/>
    <n v="61.3"/>
    <x v="0"/>
    <x v="0"/>
  </r>
  <r>
    <s v="E202502047"/>
    <x v="1"/>
    <x v="1"/>
    <x v="0"/>
    <s v="Marketing"/>
    <n v="4.2"/>
    <n v="69.8"/>
    <x v="0"/>
    <x v="0"/>
  </r>
  <r>
    <s v="E202503008"/>
    <x v="1"/>
    <x v="1"/>
    <x v="2"/>
    <s v="Redes"/>
    <n v="4.2"/>
    <n v="71.599999999999994"/>
    <x v="0"/>
    <x v="0"/>
  </r>
  <r>
    <s v="E202602053"/>
    <x v="2"/>
    <x v="0"/>
    <x v="0"/>
    <s v="Marketing"/>
    <n v="4.2"/>
    <n v="54.7"/>
    <x v="0"/>
    <x v="0"/>
  </r>
  <r>
    <s v="E202603008"/>
    <x v="2"/>
    <x v="0"/>
    <x v="2"/>
    <s v="Bases de Dados"/>
    <n v="4.2"/>
    <n v="48.2"/>
    <x v="0"/>
    <x v="1"/>
  </r>
  <r>
    <s v="E202603043"/>
    <x v="2"/>
    <x v="0"/>
    <x v="2"/>
    <s v="Bases de Dados"/>
    <n v="4.2"/>
    <n v="61.6"/>
    <x v="0"/>
    <x v="0"/>
  </r>
  <r>
    <s v="E202401050"/>
    <x v="0"/>
    <x v="1"/>
    <x v="1"/>
    <s v="Sinais"/>
    <n v="4.3"/>
    <n v="66"/>
    <x v="0"/>
    <x v="0"/>
  </r>
  <r>
    <s v="E202402001"/>
    <x v="0"/>
    <x v="1"/>
    <x v="0"/>
    <s v="Estatistica"/>
    <n v="4.3"/>
    <n v="50"/>
    <x v="0"/>
    <x v="0"/>
  </r>
  <r>
    <s v="E202402025"/>
    <x v="0"/>
    <x v="1"/>
    <x v="0"/>
    <s v="Contabilidade"/>
    <n v="4.3"/>
    <n v="51"/>
    <x v="0"/>
    <x v="0"/>
  </r>
  <r>
    <s v="E202403027"/>
    <x v="0"/>
    <x v="1"/>
    <x v="2"/>
    <s v="Bases de Dados"/>
    <n v="4.3"/>
    <n v="49.8"/>
    <x v="0"/>
    <x v="1"/>
  </r>
  <r>
    <s v="E202501054"/>
    <x v="1"/>
    <x v="0"/>
    <x v="1"/>
    <s v="Redes"/>
    <n v="4.3"/>
    <n v="46.8"/>
    <x v="0"/>
    <x v="1"/>
  </r>
  <r>
    <s v="E202501058"/>
    <x v="1"/>
    <x v="1"/>
    <x v="1"/>
    <s v="Redes"/>
    <n v="4.3"/>
    <n v="50.1"/>
    <x v="0"/>
    <x v="0"/>
  </r>
  <r>
    <s v="E202601046"/>
    <x v="2"/>
    <x v="0"/>
    <x v="1"/>
    <s v="Redes"/>
    <n v="4.3"/>
    <n v="77.5"/>
    <x v="0"/>
    <x v="2"/>
  </r>
  <r>
    <s v="E202603041"/>
    <x v="2"/>
    <x v="0"/>
    <x v="2"/>
    <s v="Redes"/>
    <n v="4.3"/>
    <n v="48.8"/>
    <x v="0"/>
    <x v="1"/>
  </r>
  <r>
    <s v="E202403060"/>
    <x v="0"/>
    <x v="0"/>
    <x v="2"/>
    <s v="Redes"/>
    <n v="4.4000000000000004"/>
    <n v="59"/>
    <x v="0"/>
    <x v="0"/>
  </r>
  <r>
    <s v="E202401005"/>
    <x v="0"/>
    <x v="1"/>
    <x v="1"/>
    <s v="Sinais"/>
    <n v="4.4000000000000004"/>
    <n v="55.1"/>
    <x v="0"/>
    <x v="0"/>
  </r>
  <r>
    <s v="E202401020"/>
    <x v="0"/>
    <x v="1"/>
    <x v="1"/>
    <s v="Matematica"/>
    <n v="4.4000000000000004"/>
    <n v="48.7"/>
    <x v="0"/>
    <x v="1"/>
  </r>
  <r>
    <s v="E202401022"/>
    <x v="0"/>
    <x v="1"/>
    <x v="1"/>
    <s v="Sinais"/>
    <n v="4.4000000000000004"/>
    <n v="52"/>
    <x v="0"/>
    <x v="0"/>
  </r>
  <r>
    <s v="E202402045"/>
    <x v="0"/>
    <x v="1"/>
    <x v="0"/>
    <s v="Estatistica"/>
    <n v="4.4000000000000004"/>
    <n v="52.3"/>
    <x v="0"/>
    <x v="0"/>
  </r>
  <r>
    <s v="E202501027"/>
    <x v="1"/>
    <x v="0"/>
    <x v="1"/>
    <s v="Redes"/>
    <n v="4.4000000000000004"/>
    <n v="61.7"/>
    <x v="0"/>
    <x v="0"/>
  </r>
  <r>
    <s v="E202601047"/>
    <x v="2"/>
    <x v="1"/>
    <x v="1"/>
    <s v="Sinais"/>
    <n v="4.4000000000000004"/>
    <n v="66.2"/>
    <x v="0"/>
    <x v="0"/>
  </r>
  <r>
    <s v="E202602016"/>
    <x v="2"/>
    <x v="1"/>
    <x v="0"/>
    <s v="Estatistica"/>
    <n v="4.4000000000000004"/>
    <n v="55.5"/>
    <x v="0"/>
    <x v="0"/>
  </r>
  <r>
    <s v="E202603054"/>
    <x v="2"/>
    <x v="1"/>
    <x v="2"/>
    <s v="Bases de Dados"/>
    <n v="4.4000000000000004"/>
    <n v="57.8"/>
    <x v="0"/>
    <x v="0"/>
  </r>
  <r>
    <s v="E202401010"/>
    <x v="0"/>
    <x v="0"/>
    <x v="1"/>
    <s v="Redes"/>
    <n v="4.5"/>
    <n v="85.4"/>
    <x v="0"/>
    <x v="2"/>
  </r>
  <r>
    <s v="E202401037"/>
    <x v="0"/>
    <x v="0"/>
    <x v="1"/>
    <s v="Matematica"/>
    <n v="4.5"/>
    <n v="68.400000000000006"/>
    <x v="0"/>
    <x v="0"/>
  </r>
  <r>
    <s v="E202401040"/>
    <x v="0"/>
    <x v="1"/>
    <x v="1"/>
    <s v="Redes"/>
    <n v="4.5"/>
    <n v="58"/>
    <x v="0"/>
    <x v="0"/>
  </r>
  <r>
    <s v="E202501008"/>
    <x v="1"/>
    <x v="0"/>
    <x v="1"/>
    <s v="Sinais"/>
    <n v="4.5"/>
    <n v="65.2"/>
    <x v="0"/>
    <x v="0"/>
  </r>
  <r>
    <s v="E202601018"/>
    <x v="2"/>
    <x v="1"/>
    <x v="1"/>
    <s v="Sinais"/>
    <n v="4.5"/>
    <n v="81.099999999999994"/>
    <x v="0"/>
    <x v="2"/>
  </r>
  <r>
    <s v="E202603013"/>
    <x v="2"/>
    <x v="1"/>
    <x v="2"/>
    <s v="Bases de Dados"/>
    <n v="4.5"/>
    <n v="47.7"/>
    <x v="0"/>
    <x v="1"/>
  </r>
  <r>
    <s v="E202401038"/>
    <x v="0"/>
    <x v="1"/>
    <x v="1"/>
    <s v="Matematica"/>
    <n v="4.5999999999999996"/>
    <n v="63.1"/>
    <x v="0"/>
    <x v="0"/>
  </r>
  <r>
    <s v="E202502044"/>
    <x v="1"/>
    <x v="1"/>
    <x v="0"/>
    <s v="Contabilidade"/>
    <n v="4.5999999999999996"/>
    <n v="47.3"/>
    <x v="0"/>
    <x v="1"/>
  </r>
  <r>
    <s v="E202601028"/>
    <x v="2"/>
    <x v="0"/>
    <x v="1"/>
    <s v="Redes"/>
    <n v="4.5999999999999996"/>
    <n v="45.7"/>
    <x v="0"/>
    <x v="1"/>
  </r>
  <r>
    <s v="E202602003"/>
    <x v="2"/>
    <x v="0"/>
    <x v="0"/>
    <s v="Contabilidade"/>
    <n v="4.5999999999999996"/>
    <n v="48"/>
    <x v="0"/>
    <x v="1"/>
  </r>
  <r>
    <s v="E202602014"/>
    <x v="2"/>
    <x v="0"/>
    <x v="0"/>
    <s v="Contabilidade"/>
    <n v="4.5999999999999996"/>
    <n v="73.3"/>
    <x v="0"/>
    <x v="0"/>
  </r>
  <r>
    <s v="E202603025"/>
    <x v="2"/>
    <x v="0"/>
    <x v="2"/>
    <s v="Bases de Dados"/>
    <n v="4.5999999999999996"/>
    <n v="54"/>
    <x v="0"/>
    <x v="0"/>
  </r>
  <r>
    <s v="E202601041"/>
    <x v="2"/>
    <x v="1"/>
    <x v="1"/>
    <s v="Sinais"/>
    <n v="4.5999999999999996"/>
    <n v="71.5"/>
    <x v="0"/>
    <x v="0"/>
  </r>
  <r>
    <s v="E202601048"/>
    <x v="2"/>
    <x v="1"/>
    <x v="1"/>
    <s v="Matematica"/>
    <n v="4.5999999999999996"/>
    <n v="58.3"/>
    <x v="0"/>
    <x v="0"/>
  </r>
  <r>
    <s v="E202402039"/>
    <x v="0"/>
    <x v="0"/>
    <x v="0"/>
    <s v="Marketing"/>
    <n v="4.7"/>
    <n v="64.2"/>
    <x v="0"/>
    <x v="0"/>
  </r>
  <r>
    <s v="E202403011"/>
    <x v="0"/>
    <x v="0"/>
    <x v="2"/>
    <s v="Bases de Dados"/>
    <n v="4.7"/>
    <n v="48.5"/>
    <x v="0"/>
    <x v="1"/>
  </r>
  <r>
    <s v="E202401026"/>
    <x v="0"/>
    <x v="1"/>
    <x v="1"/>
    <s v="Redes"/>
    <n v="4.7"/>
    <n v="57.1"/>
    <x v="0"/>
    <x v="0"/>
  </r>
  <r>
    <s v="E202401033"/>
    <x v="0"/>
    <x v="1"/>
    <x v="1"/>
    <s v="Matematica"/>
    <n v="4.7"/>
    <n v="46.7"/>
    <x v="0"/>
    <x v="1"/>
  </r>
  <r>
    <s v="E202402028"/>
    <x v="0"/>
    <x v="1"/>
    <x v="0"/>
    <s v="Marketing"/>
    <n v="4.7"/>
    <n v="61.8"/>
    <x v="0"/>
    <x v="0"/>
  </r>
  <r>
    <s v="E202501039"/>
    <x v="1"/>
    <x v="0"/>
    <x v="1"/>
    <s v="Sinais"/>
    <n v="4.7"/>
    <n v="53"/>
    <x v="0"/>
    <x v="0"/>
  </r>
  <r>
    <s v="E202502026"/>
    <x v="1"/>
    <x v="0"/>
    <x v="0"/>
    <s v="Marketing"/>
    <n v="4.7"/>
    <n v="48.7"/>
    <x v="0"/>
    <x v="1"/>
  </r>
  <r>
    <s v="E202502046"/>
    <x v="1"/>
    <x v="0"/>
    <x v="0"/>
    <s v="Estatistica"/>
    <n v="4.7"/>
    <n v="47.4"/>
    <x v="0"/>
    <x v="1"/>
  </r>
  <r>
    <s v="E202603023"/>
    <x v="2"/>
    <x v="0"/>
    <x v="2"/>
    <s v="Programacao"/>
    <n v="4.7"/>
    <n v="51.1"/>
    <x v="0"/>
    <x v="0"/>
  </r>
  <r>
    <s v="E202602004"/>
    <x v="2"/>
    <x v="1"/>
    <x v="0"/>
    <s v="Contabilidade"/>
    <n v="4.7"/>
    <n v="74.099999999999994"/>
    <x v="0"/>
    <x v="0"/>
  </r>
  <r>
    <s v="E202402010"/>
    <x v="0"/>
    <x v="0"/>
    <x v="0"/>
    <s v="Contabilidade"/>
    <n v="4.8"/>
    <n v="98.3"/>
    <x v="0"/>
    <x v="2"/>
  </r>
  <r>
    <s v="E202403054"/>
    <x v="0"/>
    <x v="0"/>
    <x v="2"/>
    <s v="Bases de Dados"/>
    <n v="4.8"/>
    <n v="51.9"/>
    <x v="0"/>
    <x v="0"/>
  </r>
  <r>
    <s v="E202403016"/>
    <x v="0"/>
    <x v="1"/>
    <x v="2"/>
    <s v="Bases de Dados"/>
    <n v="4.8"/>
    <n v="54.8"/>
    <x v="0"/>
    <x v="0"/>
  </r>
  <r>
    <s v="E202502058"/>
    <x v="1"/>
    <x v="1"/>
    <x v="0"/>
    <s v="Estatistica"/>
    <n v="4.8"/>
    <n v="69.400000000000006"/>
    <x v="0"/>
    <x v="0"/>
  </r>
  <r>
    <s v="E202602037"/>
    <x v="2"/>
    <x v="0"/>
    <x v="0"/>
    <s v="Estatistica"/>
    <n v="4.8"/>
    <n v="53.2"/>
    <x v="0"/>
    <x v="0"/>
  </r>
  <r>
    <s v="E202602032"/>
    <x v="2"/>
    <x v="1"/>
    <x v="0"/>
    <s v="Estatistica"/>
    <n v="4.8"/>
    <n v="54.7"/>
    <x v="0"/>
    <x v="0"/>
  </r>
  <r>
    <s v="E202401004"/>
    <x v="0"/>
    <x v="1"/>
    <x v="1"/>
    <s v="Sinais"/>
    <n v="4.9000000000000004"/>
    <n v="50.9"/>
    <x v="0"/>
    <x v="0"/>
  </r>
  <r>
    <s v="E202401030"/>
    <x v="0"/>
    <x v="1"/>
    <x v="1"/>
    <s v="Matematica"/>
    <n v="4.9000000000000004"/>
    <n v="55.7"/>
    <x v="0"/>
    <x v="0"/>
  </r>
  <r>
    <s v="E202402022"/>
    <x v="0"/>
    <x v="1"/>
    <x v="0"/>
    <s v="Marketing"/>
    <n v="4.9000000000000004"/>
    <n v="50"/>
    <x v="0"/>
    <x v="0"/>
  </r>
  <r>
    <s v="E202403003"/>
    <x v="0"/>
    <x v="1"/>
    <x v="2"/>
    <s v="Bases de Dados"/>
    <n v="4.9000000000000004"/>
    <n v="52.6"/>
    <x v="0"/>
    <x v="0"/>
  </r>
  <r>
    <s v="E202403011"/>
    <x v="0"/>
    <x v="1"/>
    <x v="2"/>
    <s v="Bases de Dados"/>
    <n v="4.9000000000000004"/>
    <n v="48.7"/>
    <x v="0"/>
    <x v="1"/>
  </r>
  <r>
    <s v="E202502021"/>
    <x v="1"/>
    <x v="0"/>
    <x v="0"/>
    <s v="Estatistica"/>
    <n v="4.9000000000000004"/>
    <n v="62.7"/>
    <x v="0"/>
    <x v="0"/>
  </r>
  <r>
    <s v="E202502033"/>
    <x v="1"/>
    <x v="0"/>
    <x v="0"/>
    <s v="Contabilidade"/>
    <n v="4.9000000000000004"/>
    <n v="48.6"/>
    <x v="0"/>
    <x v="1"/>
  </r>
  <r>
    <s v="E202502043"/>
    <x v="1"/>
    <x v="1"/>
    <x v="0"/>
    <s v="Contabilidade"/>
    <n v="4.9000000000000004"/>
    <n v="47.4"/>
    <x v="0"/>
    <x v="1"/>
  </r>
  <r>
    <s v="E202603022"/>
    <x v="2"/>
    <x v="0"/>
    <x v="2"/>
    <s v="Bases de Dados"/>
    <n v="4.9000000000000004"/>
    <n v="62.9"/>
    <x v="0"/>
    <x v="0"/>
  </r>
  <r>
    <s v="E202402019"/>
    <x v="0"/>
    <x v="0"/>
    <x v="0"/>
    <s v="Contabilidade"/>
    <n v="5"/>
    <n v="65.3"/>
    <x v="0"/>
    <x v="0"/>
  </r>
  <r>
    <s v="E202402029"/>
    <x v="0"/>
    <x v="0"/>
    <x v="0"/>
    <s v="Estatistica"/>
    <n v="5"/>
    <n v="59.4"/>
    <x v="0"/>
    <x v="0"/>
  </r>
  <r>
    <s v="E202502014"/>
    <x v="1"/>
    <x v="0"/>
    <x v="0"/>
    <s v="Estatistica"/>
    <n v="5"/>
    <n v="64"/>
    <x v="0"/>
    <x v="0"/>
  </r>
  <r>
    <s v="E202503039"/>
    <x v="1"/>
    <x v="0"/>
    <x v="2"/>
    <s v="Programacao"/>
    <n v="5"/>
    <n v="47.2"/>
    <x v="0"/>
    <x v="1"/>
  </r>
  <r>
    <s v="E202601002"/>
    <x v="2"/>
    <x v="0"/>
    <x v="1"/>
    <s v="Matematica"/>
    <n v="5"/>
    <n v="50.3"/>
    <x v="0"/>
    <x v="0"/>
  </r>
  <r>
    <s v="E202601008"/>
    <x v="2"/>
    <x v="0"/>
    <x v="1"/>
    <s v="Sinais"/>
    <n v="5"/>
    <n v="71.5"/>
    <x v="0"/>
    <x v="0"/>
  </r>
  <r>
    <s v="E202601037"/>
    <x v="2"/>
    <x v="0"/>
    <x v="1"/>
    <s v="Redes"/>
    <n v="5"/>
    <n v="58.8"/>
    <x v="0"/>
    <x v="0"/>
  </r>
  <r>
    <s v="E202602054"/>
    <x v="2"/>
    <x v="1"/>
    <x v="0"/>
    <s v="Estatistica"/>
    <n v="5"/>
    <n v="56.7"/>
    <x v="0"/>
    <x v="0"/>
  </r>
  <r>
    <s v="E202603035"/>
    <x v="2"/>
    <x v="1"/>
    <x v="2"/>
    <s v="Programacao"/>
    <n v="5"/>
    <n v="69"/>
    <x v="0"/>
    <x v="0"/>
  </r>
  <r>
    <s v="E202401004"/>
    <x v="0"/>
    <x v="0"/>
    <x v="1"/>
    <s v="Sinais"/>
    <n v="5.0999999999999996"/>
    <n v="55.8"/>
    <x v="0"/>
    <x v="0"/>
  </r>
  <r>
    <s v="E202401012"/>
    <x v="0"/>
    <x v="0"/>
    <x v="1"/>
    <s v="Sinais"/>
    <n v="5.0999999999999996"/>
    <n v="45.4"/>
    <x v="0"/>
    <x v="1"/>
  </r>
  <r>
    <s v="E202402031"/>
    <x v="0"/>
    <x v="0"/>
    <x v="0"/>
    <s v="Estatistica"/>
    <n v="5.0999999999999996"/>
    <n v="59.6"/>
    <x v="0"/>
    <x v="0"/>
  </r>
  <r>
    <s v="E202403029"/>
    <x v="0"/>
    <x v="0"/>
    <x v="2"/>
    <s v="Bases de Dados"/>
    <n v="5.0999999999999996"/>
    <n v="51.8"/>
    <x v="0"/>
    <x v="0"/>
  </r>
  <r>
    <s v="E202402004"/>
    <x v="0"/>
    <x v="1"/>
    <x v="0"/>
    <s v="Estatistica"/>
    <n v="5.0999999999999996"/>
    <n v="48.9"/>
    <x v="0"/>
    <x v="1"/>
  </r>
  <r>
    <s v="E202403004"/>
    <x v="0"/>
    <x v="1"/>
    <x v="2"/>
    <s v="Programacao"/>
    <n v="5.0999999999999996"/>
    <n v="45.4"/>
    <x v="0"/>
    <x v="1"/>
  </r>
  <r>
    <s v="E202403010"/>
    <x v="0"/>
    <x v="1"/>
    <x v="2"/>
    <s v="Programacao"/>
    <n v="5.0999999999999996"/>
    <n v="53.7"/>
    <x v="0"/>
    <x v="0"/>
  </r>
  <r>
    <s v="E202503012"/>
    <x v="1"/>
    <x v="0"/>
    <x v="2"/>
    <s v="Programacao"/>
    <n v="5.0999999999999996"/>
    <n v="48.7"/>
    <x v="0"/>
    <x v="1"/>
  </r>
  <r>
    <s v="E202503032"/>
    <x v="1"/>
    <x v="1"/>
    <x v="2"/>
    <s v="Programacao"/>
    <n v="5.0999999999999996"/>
    <n v="76.7"/>
    <x v="0"/>
    <x v="2"/>
  </r>
  <r>
    <s v="E202503033"/>
    <x v="1"/>
    <x v="1"/>
    <x v="2"/>
    <s v="Bases de Dados"/>
    <n v="5.0999999999999996"/>
    <n v="77.7"/>
    <x v="0"/>
    <x v="2"/>
  </r>
  <r>
    <s v="E202601028"/>
    <x v="2"/>
    <x v="1"/>
    <x v="1"/>
    <s v="Redes"/>
    <n v="5.0999999999999996"/>
    <n v="46.7"/>
    <x v="0"/>
    <x v="1"/>
  </r>
  <r>
    <s v="E202602011"/>
    <x v="2"/>
    <x v="1"/>
    <x v="0"/>
    <s v="Marketing"/>
    <n v="5.0999999999999996"/>
    <n v="52.1"/>
    <x v="0"/>
    <x v="0"/>
  </r>
  <r>
    <s v="E202603009"/>
    <x v="2"/>
    <x v="1"/>
    <x v="2"/>
    <s v="Bases de Dados"/>
    <n v="5.0999999999999996"/>
    <n v="79.599999999999994"/>
    <x v="0"/>
    <x v="2"/>
  </r>
  <r>
    <s v="E202401045"/>
    <x v="0"/>
    <x v="0"/>
    <x v="1"/>
    <s v="Matematica"/>
    <n v="5.2"/>
    <n v="52.2"/>
    <x v="0"/>
    <x v="0"/>
  </r>
  <r>
    <s v="E202401048"/>
    <x v="0"/>
    <x v="0"/>
    <x v="1"/>
    <s v="Matematica"/>
    <n v="5.2"/>
    <n v="58"/>
    <x v="0"/>
    <x v="0"/>
  </r>
  <r>
    <s v="E202403036"/>
    <x v="0"/>
    <x v="0"/>
    <x v="2"/>
    <s v="Programacao"/>
    <n v="5.2"/>
    <n v="47.5"/>
    <x v="0"/>
    <x v="1"/>
  </r>
  <r>
    <s v="E202401004"/>
    <x v="0"/>
    <x v="1"/>
    <x v="1"/>
    <s v="Redes"/>
    <n v="5.2"/>
    <n v="50.1"/>
    <x v="0"/>
    <x v="0"/>
  </r>
  <r>
    <s v="E202403002"/>
    <x v="0"/>
    <x v="1"/>
    <x v="2"/>
    <s v="Programacao"/>
    <n v="5.2"/>
    <n v="68.099999999999994"/>
    <x v="0"/>
    <x v="0"/>
  </r>
  <r>
    <s v="E202501004"/>
    <x v="1"/>
    <x v="0"/>
    <x v="1"/>
    <s v="Redes"/>
    <n v="5.2"/>
    <n v="52.6"/>
    <x v="0"/>
    <x v="0"/>
  </r>
  <r>
    <s v="E202501009"/>
    <x v="1"/>
    <x v="0"/>
    <x v="1"/>
    <s v="Redes"/>
    <n v="5.2"/>
    <n v="77.2"/>
    <x v="0"/>
    <x v="2"/>
  </r>
  <r>
    <s v="E202502001"/>
    <x v="1"/>
    <x v="0"/>
    <x v="0"/>
    <s v="Estatistica"/>
    <n v="5.2"/>
    <n v="98.1"/>
    <x v="0"/>
    <x v="2"/>
  </r>
  <r>
    <s v="E202601013"/>
    <x v="2"/>
    <x v="0"/>
    <x v="1"/>
    <s v="Matematica"/>
    <n v="5.2"/>
    <n v="66.099999999999994"/>
    <x v="0"/>
    <x v="0"/>
  </r>
  <r>
    <s v="E202603045"/>
    <x v="2"/>
    <x v="0"/>
    <x v="2"/>
    <s v="Bases de Dados"/>
    <n v="5.2"/>
    <n v="55.8"/>
    <x v="0"/>
    <x v="0"/>
  </r>
  <r>
    <s v="E202602008"/>
    <x v="2"/>
    <x v="1"/>
    <x v="0"/>
    <s v="Contabilidade"/>
    <n v="5.2"/>
    <n v="71.400000000000006"/>
    <x v="0"/>
    <x v="0"/>
  </r>
  <r>
    <s v="E202602033"/>
    <x v="2"/>
    <x v="1"/>
    <x v="0"/>
    <s v="Contabilidade"/>
    <n v="5.2"/>
    <n v="52.6"/>
    <x v="0"/>
    <x v="0"/>
  </r>
  <r>
    <s v="E202602033"/>
    <x v="2"/>
    <x v="1"/>
    <x v="0"/>
    <s v="Estatistica"/>
    <n v="5.2"/>
    <n v="59.9"/>
    <x v="0"/>
    <x v="0"/>
  </r>
  <r>
    <s v="E202603002"/>
    <x v="2"/>
    <x v="1"/>
    <x v="2"/>
    <s v="Bases de Dados"/>
    <n v="5.2"/>
    <n v="71.900000000000006"/>
    <x v="0"/>
    <x v="0"/>
  </r>
  <r>
    <s v="E202403003"/>
    <x v="0"/>
    <x v="0"/>
    <x v="2"/>
    <s v="Redes"/>
    <n v="5.3"/>
    <n v="54.3"/>
    <x v="0"/>
    <x v="0"/>
  </r>
  <r>
    <s v="E202402051"/>
    <x v="0"/>
    <x v="1"/>
    <x v="0"/>
    <s v="Estatistica"/>
    <n v="5.3"/>
    <n v="73.400000000000006"/>
    <x v="0"/>
    <x v="0"/>
  </r>
  <r>
    <s v="E202403022"/>
    <x v="0"/>
    <x v="1"/>
    <x v="2"/>
    <s v="Redes"/>
    <n v="5.3"/>
    <n v="67"/>
    <x v="0"/>
    <x v="0"/>
  </r>
  <r>
    <s v="E202501014"/>
    <x v="1"/>
    <x v="0"/>
    <x v="1"/>
    <s v="Sinais"/>
    <n v="5.3"/>
    <n v="87.7"/>
    <x v="0"/>
    <x v="2"/>
  </r>
  <r>
    <s v="E202502049"/>
    <x v="1"/>
    <x v="0"/>
    <x v="0"/>
    <s v="Marketing"/>
    <n v="5.3"/>
    <n v="62.8"/>
    <x v="0"/>
    <x v="0"/>
  </r>
  <r>
    <s v="E202503053"/>
    <x v="1"/>
    <x v="0"/>
    <x v="2"/>
    <s v="Programacao"/>
    <n v="5.3"/>
    <n v="92"/>
    <x v="0"/>
    <x v="2"/>
  </r>
  <r>
    <s v="E202503054"/>
    <x v="1"/>
    <x v="0"/>
    <x v="2"/>
    <s v="Bases de Dados"/>
    <n v="5.3"/>
    <n v="52.9"/>
    <x v="0"/>
    <x v="0"/>
  </r>
  <r>
    <s v="E202501033"/>
    <x v="1"/>
    <x v="1"/>
    <x v="1"/>
    <s v="Redes"/>
    <n v="5.3"/>
    <n v="78.3"/>
    <x v="0"/>
    <x v="2"/>
  </r>
  <r>
    <s v="E202502052"/>
    <x v="1"/>
    <x v="1"/>
    <x v="0"/>
    <s v="Marketing"/>
    <n v="5.3"/>
    <n v="63.2"/>
    <x v="0"/>
    <x v="0"/>
  </r>
  <r>
    <s v="E202503040"/>
    <x v="1"/>
    <x v="1"/>
    <x v="2"/>
    <s v="Programacao"/>
    <n v="5.3"/>
    <n v="52.9"/>
    <x v="0"/>
    <x v="0"/>
  </r>
  <r>
    <s v="E202601023"/>
    <x v="2"/>
    <x v="0"/>
    <x v="1"/>
    <s v="Sinais"/>
    <n v="5.3"/>
    <n v="72.900000000000006"/>
    <x v="0"/>
    <x v="0"/>
  </r>
  <r>
    <s v="E202601008"/>
    <x v="2"/>
    <x v="1"/>
    <x v="1"/>
    <s v="Matematica"/>
    <n v="5.3"/>
    <n v="52.3"/>
    <x v="0"/>
    <x v="0"/>
  </r>
  <r>
    <s v="E202601020"/>
    <x v="2"/>
    <x v="1"/>
    <x v="1"/>
    <s v="Matematica"/>
    <n v="5.3"/>
    <n v="50.2"/>
    <x v="0"/>
    <x v="0"/>
  </r>
  <r>
    <s v="E202601046"/>
    <x v="2"/>
    <x v="1"/>
    <x v="1"/>
    <s v="Redes"/>
    <n v="5.3"/>
    <n v="52.4"/>
    <x v="0"/>
    <x v="0"/>
  </r>
  <r>
    <s v="E202602044"/>
    <x v="2"/>
    <x v="1"/>
    <x v="0"/>
    <s v="Estatistica"/>
    <n v="5.3"/>
    <n v="59.1"/>
    <x v="0"/>
    <x v="0"/>
  </r>
  <r>
    <s v="E202603010"/>
    <x v="2"/>
    <x v="1"/>
    <x v="2"/>
    <s v="Programacao"/>
    <n v="5.3"/>
    <n v="46"/>
    <x v="0"/>
    <x v="1"/>
  </r>
  <r>
    <s v="E202401011"/>
    <x v="0"/>
    <x v="0"/>
    <x v="1"/>
    <s v="Matematica"/>
    <n v="5.4"/>
    <n v="52.5"/>
    <x v="0"/>
    <x v="0"/>
  </r>
  <r>
    <s v="E202401033"/>
    <x v="0"/>
    <x v="0"/>
    <x v="1"/>
    <s v="Sinais"/>
    <n v="5.4"/>
    <n v="56.7"/>
    <x v="0"/>
    <x v="0"/>
  </r>
  <r>
    <s v="E202403042"/>
    <x v="0"/>
    <x v="0"/>
    <x v="2"/>
    <s v="Bases de Dados"/>
    <n v="5.4"/>
    <n v="76.900000000000006"/>
    <x v="0"/>
    <x v="2"/>
  </r>
  <r>
    <s v="E202502014"/>
    <x v="1"/>
    <x v="0"/>
    <x v="0"/>
    <s v="Contabilidade"/>
    <n v="5.4"/>
    <n v="66.099999999999994"/>
    <x v="0"/>
    <x v="0"/>
  </r>
  <r>
    <s v="E202503004"/>
    <x v="1"/>
    <x v="0"/>
    <x v="2"/>
    <s v="Programacao"/>
    <n v="5.4"/>
    <n v="72.5"/>
    <x v="0"/>
    <x v="0"/>
  </r>
  <r>
    <s v="E202601059"/>
    <x v="2"/>
    <x v="1"/>
    <x v="1"/>
    <s v="Sinais"/>
    <n v="5.4"/>
    <n v="48.6"/>
    <x v="0"/>
    <x v="1"/>
  </r>
  <r>
    <s v="E202402021"/>
    <x v="0"/>
    <x v="0"/>
    <x v="0"/>
    <s v="Marketing"/>
    <n v="5.5"/>
    <n v="47"/>
    <x v="0"/>
    <x v="1"/>
  </r>
  <r>
    <s v="E202402040"/>
    <x v="0"/>
    <x v="0"/>
    <x v="0"/>
    <s v="Marketing"/>
    <n v="5.5"/>
    <n v="61.1"/>
    <x v="0"/>
    <x v="0"/>
  </r>
  <r>
    <s v="E202501019"/>
    <x v="1"/>
    <x v="1"/>
    <x v="1"/>
    <s v="Matematica"/>
    <n v="5.5"/>
    <n v="55.6"/>
    <x v="0"/>
    <x v="0"/>
  </r>
  <r>
    <s v="E202501055"/>
    <x v="1"/>
    <x v="1"/>
    <x v="1"/>
    <s v="Sinais"/>
    <n v="5.5"/>
    <n v="50"/>
    <x v="0"/>
    <x v="0"/>
  </r>
  <r>
    <s v="E202601049"/>
    <x v="2"/>
    <x v="0"/>
    <x v="1"/>
    <s v="Sinais"/>
    <n v="5.5"/>
    <n v="99.3"/>
    <x v="0"/>
    <x v="2"/>
  </r>
  <r>
    <s v="E202603056"/>
    <x v="2"/>
    <x v="0"/>
    <x v="2"/>
    <s v="Redes"/>
    <n v="5.5"/>
    <n v="54.6"/>
    <x v="0"/>
    <x v="0"/>
  </r>
  <r>
    <s v="E202601035"/>
    <x v="2"/>
    <x v="1"/>
    <x v="1"/>
    <s v="Sinais"/>
    <n v="5.5"/>
    <n v="77.599999999999994"/>
    <x v="0"/>
    <x v="2"/>
  </r>
  <r>
    <s v="E202603022"/>
    <x v="2"/>
    <x v="1"/>
    <x v="2"/>
    <s v="Programacao"/>
    <n v="5.5"/>
    <n v="58.3"/>
    <x v="0"/>
    <x v="0"/>
  </r>
  <r>
    <s v="E202401008"/>
    <x v="0"/>
    <x v="0"/>
    <x v="1"/>
    <s v="Matematica"/>
    <n v="5.6"/>
    <n v="48.8"/>
    <x v="0"/>
    <x v="1"/>
  </r>
  <r>
    <s v="E202403037"/>
    <x v="0"/>
    <x v="0"/>
    <x v="2"/>
    <s v="Redes"/>
    <n v="5.6"/>
    <n v="56.6"/>
    <x v="0"/>
    <x v="0"/>
  </r>
  <r>
    <s v="E202403045"/>
    <x v="0"/>
    <x v="0"/>
    <x v="2"/>
    <s v="Programacao"/>
    <n v="5.6"/>
    <n v="66.2"/>
    <x v="0"/>
    <x v="0"/>
  </r>
  <r>
    <s v="E202402031"/>
    <x v="0"/>
    <x v="1"/>
    <x v="0"/>
    <s v="Marketing"/>
    <n v="5.6"/>
    <n v="51.4"/>
    <x v="0"/>
    <x v="0"/>
  </r>
  <r>
    <s v="E202501005"/>
    <x v="1"/>
    <x v="1"/>
    <x v="1"/>
    <s v="Redes"/>
    <n v="5.6"/>
    <n v="69.900000000000006"/>
    <x v="0"/>
    <x v="0"/>
  </r>
  <r>
    <s v="E202501005"/>
    <x v="1"/>
    <x v="1"/>
    <x v="1"/>
    <s v="Sinais"/>
    <n v="5.6"/>
    <n v="49.5"/>
    <x v="0"/>
    <x v="1"/>
  </r>
  <r>
    <s v="E202501021"/>
    <x v="1"/>
    <x v="1"/>
    <x v="1"/>
    <s v="Redes"/>
    <n v="5.6"/>
    <n v="51"/>
    <x v="0"/>
    <x v="0"/>
  </r>
  <r>
    <s v="E202601012"/>
    <x v="2"/>
    <x v="0"/>
    <x v="1"/>
    <s v="Matematica"/>
    <n v="5.6"/>
    <n v="67.2"/>
    <x v="0"/>
    <x v="0"/>
  </r>
  <r>
    <s v="E202601032"/>
    <x v="2"/>
    <x v="1"/>
    <x v="1"/>
    <s v="Matematica"/>
    <n v="5.6"/>
    <n v="53.7"/>
    <x v="0"/>
    <x v="0"/>
  </r>
  <r>
    <s v="E202602058"/>
    <x v="2"/>
    <x v="1"/>
    <x v="0"/>
    <s v="Marketing"/>
    <n v="5.6"/>
    <n v="59.1"/>
    <x v="0"/>
    <x v="0"/>
  </r>
  <r>
    <s v="E202402057"/>
    <x v="0"/>
    <x v="0"/>
    <x v="0"/>
    <s v="Marketing"/>
    <n v="5.7"/>
    <n v="61.5"/>
    <x v="0"/>
    <x v="0"/>
  </r>
  <r>
    <s v="E202403031"/>
    <x v="0"/>
    <x v="0"/>
    <x v="2"/>
    <s v="Programacao"/>
    <n v="5.7"/>
    <n v="75.7"/>
    <x v="0"/>
    <x v="2"/>
  </r>
  <r>
    <s v="E202403034"/>
    <x v="0"/>
    <x v="0"/>
    <x v="2"/>
    <s v="Programacao"/>
    <n v="5.7"/>
    <n v="63.3"/>
    <x v="0"/>
    <x v="0"/>
  </r>
  <r>
    <s v="E202403055"/>
    <x v="0"/>
    <x v="1"/>
    <x v="2"/>
    <s v="Programacao"/>
    <n v="5.7"/>
    <n v="62.1"/>
    <x v="0"/>
    <x v="0"/>
  </r>
  <r>
    <s v="E202501017"/>
    <x v="1"/>
    <x v="0"/>
    <x v="1"/>
    <s v="Sinais"/>
    <n v="5.7"/>
    <n v="53.7"/>
    <x v="0"/>
    <x v="0"/>
  </r>
  <r>
    <s v="E202502013"/>
    <x v="1"/>
    <x v="0"/>
    <x v="0"/>
    <s v="Estatistica"/>
    <n v="5.7"/>
    <n v="59.7"/>
    <x v="0"/>
    <x v="0"/>
  </r>
  <r>
    <s v="E202501056"/>
    <x v="1"/>
    <x v="1"/>
    <x v="1"/>
    <s v="Matematica"/>
    <n v="5.7"/>
    <n v="77.2"/>
    <x v="0"/>
    <x v="2"/>
  </r>
  <r>
    <s v="E202502026"/>
    <x v="1"/>
    <x v="1"/>
    <x v="0"/>
    <s v="Marketing"/>
    <n v="5.7"/>
    <n v="46.4"/>
    <x v="0"/>
    <x v="1"/>
  </r>
  <r>
    <s v="E202502053"/>
    <x v="1"/>
    <x v="1"/>
    <x v="0"/>
    <s v="Estatistica"/>
    <n v="5.7"/>
    <n v="63.3"/>
    <x v="0"/>
    <x v="0"/>
  </r>
  <r>
    <s v="E202602016"/>
    <x v="2"/>
    <x v="0"/>
    <x v="0"/>
    <s v="Marketing"/>
    <n v="5.7"/>
    <n v="56.6"/>
    <x v="0"/>
    <x v="0"/>
  </r>
  <r>
    <s v="E202603047"/>
    <x v="2"/>
    <x v="0"/>
    <x v="2"/>
    <s v="Programacao"/>
    <n v="5.7"/>
    <n v="67.8"/>
    <x v="0"/>
    <x v="0"/>
  </r>
  <r>
    <s v="E202601015"/>
    <x v="2"/>
    <x v="1"/>
    <x v="1"/>
    <s v="Sinais"/>
    <n v="5.7"/>
    <n v="46.6"/>
    <x v="0"/>
    <x v="1"/>
  </r>
  <r>
    <s v="E202603021"/>
    <x v="2"/>
    <x v="1"/>
    <x v="2"/>
    <s v="Programacao"/>
    <n v="5.7"/>
    <n v="49.1"/>
    <x v="0"/>
    <x v="1"/>
  </r>
  <r>
    <s v="E202401013"/>
    <x v="0"/>
    <x v="0"/>
    <x v="1"/>
    <s v="Matematica"/>
    <n v="5.8"/>
    <n v="73.3"/>
    <x v="0"/>
    <x v="0"/>
  </r>
  <r>
    <s v="E202401017"/>
    <x v="0"/>
    <x v="0"/>
    <x v="1"/>
    <s v="Matematica"/>
    <n v="5.8"/>
    <n v="62.3"/>
    <x v="0"/>
    <x v="0"/>
  </r>
  <r>
    <s v="E202402017"/>
    <x v="0"/>
    <x v="0"/>
    <x v="0"/>
    <s v="Contabilidade"/>
    <n v="5.8"/>
    <n v="46.3"/>
    <x v="0"/>
    <x v="1"/>
  </r>
  <r>
    <s v="E202403006"/>
    <x v="0"/>
    <x v="0"/>
    <x v="2"/>
    <s v="Programacao"/>
    <n v="5.8"/>
    <n v="62.8"/>
    <x v="0"/>
    <x v="0"/>
  </r>
  <r>
    <s v="E202401027"/>
    <x v="0"/>
    <x v="1"/>
    <x v="1"/>
    <s v="Matematica"/>
    <n v="5.8"/>
    <n v="50.1"/>
    <x v="0"/>
    <x v="0"/>
  </r>
  <r>
    <s v="E202401057"/>
    <x v="0"/>
    <x v="1"/>
    <x v="1"/>
    <s v="Matematica"/>
    <n v="5.8"/>
    <n v="48.9"/>
    <x v="0"/>
    <x v="1"/>
  </r>
  <r>
    <s v="E202403046"/>
    <x v="0"/>
    <x v="1"/>
    <x v="2"/>
    <s v="Programacao"/>
    <n v="5.8"/>
    <n v="78.8"/>
    <x v="0"/>
    <x v="2"/>
  </r>
  <r>
    <s v="E202501036"/>
    <x v="1"/>
    <x v="1"/>
    <x v="1"/>
    <s v="Redes"/>
    <n v="5.8"/>
    <n v="60.2"/>
    <x v="0"/>
    <x v="0"/>
  </r>
  <r>
    <s v="E202503021"/>
    <x v="1"/>
    <x v="1"/>
    <x v="2"/>
    <s v="Programacao"/>
    <n v="5.8"/>
    <n v="45.9"/>
    <x v="0"/>
    <x v="1"/>
  </r>
  <r>
    <s v="E202503054"/>
    <x v="1"/>
    <x v="1"/>
    <x v="2"/>
    <s v="Redes"/>
    <n v="5.8"/>
    <n v="51.6"/>
    <x v="0"/>
    <x v="0"/>
  </r>
  <r>
    <s v="E202601002"/>
    <x v="2"/>
    <x v="1"/>
    <x v="1"/>
    <s v="Redes"/>
    <n v="5.8"/>
    <n v="71.7"/>
    <x v="0"/>
    <x v="0"/>
  </r>
  <r>
    <s v="E202601012"/>
    <x v="2"/>
    <x v="1"/>
    <x v="1"/>
    <s v="Redes"/>
    <n v="5.8"/>
    <n v="52.6"/>
    <x v="0"/>
    <x v="0"/>
  </r>
  <r>
    <s v="E202401030"/>
    <x v="0"/>
    <x v="0"/>
    <x v="1"/>
    <s v="Redes"/>
    <n v="5.9"/>
    <n v="50.9"/>
    <x v="0"/>
    <x v="0"/>
  </r>
  <r>
    <s v="E202501057"/>
    <x v="1"/>
    <x v="1"/>
    <x v="1"/>
    <s v="Sinais"/>
    <n v="5.9"/>
    <n v="50.4"/>
    <x v="0"/>
    <x v="0"/>
  </r>
  <r>
    <s v="E202503006"/>
    <x v="1"/>
    <x v="1"/>
    <x v="2"/>
    <s v="Programacao"/>
    <n v="5.9"/>
    <n v="67.8"/>
    <x v="0"/>
    <x v="0"/>
  </r>
  <r>
    <s v="E202503019"/>
    <x v="1"/>
    <x v="1"/>
    <x v="2"/>
    <s v="Bases de Dados"/>
    <n v="5.9"/>
    <n v="87.1"/>
    <x v="0"/>
    <x v="2"/>
  </r>
  <r>
    <s v="E202503026"/>
    <x v="1"/>
    <x v="1"/>
    <x v="2"/>
    <s v="Bases de Dados"/>
    <n v="5.9"/>
    <n v="53.7"/>
    <x v="0"/>
    <x v="0"/>
  </r>
  <r>
    <s v="E202601007"/>
    <x v="2"/>
    <x v="0"/>
    <x v="1"/>
    <s v="Matematica"/>
    <n v="5.9"/>
    <n v="48.1"/>
    <x v="0"/>
    <x v="1"/>
  </r>
  <r>
    <s v="E202603011"/>
    <x v="2"/>
    <x v="0"/>
    <x v="2"/>
    <s v="Programacao"/>
    <n v="5.9"/>
    <n v="45.3"/>
    <x v="0"/>
    <x v="1"/>
  </r>
  <r>
    <s v="E202603028"/>
    <x v="2"/>
    <x v="0"/>
    <x v="2"/>
    <s v="Programacao"/>
    <n v="5.9"/>
    <n v="87.9"/>
    <x v="0"/>
    <x v="2"/>
  </r>
  <r>
    <s v="E202601053"/>
    <x v="2"/>
    <x v="1"/>
    <x v="1"/>
    <s v="Redes"/>
    <n v="5.9"/>
    <n v="67.5"/>
    <x v="0"/>
    <x v="0"/>
  </r>
  <r>
    <s v="E202602016"/>
    <x v="2"/>
    <x v="1"/>
    <x v="0"/>
    <s v="Marketing"/>
    <n v="5.9"/>
    <n v="96"/>
    <x v="0"/>
    <x v="2"/>
  </r>
  <r>
    <s v="E202602024"/>
    <x v="2"/>
    <x v="1"/>
    <x v="0"/>
    <s v="Estatistica"/>
    <n v="5.9"/>
    <n v="63.3"/>
    <x v="0"/>
    <x v="0"/>
  </r>
  <r>
    <s v="E202401016"/>
    <x v="0"/>
    <x v="0"/>
    <x v="1"/>
    <s v="Matematica"/>
    <n v="6"/>
    <n v="58.4"/>
    <x v="0"/>
    <x v="0"/>
  </r>
  <r>
    <s v="E202401051"/>
    <x v="0"/>
    <x v="0"/>
    <x v="1"/>
    <s v="Redes"/>
    <n v="6"/>
    <n v="47"/>
    <x v="0"/>
    <x v="1"/>
  </r>
  <r>
    <s v="E202403056"/>
    <x v="0"/>
    <x v="0"/>
    <x v="2"/>
    <s v="Programacao"/>
    <n v="6"/>
    <n v="55.5"/>
    <x v="0"/>
    <x v="0"/>
  </r>
  <r>
    <s v="E202402038"/>
    <x v="0"/>
    <x v="1"/>
    <x v="0"/>
    <s v="Estatistica"/>
    <n v="6"/>
    <n v="49.3"/>
    <x v="0"/>
    <x v="1"/>
  </r>
  <r>
    <s v="E202402053"/>
    <x v="0"/>
    <x v="1"/>
    <x v="0"/>
    <s v="Marketing"/>
    <n v="6"/>
    <n v="48.2"/>
    <x v="0"/>
    <x v="1"/>
  </r>
  <r>
    <s v="E202403023"/>
    <x v="0"/>
    <x v="1"/>
    <x v="2"/>
    <s v="Programacao"/>
    <n v="6"/>
    <n v="52.3"/>
    <x v="0"/>
    <x v="0"/>
  </r>
  <r>
    <s v="E202403043"/>
    <x v="0"/>
    <x v="1"/>
    <x v="2"/>
    <s v="Programacao"/>
    <n v="6"/>
    <n v="83.6"/>
    <x v="0"/>
    <x v="2"/>
  </r>
  <r>
    <s v="E202403058"/>
    <x v="0"/>
    <x v="1"/>
    <x v="2"/>
    <s v="Programacao"/>
    <n v="6"/>
    <n v="60"/>
    <x v="0"/>
    <x v="0"/>
  </r>
  <r>
    <s v="E202501018"/>
    <x v="1"/>
    <x v="0"/>
    <x v="1"/>
    <s v="Matematica"/>
    <n v="6"/>
    <n v="89.5"/>
    <x v="0"/>
    <x v="2"/>
  </r>
  <r>
    <s v="E202501029"/>
    <x v="1"/>
    <x v="0"/>
    <x v="1"/>
    <s v="Matematica"/>
    <n v="6"/>
    <n v="62.6"/>
    <x v="0"/>
    <x v="0"/>
  </r>
  <r>
    <s v="E202502051"/>
    <x v="1"/>
    <x v="0"/>
    <x v="0"/>
    <s v="Contabilidade"/>
    <n v="6"/>
    <n v="51"/>
    <x v="0"/>
    <x v="0"/>
  </r>
  <r>
    <s v="E202503049"/>
    <x v="1"/>
    <x v="0"/>
    <x v="2"/>
    <s v="Programacao"/>
    <n v="6"/>
    <n v="56.8"/>
    <x v="0"/>
    <x v="0"/>
  </r>
  <r>
    <s v="E202501038"/>
    <x v="1"/>
    <x v="1"/>
    <x v="1"/>
    <s v="Matematica"/>
    <n v="6"/>
    <n v="50.1"/>
    <x v="0"/>
    <x v="0"/>
  </r>
  <r>
    <s v="E202601017"/>
    <x v="2"/>
    <x v="0"/>
    <x v="1"/>
    <s v="Sinais"/>
    <n v="6"/>
    <n v="73.2"/>
    <x v="0"/>
    <x v="0"/>
  </r>
  <r>
    <s v="E202601059"/>
    <x v="2"/>
    <x v="0"/>
    <x v="1"/>
    <s v="Matematica"/>
    <n v="6"/>
    <n v="70.5"/>
    <x v="0"/>
    <x v="0"/>
  </r>
  <r>
    <s v="E202603033"/>
    <x v="2"/>
    <x v="1"/>
    <x v="2"/>
    <s v="Bases de Dados"/>
    <n v="6"/>
    <n v="61.3"/>
    <x v="0"/>
    <x v="0"/>
  </r>
  <r>
    <s v="E202603038"/>
    <x v="2"/>
    <x v="1"/>
    <x v="2"/>
    <s v="Programacao"/>
    <n v="6"/>
    <n v="86.6"/>
    <x v="0"/>
    <x v="2"/>
  </r>
  <r>
    <s v="E202401021"/>
    <x v="0"/>
    <x v="1"/>
    <x v="1"/>
    <s v="Redes"/>
    <n v="6.1"/>
    <n v="51.1"/>
    <x v="0"/>
    <x v="0"/>
  </r>
  <r>
    <s v="E202402042"/>
    <x v="0"/>
    <x v="1"/>
    <x v="0"/>
    <s v="Marketing"/>
    <n v="6.1"/>
    <n v="50"/>
    <x v="0"/>
    <x v="0"/>
  </r>
  <r>
    <s v="E202402051"/>
    <x v="0"/>
    <x v="1"/>
    <x v="0"/>
    <s v="Marketing"/>
    <n v="6.1"/>
    <n v="85.6"/>
    <x v="0"/>
    <x v="2"/>
  </r>
  <r>
    <s v="E202502004"/>
    <x v="1"/>
    <x v="0"/>
    <x v="0"/>
    <s v="Marketing"/>
    <n v="6.1"/>
    <n v="53.6"/>
    <x v="0"/>
    <x v="0"/>
  </r>
  <r>
    <s v="E202502007"/>
    <x v="1"/>
    <x v="0"/>
    <x v="0"/>
    <s v="Estatistica"/>
    <n v="6.1"/>
    <n v="48"/>
    <x v="0"/>
    <x v="1"/>
  </r>
  <r>
    <s v="E202502058"/>
    <x v="1"/>
    <x v="0"/>
    <x v="0"/>
    <s v="Contabilidade"/>
    <n v="6.1"/>
    <n v="58.6"/>
    <x v="0"/>
    <x v="0"/>
  </r>
  <r>
    <s v="E202503051"/>
    <x v="1"/>
    <x v="0"/>
    <x v="2"/>
    <s v="Redes"/>
    <n v="6.1"/>
    <n v="79.8"/>
    <x v="0"/>
    <x v="2"/>
  </r>
  <r>
    <s v="E202601039"/>
    <x v="2"/>
    <x v="0"/>
    <x v="1"/>
    <s v="Sinais"/>
    <n v="6.1"/>
    <n v="66.599999999999994"/>
    <x v="0"/>
    <x v="0"/>
  </r>
  <r>
    <s v="E202602044"/>
    <x v="2"/>
    <x v="0"/>
    <x v="0"/>
    <s v="Marketing"/>
    <n v="6.1"/>
    <n v="71"/>
    <x v="0"/>
    <x v="0"/>
  </r>
  <r>
    <s v="E202602057"/>
    <x v="2"/>
    <x v="0"/>
    <x v="0"/>
    <s v="Marketing"/>
    <n v="6.1"/>
    <n v="49.6"/>
    <x v="0"/>
    <x v="1"/>
  </r>
  <r>
    <s v="E202603032"/>
    <x v="2"/>
    <x v="0"/>
    <x v="2"/>
    <s v="Bases de Dados"/>
    <n v="6.1"/>
    <n v="70.7"/>
    <x v="0"/>
    <x v="0"/>
  </r>
  <r>
    <s v="E202601012"/>
    <x v="2"/>
    <x v="1"/>
    <x v="1"/>
    <s v="Sinais"/>
    <n v="6.1"/>
    <n v="67.099999999999994"/>
    <x v="0"/>
    <x v="0"/>
  </r>
  <r>
    <s v="E202602030"/>
    <x v="2"/>
    <x v="1"/>
    <x v="0"/>
    <s v="Estatistica"/>
    <n v="6.1"/>
    <n v="58.8"/>
    <x v="0"/>
    <x v="0"/>
  </r>
  <r>
    <s v="E202603050"/>
    <x v="2"/>
    <x v="1"/>
    <x v="2"/>
    <s v="Programacao"/>
    <n v="6.1"/>
    <n v="65.900000000000006"/>
    <x v="0"/>
    <x v="0"/>
  </r>
  <r>
    <s v="E202603056"/>
    <x v="2"/>
    <x v="1"/>
    <x v="2"/>
    <s v="Redes"/>
    <n v="6.1"/>
    <n v="49.1"/>
    <x v="0"/>
    <x v="1"/>
  </r>
  <r>
    <s v="E202403056"/>
    <x v="0"/>
    <x v="0"/>
    <x v="2"/>
    <s v="Redes"/>
    <n v="6.2"/>
    <n v="48"/>
    <x v="0"/>
    <x v="1"/>
  </r>
  <r>
    <s v="E202401015"/>
    <x v="0"/>
    <x v="1"/>
    <x v="1"/>
    <s v="Redes"/>
    <n v="6.2"/>
    <n v="59.7"/>
    <x v="0"/>
    <x v="0"/>
  </r>
  <r>
    <s v="E202401050"/>
    <x v="0"/>
    <x v="1"/>
    <x v="1"/>
    <s v="Matematica"/>
    <n v="6.2"/>
    <n v="46.6"/>
    <x v="0"/>
    <x v="1"/>
  </r>
  <r>
    <s v="E202401051"/>
    <x v="0"/>
    <x v="1"/>
    <x v="1"/>
    <s v="Redes"/>
    <n v="6.2"/>
    <n v="47.4"/>
    <x v="0"/>
    <x v="1"/>
  </r>
  <r>
    <s v="E202402004"/>
    <x v="0"/>
    <x v="1"/>
    <x v="0"/>
    <s v="Contabilidade"/>
    <n v="6.2"/>
    <n v="53.4"/>
    <x v="0"/>
    <x v="0"/>
  </r>
  <r>
    <s v="E202403017"/>
    <x v="0"/>
    <x v="1"/>
    <x v="2"/>
    <s v="Redes"/>
    <n v="6.2"/>
    <n v="57.1"/>
    <x v="0"/>
    <x v="0"/>
  </r>
  <r>
    <s v="E202501015"/>
    <x v="1"/>
    <x v="0"/>
    <x v="1"/>
    <s v="Matematica"/>
    <n v="6.2"/>
    <n v="88.3"/>
    <x v="0"/>
    <x v="2"/>
  </r>
  <r>
    <s v="E202501036"/>
    <x v="1"/>
    <x v="0"/>
    <x v="1"/>
    <s v="Matematica"/>
    <n v="6.2"/>
    <n v="67.3"/>
    <x v="0"/>
    <x v="0"/>
  </r>
  <r>
    <s v="E202501060"/>
    <x v="1"/>
    <x v="0"/>
    <x v="1"/>
    <s v="Redes"/>
    <n v="6.2"/>
    <n v="62"/>
    <x v="0"/>
    <x v="0"/>
  </r>
  <r>
    <s v="E202501001"/>
    <x v="1"/>
    <x v="1"/>
    <x v="1"/>
    <s v="Redes"/>
    <n v="6.2"/>
    <n v="65.3"/>
    <x v="0"/>
    <x v="0"/>
  </r>
  <r>
    <s v="E202501037"/>
    <x v="1"/>
    <x v="1"/>
    <x v="1"/>
    <s v="Redes"/>
    <n v="6.2"/>
    <n v="57.9"/>
    <x v="0"/>
    <x v="0"/>
  </r>
  <r>
    <s v="E202502047"/>
    <x v="1"/>
    <x v="1"/>
    <x v="0"/>
    <s v="Estatistica"/>
    <n v="6.2"/>
    <n v="61.8"/>
    <x v="0"/>
    <x v="0"/>
  </r>
  <r>
    <s v="E202601033"/>
    <x v="2"/>
    <x v="0"/>
    <x v="1"/>
    <s v="Redes"/>
    <n v="6.2"/>
    <n v="45.4"/>
    <x v="0"/>
    <x v="1"/>
  </r>
  <r>
    <s v="E202602007"/>
    <x v="2"/>
    <x v="0"/>
    <x v="0"/>
    <s v="Marketing"/>
    <n v="6.2"/>
    <n v="60.4"/>
    <x v="0"/>
    <x v="0"/>
  </r>
  <r>
    <s v="E202602032"/>
    <x v="2"/>
    <x v="0"/>
    <x v="0"/>
    <s v="Estatistica"/>
    <n v="6.2"/>
    <n v="48.5"/>
    <x v="0"/>
    <x v="1"/>
  </r>
  <r>
    <s v="E202603058"/>
    <x v="2"/>
    <x v="0"/>
    <x v="2"/>
    <s v="Redes"/>
    <n v="6.2"/>
    <n v="65.2"/>
    <x v="0"/>
    <x v="0"/>
  </r>
  <r>
    <s v="E202603060"/>
    <x v="2"/>
    <x v="1"/>
    <x v="2"/>
    <s v="Programacao"/>
    <n v="6.2"/>
    <n v="56.6"/>
    <x v="0"/>
    <x v="0"/>
  </r>
  <r>
    <s v="E202401002"/>
    <x v="0"/>
    <x v="0"/>
    <x v="1"/>
    <s v="Matematica"/>
    <n v="6.3"/>
    <n v="50.7"/>
    <x v="0"/>
    <x v="0"/>
  </r>
  <r>
    <s v="E202401028"/>
    <x v="0"/>
    <x v="0"/>
    <x v="1"/>
    <s v="Sinais"/>
    <n v="6.3"/>
    <n v="52.1"/>
    <x v="0"/>
    <x v="0"/>
  </r>
  <r>
    <s v="E202402052"/>
    <x v="0"/>
    <x v="0"/>
    <x v="0"/>
    <s v="Contabilidade"/>
    <n v="6.3"/>
    <n v="49.8"/>
    <x v="0"/>
    <x v="1"/>
  </r>
  <r>
    <s v="E202401005"/>
    <x v="0"/>
    <x v="1"/>
    <x v="1"/>
    <s v="Matematica"/>
    <n v="6.3"/>
    <n v="48.4"/>
    <x v="0"/>
    <x v="1"/>
  </r>
  <r>
    <s v="E202401007"/>
    <x v="0"/>
    <x v="1"/>
    <x v="1"/>
    <s v="Redes"/>
    <n v="6.3"/>
    <n v="49.8"/>
    <x v="0"/>
    <x v="1"/>
  </r>
  <r>
    <s v="E202401018"/>
    <x v="0"/>
    <x v="1"/>
    <x v="1"/>
    <s v="Sinais"/>
    <n v="6.3"/>
    <n v="98.4"/>
    <x v="0"/>
    <x v="2"/>
  </r>
  <r>
    <s v="E202401059"/>
    <x v="0"/>
    <x v="1"/>
    <x v="1"/>
    <s v="Sinais"/>
    <n v="6.3"/>
    <n v="84.9"/>
    <x v="0"/>
    <x v="2"/>
  </r>
  <r>
    <s v="E202402060"/>
    <x v="0"/>
    <x v="1"/>
    <x v="0"/>
    <s v="Contabilidade"/>
    <n v="6.3"/>
    <n v="78.599999999999994"/>
    <x v="0"/>
    <x v="2"/>
  </r>
  <r>
    <s v="E202403003"/>
    <x v="0"/>
    <x v="1"/>
    <x v="2"/>
    <s v="Redes"/>
    <n v="6.3"/>
    <n v="50.4"/>
    <x v="0"/>
    <x v="0"/>
  </r>
  <r>
    <s v="E202403054"/>
    <x v="0"/>
    <x v="1"/>
    <x v="2"/>
    <s v="Bases de Dados"/>
    <n v="6.3"/>
    <n v="49.5"/>
    <x v="0"/>
    <x v="1"/>
  </r>
  <r>
    <s v="E202501033"/>
    <x v="1"/>
    <x v="0"/>
    <x v="1"/>
    <s v="Redes"/>
    <n v="6.3"/>
    <n v="90.6"/>
    <x v="0"/>
    <x v="2"/>
  </r>
  <r>
    <s v="E202501042"/>
    <x v="1"/>
    <x v="0"/>
    <x v="1"/>
    <s v="Matematica"/>
    <n v="6.3"/>
    <n v="48.7"/>
    <x v="0"/>
    <x v="1"/>
  </r>
  <r>
    <s v="E202501032"/>
    <x v="1"/>
    <x v="1"/>
    <x v="1"/>
    <s v="Sinais"/>
    <n v="6.3"/>
    <n v="51.9"/>
    <x v="0"/>
    <x v="0"/>
  </r>
  <r>
    <s v="E202502034"/>
    <x v="1"/>
    <x v="1"/>
    <x v="0"/>
    <s v="Marketing"/>
    <n v="6.3"/>
    <n v="55.2"/>
    <x v="0"/>
    <x v="0"/>
  </r>
  <r>
    <s v="E202503022"/>
    <x v="1"/>
    <x v="1"/>
    <x v="2"/>
    <s v="Programacao"/>
    <n v="6.3"/>
    <n v="45.7"/>
    <x v="0"/>
    <x v="1"/>
  </r>
  <r>
    <s v="E202602013"/>
    <x v="2"/>
    <x v="0"/>
    <x v="0"/>
    <s v="Marketing"/>
    <n v="6.3"/>
    <n v="78.3"/>
    <x v="0"/>
    <x v="2"/>
  </r>
  <r>
    <s v="E202602056"/>
    <x v="2"/>
    <x v="0"/>
    <x v="0"/>
    <s v="Marketing"/>
    <n v="6.3"/>
    <n v="81.099999999999994"/>
    <x v="0"/>
    <x v="2"/>
  </r>
  <r>
    <s v="E202603012"/>
    <x v="2"/>
    <x v="0"/>
    <x v="2"/>
    <s v="Bases de Dados"/>
    <n v="6.3"/>
    <n v="62.4"/>
    <x v="0"/>
    <x v="0"/>
  </r>
  <r>
    <s v="E202603044"/>
    <x v="2"/>
    <x v="0"/>
    <x v="2"/>
    <s v="Programacao"/>
    <n v="6.3"/>
    <n v="53.5"/>
    <x v="0"/>
    <x v="0"/>
  </r>
  <r>
    <s v="E202601032"/>
    <x v="2"/>
    <x v="1"/>
    <x v="1"/>
    <s v="Redes"/>
    <n v="6.3"/>
    <n v="46.9"/>
    <x v="0"/>
    <x v="1"/>
  </r>
  <r>
    <s v="E202601054"/>
    <x v="2"/>
    <x v="1"/>
    <x v="1"/>
    <s v="Redes"/>
    <n v="6.3"/>
    <n v="53.1"/>
    <x v="0"/>
    <x v="0"/>
  </r>
  <r>
    <s v="E202603047"/>
    <x v="2"/>
    <x v="1"/>
    <x v="2"/>
    <s v="Bases de Dados"/>
    <n v="6.3"/>
    <n v="62.7"/>
    <x v="0"/>
    <x v="0"/>
  </r>
  <r>
    <s v="E202603058"/>
    <x v="2"/>
    <x v="1"/>
    <x v="2"/>
    <s v="Redes"/>
    <n v="6.3"/>
    <n v="67.2"/>
    <x v="0"/>
    <x v="0"/>
  </r>
  <r>
    <s v="E202401050"/>
    <x v="0"/>
    <x v="0"/>
    <x v="1"/>
    <s v="Matematica"/>
    <n v="6.4"/>
    <n v="62.2"/>
    <x v="0"/>
    <x v="0"/>
  </r>
  <r>
    <s v="E202402051"/>
    <x v="0"/>
    <x v="0"/>
    <x v="0"/>
    <s v="Marketing"/>
    <n v="6.4"/>
    <n v="54.9"/>
    <x v="0"/>
    <x v="0"/>
  </r>
  <r>
    <s v="E202403048"/>
    <x v="0"/>
    <x v="0"/>
    <x v="2"/>
    <s v="Programacao"/>
    <n v="6.4"/>
    <n v="47.9"/>
    <x v="0"/>
    <x v="1"/>
  </r>
  <r>
    <s v="E202401002"/>
    <x v="0"/>
    <x v="1"/>
    <x v="1"/>
    <s v="Sinais"/>
    <n v="6.4"/>
    <n v="62.5"/>
    <x v="0"/>
    <x v="0"/>
  </r>
  <r>
    <s v="E202401038"/>
    <x v="0"/>
    <x v="1"/>
    <x v="1"/>
    <s v="Sinais"/>
    <n v="6.4"/>
    <n v="93.9"/>
    <x v="0"/>
    <x v="2"/>
  </r>
  <r>
    <s v="E202401049"/>
    <x v="0"/>
    <x v="1"/>
    <x v="1"/>
    <s v="Sinais"/>
    <n v="6.4"/>
    <n v="57.9"/>
    <x v="0"/>
    <x v="0"/>
  </r>
  <r>
    <s v="E202502019"/>
    <x v="1"/>
    <x v="0"/>
    <x v="0"/>
    <s v="Estatistica"/>
    <n v="6.4"/>
    <n v="55.3"/>
    <x v="0"/>
    <x v="0"/>
  </r>
  <r>
    <s v="E202503033"/>
    <x v="1"/>
    <x v="0"/>
    <x v="2"/>
    <s v="Bases de Dados"/>
    <n v="6.4"/>
    <n v="89.1"/>
    <x v="0"/>
    <x v="2"/>
  </r>
  <r>
    <s v="E202501052"/>
    <x v="1"/>
    <x v="1"/>
    <x v="1"/>
    <s v="Redes"/>
    <n v="6.4"/>
    <n v="66.3"/>
    <x v="0"/>
    <x v="0"/>
  </r>
  <r>
    <s v="E202502012"/>
    <x v="1"/>
    <x v="1"/>
    <x v="0"/>
    <s v="Estatistica"/>
    <n v="6.4"/>
    <n v="85.5"/>
    <x v="0"/>
    <x v="2"/>
  </r>
  <r>
    <s v="E202503050"/>
    <x v="1"/>
    <x v="1"/>
    <x v="2"/>
    <s v="Redes"/>
    <n v="6.4"/>
    <n v="57.7"/>
    <x v="0"/>
    <x v="0"/>
  </r>
  <r>
    <s v="E202601015"/>
    <x v="2"/>
    <x v="0"/>
    <x v="1"/>
    <s v="Redes"/>
    <n v="6.4"/>
    <n v="88.9"/>
    <x v="0"/>
    <x v="2"/>
  </r>
  <r>
    <s v="E202603006"/>
    <x v="2"/>
    <x v="0"/>
    <x v="2"/>
    <s v="Bases de Dados"/>
    <n v="6.4"/>
    <n v="72.2"/>
    <x v="0"/>
    <x v="0"/>
  </r>
  <r>
    <s v="E202602026"/>
    <x v="2"/>
    <x v="1"/>
    <x v="0"/>
    <s v="Marketing"/>
    <n v="6.4"/>
    <n v="62.9"/>
    <x v="0"/>
    <x v="0"/>
  </r>
  <r>
    <s v="E202402056"/>
    <x v="0"/>
    <x v="1"/>
    <x v="0"/>
    <s v="Estatistica"/>
    <n v="6.5"/>
    <n v="53.8"/>
    <x v="0"/>
    <x v="0"/>
  </r>
  <r>
    <s v="E202403039"/>
    <x v="0"/>
    <x v="1"/>
    <x v="2"/>
    <s v="Redes"/>
    <n v="6.5"/>
    <n v="61.1"/>
    <x v="0"/>
    <x v="0"/>
  </r>
  <r>
    <s v="E202501028"/>
    <x v="1"/>
    <x v="0"/>
    <x v="1"/>
    <s v="Sinais"/>
    <n v="6.5"/>
    <n v="69.599999999999994"/>
    <x v="0"/>
    <x v="0"/>
  </r>
  <r>
    <s v="E202503002"/>
    <x v="1"/>
    <x v="0"/>
    <x v="2"/>
    <s v="Bases de Dados"/>
    <n v="6.5"/>
    <n v="84"/>
    <x v="0"/>
    <x v="2"/>
  </r>
  <r>
    <s v="E202503007"/>
    <x v="1"/>
    <x v="0"/>
    <x v="2"/>
    <s v="Redes"/>
    <n v="6.5"/>
    <n v="57.4"/>
    <x v="0"/>
    <x v="0"/>
  </r>
  <r>
    <s v="E202503046"/>
    <x v="1"/>
    <x v="0"/>
    <x v="2"/>
    <s v="Programacao"/>
    <n v="6.5"/>
    <n v="59.3"/>
    <x v="0"/>
    <x v="0"/>
  </r>
  <r>
    <s v="E202501050"/>
    <x v="1"/>
    <x v="1"/>
    <x v="1"/>
    <s v="Sinais"/>
    <n v="6.5"/>
    <n v="69.599999999999994"/>
    <x v="0"/>
    <x v="0"/>
  </r>
  <r>
    <s v="E202501053"/>
    <x v="1"/>
    <x v="1"/>
    <x v="1"/>
    <s v="Matematica"/>
    <n v="6.5"/>
    <n v="93.4"/>
    <x v="0"/>
    <x v="2"/>
  </r>
  <r>
    <s v="E202502038"/>
    <x v="1"/>
    <x v="1"/>
    <x v="0"/>
    <s v="Contabilidade"/>
    <n v="6.5"/>
    <n v="47.7"/>
    <x v="0"/>
    <x v="1"/>
  </r>
  <r>
    <s v="E202601020"/>
    <x v="2"/>
    <x v="0"/>
    <x v="1"/>
    <s v="Matematica"/>
    <n v="6.5"/>
    <n v="68.900000000000006"/>
    <x v="0"/>
    <x v="0"/>
  </r>
  <r>
    <s v="E202602029"/>
    <x v="2"/>
    <x v="1"/>
    <x v="0"/>
    <s v="Contabilidade"/>
    <n v="6.5"/>
    <n v="49.4"/>
    <x v="0"/>
    <x v="1"/>
  </r>
  <r>
    <s v="E202603052"/>
    <x v="2"/>
    <x v="1"/>
    <x v="2"/>
    <s v="Bases de Dados"/>
    <n v="6.5"/>
    <n v="81.5"/>
    <x v="0"/>
    <x v="2"/>
  </r>
  <r>
    <s v="E202402011"/>
    <x v="0"/>
    <x v="0"/>
    <x v="0"/>
    <s v="Estatistica"/>
    <n v="6.6"/>
    <n v="76.2"/>
    <x v="0"/>
    <x v="2"/>
  </r>
  <r>
    <s v="E202401043"/>
    <x v="0"/>
    <x v="1"/>
    <x v="1"/>
    <s v="Sinais"/>
    <n v="6.6"/>
    <n v="70.3"/>
    <x v="0"/>
    <x v="0"/>
  </r>
  <r>
    <s v="E202403057"/>
    <x v="0"/>
    <x v="1"/>
    <x v="2"/>
    <s v="Redes"/>
    <n v="6.6"/>
    <n v="52.3"/>
    <x v="0"/>
    <x v="0"/>
  </r>
  <r>
    <s v="E202502018"/>
    <x v="1"/>
    <x v="0"/>
    <x v="0"/>
    <s v="Contabilidade"/>
    <n v="6.6"/>
    <n v="61.6"/>
    <x v="0"/>
    <x v="0"/>
  </r>
  <r>
    <s v="E202502060"/>
    <x v="1"/>
    <x v="0"/>
    <x v="0"/>
    <s v="Estatistica"/>
    <n v="6.6"/>
    <n v="48"/>
    <x v="0"/>
    <x v="1"/>
  </r>
  <r>
    <s v="E202503015"/>
    <x v="1"/>
    <x v="0"/>
    <x v="2"/>
    <s v="Bases de Dados"/>
    <n v="6.6"/>
    <n v="68.2"/>
    <x v="0"/>
    <x v="0"/>
  </r>
  <r>
    <s v="E202501003"/>
    <x v="1"/>
    <x v="1"/>
    <x v="1"/>
    <s v="Redes"/>
    <n v="6.6"/>
    <n v="51"/>
    <x v="0"/>
    <x v="0"/>
  </r>
  <r>
    <s v="E202502007"/>
    <x v="1"/>
    <x v="1"/>
    <x v="0"/>
    <s v="Marketing"/>
    <n v="6.6"/>
    <n v="88.2"/>
    <x v="0"/>
    <x v="2"/>
  </r>
  <r>
    <s v="E202502023"/>
    <x v="1"/>
    <x v="1"/>
    <x v="0"/>
    <s v="Marketing"/>
    <n v="6.6"/>
    <n v="51.8"/>
    <x v="0"/>
    <x v="0"/>
  </r>
  <r>
    <s v="E202503038"/>
    <x v="1"/>
    <x v="1"/>
    <x v="2"/>
    <s v="Bases de Dados"/>
    <n v="6.6"/>
    <n v="52"/>
    <x v="0"/>
    <x v="0"/>
  </r>
  <r>
    <s v="E202601060"/>
    <x v="2"/>
    <x v="0"/>
    <x v="1"/>
    <s v="Redes"/>
    <n v="6.6"/>
    <n v="67.099999999999994"/>
    <x v="0"/>
    <x v="0"/>
  </r>
  <r>
    <s v="E202602027"/>
    <x v="2"/>
    <x v="0"/>
    <x v="0"/>
    <s v="Marketing"/>
    <n v="6.6"/>
    <n v="45.2"/>
    <x v="0"/>
    <x v="1"/>
  </r>
  <r>
    <s v="E202603017"/>
    <x v="2"/>
    <x v="0"/>
    <x v="2"/>
    <s v="Redes"/>
    <n v="6.6"/>
    <n v="51.6"/>
    <x v="0"/>
    <x v="0"/>
  </r>
  <r>
    <s v="E202603047"/>
    <x v="2"/>
    <x v="0"/>
    <x v="2"/>
    <s v="Redes"/>
    <n v="6.6"/>
    <n v="55.9"/>
    <x v="0"/>
    <x v="0"/>
  </r>
  <r>
    <s v="E202603050"/>
    <x v="2"/>
    <x v="0"/>
    <x v="2"/>
    <s v="Redes"/>
    <n v="6.6"/>
    <n v="59.1"/>
    <x v="0"/>
    <x v="0"/>
  </r>
  <r>
    <s v="E202602047"/>
    <x v="2"/>
    <x v="1"/>
    <x v="0"/>
    <s v="Marketing"/>
    <n v="6.6"/>
    <n v="62.6"/>
    <x v="0"/>
    <x v="0"/>
  </r>
  <r>
    <s v="E202602052"/>
    <x v="2"/>
    <x v="1"/>
    <x v="0"/>
    <s v="Estatistica"/>
    <n v="6.6"/>
    <n v="93.1"/>
    <x v="0"/>
    <x v="2"/>
  </r>
  <r>
    <s v="E202403016"/>
    <x v="0"/>
    <x v="0"/>
    <x v="2"/>
    <s v="Redes"/>
    <n v="6.7"/>
    <n v="58.4"/>
    <x v="0"/>
    <x v="0"/>
  </r>
  <r>
    <s v="E202501032"/>
    <x v="1"/>
    <x v="0"/>
    <x v="1"/>
    <s v="Matematica"/>
    <n v="6.7"/>
    <n v="50.4"/>
    <x v="0"/>
    <x v="0"/>
  </r>
  <r>
    <s v="E202502043"/>
    <x v="1"/>
    <x v="0"/>
    <x v="0"/>
    <s v="Contabilidade"/>
    <n v="6.7"/>
    <n v="68.8"/>
    <x v="0"/>
    <x v="0"/>
  </r>
  <r>
    <s v="E202503003"/>
    <x v="1"/>
    <x v="0"/>
    <x v="2"/>
    <s v="Redes"/>
    <n v="6.7"/>
    <n v="65.7"/>
    <x v="0"/>
    <x v="0"/>
  </r>
  <r>
    <s v="E202503042"/>
    <x v="1"/>
    <x v="0"/>
    <x v="2"/>
    <s v="Programacao"/>
    <n v="6.7"/>
    <n v="60.5"/>
    <x v="0"/>
    <x v="0"/>
  </r>
  <r>
    <s v="E202503048"/>
    <x v="1"/>
    <x v="0"/>
    <x v="2"/>
    <s v="Programacao"/>
    <n v="6.7"/>
    <n v="50"/>
    <x v="0"/>
    <x v="0"/>
  </r>
  <r>
    <s v="E202503060"/>
    <x v="1"/>
    <x v="0"/>
    <x v="2"/>
    <s v="Bases de Dados"/>
    <n v="6.7"/>
    <n v="63"/>
    <x v="0"/>
    <x v="0"/>
  </r>
  <r>
    <s v="E202502028"/>
    <x v="1"/>
    <x v="1"/>
    <x v="0"/>
    <s v="Contabilidade"/>
    <n v="6.7"/>
    <n v="70.900000000000006"/>
    <x v="0"/>
    <x v="0"/>
  </r>
  <r>
    <s v="E202503007"/>
    <x v="1"/>
    <x v="1"/>
    <x v="2"/>
    <s v="Redes"/>
    <n v="6.7"/>
    <n v="50.8"/>
    <x v="0"/>
    <x v="0"/>
  </r>
  <r>
    <s v="E202601011"/>
    <x v="2"/>
    <x v="0"/>
    <x v="1"/>
    <s v="Sinais"/>
    <n v="6.7"/>
    <n v="52.8"/>
    <x v="0"/>
    <x v="0"/>
  </r>
  <r>
    <s v="E202601041"/>
    <x v="2"/>
    <x v="0"/>
    <x v="1"/>
    <s v="Redes"/>
    <n v="6.7"/>
    <n v="65.099999999999994"/>
    <x v="0"/>
    <x v="0"/>
  </r>
  <r>
    <s v="E202601051"/>
    <x v="2"/>
    <x v="0"/>
    <x v="1"/>
    <s v="Sinais"/>
    <n v="6.7"/>
    <n v="48.3"/>
    <x v="0"/>
    <x v="1"/>
  </r>
  <r>
    <s v="E202602013"/>
    <x v="2"/>
    <x v="0"/>
    <x v="0"/>
    <s v="Contabilidade"/>
    <n v="6.7"/>
    <n v="46.9"/>
    <x v="0"/>
    <x v="1"/>
  </r>
  <r>
    <s v="E202602030"/>
    <x v="2"/>
    <x v="0"/>
    <x v="0"/>
    <s v="Estatistica"/>
    <n v="6.7"/>
    <n v="84.6"/>
    <x v="0"/>
    <x v="2"/>
  </r>
  <r>
    <s v="E202602045"/>
    <x v="2"/>
    <x v="1"/>
    <x v="0"/>
    <s v="Contabilidade"/>
    <n v="6.7"/>
    <n v="63"/>
    <x v="0"/>
    <x v="0"/>
  </r>
  <r>
    <s v="E202401027"/>
    <x v="0"/>
    <x v="0"/>
    <x v="1"/>
    <s v="Redes"/>
    <n v="6.8"/>
    <n v="61.4"/>
    <x v="0"/>
    <x v="0"/>
  </r>
  <r>
    <s v="E202401029"/>
    <x v="0"/>
    <x v="0"/>
    <x v="1"/>
    <s v="Matematica"/>
    <n v="6.8"/>
    <n v="65.2"/>
    <x v="0"/>
    <x v="0"/>
  </r>
  <r>
    <s v="E202401030"/>
    <x v="0"/>
    <x v="0"/>
    <x v="1"/>
    <s v="Sinais"/>
    <n v="6.8"/>
    <n v="85.9"/>
    <x v="0"/>
    <x v="2"/>
  </r>
  <r>
    <s v="E202401036"/>
    <x v="0"/>
    <x v="0"/>
    <x v="1"/>
    <s v="Matematica"/>
    <n v="6.8"/>
    <n v="58.4"/>
    <x v="0"/>
    <x v="0"/>
  </r>
  <r>
    <s v="E202402026"/>
    <x v="0"/>
    <x v="0"/>
    <x v="0"/>
    <s v="Estatistica"/>
    <n v="6.8"/>
    <n v="50.9"/>
    <x v="0"/>
    <x v="0"/>
  </r>
  <r>
    <s v="E202402049"/>
    <x v="0"/>
    <x v="0"/>
    <x v="0"/>
    <s v="Contabilidade"/>
    <n v="6.8"/>
    <n v="60.2"/>
    <x v="0"/>
    <x v="0"/>
  </r>
  <r>
    <s v="E202403012"/>
    <x v="0"/>
    <x v="0"/>
    <x v="2"/>
    <s v="Bases de Dados"/>
    <n v="6.8"/>
    <n v="74.8"/>
    <x v="0"/>
    <x v="0"/>
  </r>
  <r>
    <s v="E202401046"/>
    <x v="0"/>
    <x v="1"/>
    <x v="1"/>
    <s v="Redes"/>
    <n v="6.8"/>
    <n v="49.8"/>
    <x v="0"/>
    <x v="1"/>
  </r>
  <r>
    <s v="E202501023"/>
    <x v="1"/>
    <x v="0"/>
    <x v="1"/>
    <s v="Matematica"/>
    <n v="6.8"/>
    <n v="52.2"/>
    <x v="0"/>
    <x v="0"/>
  </r>
  <r>
    <s v="E202501032"/>
    <x v="1"/>
    <x v="0"/>
    <x v="1"/>
    <s v="Redes"/>
    <n v="6.8"/>
    <n v="54.8"/>
    <x v="0"/>
    <x v="0"/>
  </r>
  <r>
    <s v="E202502057"/>
    <x v="1"/>
    <x v="0"/>
    <x v="0"/>
    <s v="Contabilidade"/>
    <n v="6.8"/>
    <n v="57.3"/>
    <x v="0"/>
    <x v="0"/>
  </r>
  <r>
    <s v="E202502018"/>
    <x v="1"/>
    <x v="1"/>
    <x v="0"/>
    <s v="Estatistica"/>
    <n v="6.8"/>
    <n v="46.3"/>
    <x v="0"/>
    <x v="1"/>
  </r>
  <r>
    <s v="E202502024"/>
    <x v="1"/>
    <x v="1"/>
    <x v="0"/>
    <s v="Estatistica"/>
    <n v="6.8"/>
    <n v="47.9"/>
    <x v="0"/>
    <x v="1"/>
  </r>
  <r>
    <s v="E202502045"/>
    <x v="1"/>
    <x v="1"/>
    <x v="0"/>
    <s v="Marketing"/>
    <n v="6.8"/>
    <n v="62.3"/>
    <x v="0"/>
    <x v="0"/>
  </r>
  <r>
    <s v="E202502057"/>
    <x v="1"/>
    <x v="1"/>
    <x v="0"/>
    <s v="Contabilidade"/>
    <n v="6.8"/>
    <n v="62.1"/>
    <x v="0"/>
    <x v="0"/>
  </r>
  <r>
    <s v="E202503020"/>
    <x v="1"/>
    <x v="1"/>
    <x v="2"/>
    <s v="Bases de Dados"/>
    <n v="6.8"/>
    <n v="55.3"/>
    <x v="0"/>
    <x v="0"/>
  </r>
  <r>
    <s v="E202503021"/>
    <x v="1"/>
    <x v="1"/>
    <x v="2"/>
    <s v="Redes"/>
    <n v="6.8"/>
    <n v="48.4"/>
    <x v="0"/>
    <x v="1"/>
  </r>
  <r>
    <s v="E202603030"/>
    <x v="2"/>
    <x v="0"/>
    <x v="2"/>
    <s v="Programacao"/>
    <n v="6.8"/>
    <n v="81.5"/>
    <x v="0"/>
    <x v="2"/>
  </r>
  <r>
    <s v="E202603005"/>
    <x v="2"/>
    <x v="1"/>
    <x v="2"/>
    <s v="Redes"/>
    <n v="6.8"/>
    <n v="65.099999999999994"/>
    <x v="0"/>
    <x v="0"/>
  </r>
  <r>
    <s v="E202402004"/>
    <x v="0"/>
    <x v="0"/>
    <x v="0"/>
    <s v="Contabilidade"/>
    <n v="6.9"/>
    <n v="60.4"/>
    <x v="0"/>
    <x v="0"/>
  </r>
  <r>
    <s v="E202403007"/>
    <x v="0"/>
    <x v="0"/>
    <x v="2"/>
    <s v="Programacao"/>
    <n v="6.9"/>
    <n v="71.400000000000006"/>
    <x v="0"/>
    <x v="0"/>
  </r>
  <r>
    <s v="E202403006"/>
    <x v="0"/>
    <x v="1"/>
    <x v="2"/>
    <s v="Redes"/>
    <n v="6.9"/>
    <n v="54.8"/>
    <x v="0"/>
    <x v="0"/>
  </r>
  <r>
    <s v="E202501037"/>
    <x v="1"/>
    <x v="0"/>
    <x v="1"/>
    <s v="Matematica"/>
    <n v="6.9"/>
    <n v="57"/>
    <x v="0"/>
    <x v="0"/>
  </r>
  <r>
    <s v="E202502007"/>
    <x v="1"/>
    <x v="0"/>
    <x v="0"/>
    <s v="Marketing"/>
    <n v="6.9"/>
    <n v="47"/>
    <x v="0"/>
    <x v="1"/>
  </r>
  <r>
    <s v="E202502025"/>
    <x v="1"/>
    <x v="0"/>
    <x v="0"/>
    <s v="Marketing"/>
    <n v="6.9"/>
    <n v="61.2"/>
    <x v="0"/>
    <x v="0"/>
  </r>
  <r>
    <s v="E202502031"/>
    <x v="1"/>
    <x v="0"/>
    <x v="0"/>
    <s v="Contabilidade"/>
    <n v="6.9"/>
    <n v="56.6"/>
    <x v="0"/>
    <x v="0"/>
  </r>
  <r>
    <s v="E202503052"/>
    <x v="1"/>
    <x v="0"/>
    <x v="2"/>
    <s v="Redes"/>
    <n v="6.9"/>
    <n v="65"/>
    <x v="0"/>
    <x v="0"/>
  </r>
  <r>
    <s v="E202501019"/>
    <x v="1"/>
    <x v="1"/>
    <x v="1"/>
    <s v="Redes"/>
    <n v="6.9"/>
    <n v="59.5"/>
    <x v="0"/>
    <x v="0"/>
  </r>
  <r>
    <s v="E202501030"/>
    <x v="1"/>
    <x v="1"/>
    <x v="1"/>
    <s v="Redes"/>
    <n v="6.9"/>
    <n v="65.400000000000006"/>
    <x v="0"/>
    <x v="0"/>
  </r>
  <r>
    <s v="E202501035"/>
    <x v="1"/>
    <x v="1"/>
    <x v="1"/>
    <s v="Redes"/>
    <n v="6.9"/>
    <n v="87.8"/>
    <x v="0"/>
    <x v="2"/>
  </r>
  <r>
    <s v="E202502005"/>
    <x v="1"/>
    <x v="1"/>
    <x v="0"/>
    <s v="Estatistica"/>
    <n v="6.9"/>
    <n v="46.8"/>
    <x v="0"/>
    <x v="1"/>
  </r>
  <r>
    <s v="E202502041"/>
    <x v="1"/>
    <x v="1"/>
    <x v="0"/>
    <s v="Contabilidade"/>
    <n v="6.9"/>
    <n v="65"/>
    <x v="0"/>
    <x v="0"/>
  </r>
  <r>
    <s v="E202602006"/>
    <x v="2"/>
    <x v="0"/>
    <x v="0"/>
    <s v="Contabilidade"/>
    <n v="6.9"/>
    <n v="53.3"/>
    <x v="0"/>
    <x v="0"/>
  </r>
  <r>
    <s v="E202602045"/>
    <x v="2"/>
    <x v="0"/>
    <x v="0"/>
    <s v="Contabilidade"/>
    <n v="6.9"/>
    <n v="96.7"/>
    <x v="0"/>
    <x v="2"/>
  </r>
  <r>
    <s v="E202602050"/>
    <x v="2"/>
    <x v="0"/>
    <x v="0"/>
    <s v="Contabilidade"/>
    <n v="6.9"/>
    <n v="73.400000000000006"/>
    <x v="0"/>
    <x v="0"/>
  </r>
  <r>
    <s v="E202601022"/>
    <x v="2"/>
    <x v="1"/>
    <x v="1"/>
    <s v="Redes"/>
    <n v="6.9"/>
    <n v="64.2"/>
    <x v="0"/>
    <x v="0"/>
  </r>
  <r>
    <s v="E202602003"/>
    <x v="2"/>
    <x v="1"/>
    <x v="0"/>
    <s v="Marketing"/>
    <n v="6.9"/>
    <n v="53.2"/>
    <x v="0"/>
    <x v="0"/>
  </r>
  <r>
    <s v="E202602006"/>
    <x v="2"/>
    <x v="1"/>
    <x v="0"/>
    <s v="Marketing"/>
    <n v="6.9"/>
    <n v="73.599999999999994"/>
    <x v="0"/>
    <x v="0"/>
  </r>
  <r>
    <s v="E202401026"/>
    <x v="0"/>
    <x v="0"/>
    <x v="1"/>
    <s v="Redes"/>
    <n v="7"/>
    <n v="57.1"/>
    <x v="0"/>
    <x v="0"/>
  </r>
  <r>
    <s v="E202401021"/>
    <x v="0"/>
    <x v="1"/>
    <x v="1"/>
    <s v="Matematica"/>
    <n v="7"/>
    <n v="89.9"/>
    <x v="0"/>
    <x v="2"/>
  </r>
  <r>
    <s v="E202402016"/>
    <x v="0"/>
    <x v="1"/>
    <x v="0"/>
    <s v="Contabilidade"/>
    <n v="7"/>
    <n v="48.9"/>
    <x v="0"/>
    <x v="1"/>
  </r>
  <r>
    <s v="E202502002"/>
    <x v="1"/>
    <x v="0"/>
    <x v="0"/>
    <s v="Contabilidade"/>
    <n v="7"/>
    <n v="55.9"/>
    <x v="0"/>
    <x v="0"/>
  </r>
  <r>
    <s v="E202502006"/>
    <x v="1"/>
    <x v="0"/>
    <x v="0"/>
    <s v="Estatistica"/>
    <n v="7"/>
    <n v="59.5"/>
    <x v="0"/>
    <x v="0"/>
  </r>
  <r>
    <s v="E202502033"/>
    <x v="1"/>
    <x v="0"/>
    <x v="0"/>
    <s v="Estatistica"/>
    <n v="7"/>
    <n v="47.8"/>
    <x v="0"/>
    <x v="1"/>
  </r>
  <r>
    <s v="E202503046"/>
    <x v="1"/>
    <x v="0"/>
    <x v="2"/>
    <s v="Bases de Dados"/>
    <n v="7"/>
    <n v="62.1"/>
    <x v="0"/>
    <x v="0"/>
  </r>
  <r>
    <s v="E202501038"/>
    <x v="1"/>
    <x v="1"/>
    <x v="1"/>
    <s v="Sinais"/>
    <n v="7"/>
    <n v="55.8"/>
    <x v="0"/>
    <x v="0"/>
  </r>
  <r>
    <s v="E202501043"/>
    <x v="1"/>
    <x v="1"/>
    <x v="1"/>
    <s v="Sinais"/>
    <n v="7"/>
    <n v="83.1"/>
    <x v="0"/>
    <x v="2"/>
  </r>
  <r>
    <s v="E202502001"/>
    <x v="1"/>
    <x v="1"/>
    <x v="0"/>
    <s v="Estatistica"/>
    <n v="7"/>
    <n v="47.5"/>
    <x v="0"/>
    <x v="1"/>
  </r>
  <r>
    <s v="E202502009"/>
    <x v="1"/>
    <x v="1"/>
    <x v="0"/>
    <s v="Marketing"/>
    <n v="7"/>
    <n v="46.1"/>
    <x v="0"/>
    <x v="1"/>
  </r>
  <r>
    <s v="E202601023"/>
    <x v="2"/>
    <x v="0"/>
    <x v="1"/>
    <s v="Redes"/>
    <n v="7"/>
    <n v="61.1"/>
    <x v="0"/>
    <x v="0"/>
  </r>
  <r>
    <s v="E202602009"/>
    <x v="2"/>
    <x v="0"/>
    <x v="0"/>
    <s v="Contabilidade"/>
    <n v="7"/>
    <n v="69.5"/>
    <x v="0"/>
    <x v="0"/>
  </r>
  <r>
    <s v="E202602029"/>
    <x v="2"/>
    <x v="0"/>
    <x v="0"/>
    <s v="Marketing"/>
    <n v="7"/>
    <n v="94.5"/>
    <x v="0"/>
    <x v="2"/>
  </r>
  <r>
    <s v="E202602040"/>
    <x v="2"/>
    <x v="0"/>
    <x v="0"/>
    <s v="Estatistica"/>
    <n v="7"/>
    <n v="55.4"/>
    <x v="0"/>
    <x v="0"/>
  </r>
  <r>
    <s v="E202603038"/>
    <x v="2"/>
    <x v="0"/>
    <x v="2"/>
    <s v="Bases de Dados"/>
    <n v="7"/>
    <n v="45.7"/>
    <x v="0"/>
    <x v="1"/>
  </r>
  <r>
    <s v="E202601035"/>
    <x v="2"/>
    <x v="1"/>
    <x v="1"/>
    <s v="Matematica"/>
    <n v="7"/>
    <n v="66.7"/>
    <x v="0"/>
    <x v="0"/>
  </r>
  <r>
    <s v="E202601042"/>
    <x v="2"/>
    <x v="1"/>
    <x v="1"/>
    <s v="Redes"/>
    <n v="7"/>
    <n v="73.8"/>
    <x v="0"/>
    <x v="0"/>
  </r>
  <r>
    <s v="E202401036"/>
    <x v="0"/>
    <x v="0"/>
    <x v="1"/>
    <s v="Sinais"/>
    <n v="7.1"/>
    <n v="61.8"/>
    <x v="0"/>
    <x v="0"/>
  </r>
  <r>
    <s v="E202403014"/>
    <x v="0"/>
    <x v="0"/>
    <x v="2"/>
    <s v="Redes"/>
    <n v="7.1"/>
    <n v="57.5"/>
    <x v="0"/>
    <x v="0"/>
  </r>
  <r>
    <s v="E202403038"/>
    <x v="0"/>
    <x v="0"/>
    <x v="2"/>
    <s v="Programacao"/>
    <n v="7.1"/>
    <n v="53.2"/>
    <x v="0"/>
    <x v="0"/>
  </r>
  <r>
    <s v="E202403047"/>
    <x v="0"/>
    <x v="0"/>
    <x v="2"/>
    <s v="Bases de Dados"/>
    <n v="7.1"/>
    <n v="63.3"/>
    <x v="0"/>
    <x v="0"/>
  </r>
  <r>
    <s v="E202401009"/>
    <x v="0"/>
    <x v="1"/>
    <x v="1"/>
    <s v="Redes"/>
    <n v="7.1"/>
    <n v="84.4"/>
    <x v="0"/>
    <x v="2"/>
  </r>
  <r>
    <s v="E202401032"/>
    <x v="0"/>
    <x v="1"/>
    <x v="1"/>
    <s v="Matematica"/>
    <n v="7.1"/>
    <n v="49.5"/>
    <x v="0"/>
    <x v="1"/>
  </r>
  <r>
    <s v="E202402022"/>
    <x v="0"/>
    <x v="1"/>
    <x v="0"/>
    <s v="Contabilidade"/>
    <n v="7.1"/>
    <n v="65.8"/>
    <x v="0"/>
    <x v="0"/>
  </r>
  <r>
    <s v="E202501034"/>
    <x v="1"/>
    <x v="0"/>
    <x v="1"/>
    <s v="Sinais"/>
    <n v="7.1"/>
    <n v="59.5"/>
    <x v="0"/>
    <x v="0"/>
  </r>
  <r>
    <s v="E202502021"/>
    <x v="1"/>
    <x v="0"/>
    <x v="0"/>
    <s v="Contabilidade"/>
    <n v="7.1"/>
    <n v="49.9"/>
    <x v="0"/>
    <x v="1"/>
  </r>
  <r>
    <s v="E202503002"/>
    <x v="1"/>
    <x v="0"/>
    <x v="2"/>
    <s v="Programacao"/>
    <n v="7.1"/>
    <n v="62.4"/>
    <x v="0"/>
    <x v="0"/>
  </r>
  <r>
    <s v="E202503005"/>
    <x v="1"/>
    <x v="0"/>
    <x v="2"/>
    <s v="Bases de Dados"/>
    <n v="7.1"/>
    <n v="51.4"/>
    <x v="0"/>
    <x v="0"/>
  </r>
  <r>
    <s v="E202503021"/>
    <x v="1"/>
    <x v="0"/>
    <x v="2"/>
    <s v="Redes"/>
    <n v="7.1"/>
    <n v="53.1"/>
    <x v="0"/>
    <x v="0"/>
  </r>
  <r>
    <s v="E202503025"/>
    <x v="1"/>
    <x v="0"/>
    <x v="2"/>
    <s v="Redes"/>
    <n v="7.1"/>
    <n v="57.2"/>
    <x v="0"/>
    <x v="0"/>
  </r>
  <r>
    <s v="E202501023"/>
    <x v="1"/>
    <x v="1"/>
    <x v="1"/>
    <s v="Redes"/>
    <n v="7.1"/>
    <n v="65.099999999999994"/>
    <x v="0"/>
    <x v="0"/>
  </r>
  <r>
    <s v="E202502010"/>
    <x v="1"/>
    <x v="1"/>
    <x v="0"/>
    <s v="Marketing"/>
    <n v="7.1"/>
    <n v="71.8"/>
    <x v="0"/>
    <x v="0"/>
  </r>
  <r>
    <s v="E202503001"/>
    <x v="1"/>
    <x v="1"/>
    <x v="2"/>
    <s v="Programacao"/>
    <n v="7.1"/>
    <n v="60.4"/>
    <x v="0"/>
    <x v="0"/>
  </r>
  <r>
    <s v="E202602012"/>
    <x v="2"/>
    <x v="0"/>
    <x v="0"/>
    <s v="Estatistica"/>
    <n v="7.1"/>
    <n v="80.3"/>
    <x v="0"/>
    <x v="2"/>
  </r>
  <r>
    <s v="E202602021"/>
    <x v="2"/>
    <x v="0"/>
    <x v="0"/>
    <s v="Marketing"/>
    <n v="7.1"/>
    <n v="52.7"/>
    <x v="0"/>
    <x v="0"/>
  </r>
  <r>
    <s v="E202602022"/>
    <x v="2"/>
    <x v="0"/>
    <x v="0"/>
    <s v="Contabilidade"/>
    <n v="7.1"/>
    <n v="77.099999999999994"/>
    <x v="0"/>
    <x v="2"/>
  </r>
  <r>
    <s v="E202602030"/>
    <x v="2"/>
    <x v="0"/>
    <x v="0"/>
    <s v="Contabilidade"/>
    <n v="7.1"/>
    <n v="66.400000000000006"/>
    <x v="0"/>
    <x v="0"/>
  </r>
  <r>
    <s v="E202603005"/>
    <x v="2"/>
    <x v="0"/>
    <x v="2"/>
    <s v="Redes"/>
    <n v="7.1"/>
    <n v="84.2"/>
    <x v="0"/>
    <x v="2"/>
  </r>
  <r>
    <s v="E202603052"/>
    <x v="2"/>
    <x v="0"/>
    <x v="2"/>
    <s v="Redes"/>
    <n v="7.1"/>
    <n v="58.5"/>
    <x v="0"/>
    <x v="0"/>
  </r>
  <r>
    <s v="E202601010"/>
    <x v="2"/>
    <x v="1"/>
    <x v="1"/>
    <s v="Redes"/>
    <n v="7.1"/>
    <n v="51"/>
    <x v="0"/>
    <x v="0"/>
  </r>
  <r>
    <s v="E202603018"/>
    <x v="2"/>
    <x v="1"/>
    <x v="2"/>
    <s v="Redes"/>
    <n v="7.1"/>
    <n v="54.3"/>
    <x v="0"/>
    <x v="0"/>
  </r>
  <r>
    <s v="E202603049"/>
    <x v="2"/>
    <x v="1"/>
    <x v="2"/>
    <s v="Redes"/>
    <n v="7.1"/>
    <n v="73.3"/>
    <x v="0"/>
    <x v="0"/>
  </r>
  <r>
    <s v="E202401024"/>
    <x v="0"/>
    <x v="0"/>
    <x v="1"/>
    <s v="Matematica"/>
    <n v="7.2"/>
    <n v="51.4"/>
    <x v="0"/>
    <x v="0"/>
  </r>
  <r>
    <s v="E202402024"/>
    <x v="0"/>
    <x v="0"/>
    <x v="0"/>
    <s v="Marketing"/>
    <n v="7.2"/>
    <n v="64.599999999999994"/>
    <x v="0"/>
    <x v="0"/>
  </r>
  <r>
    <s v="E202402058"/>
    <x v="0"/>
    <x v="1"/>
    <x v="0"/>
    <s v="Marketing"/>
    <n v="7.2"/>
    <n v="76.7"/>
    <x v="0"/>
    <x v="2"/>
  </r>
  <r>
    <s v="E202403032"/>
    <x v="0"/>
    <x v="1"/>
    <x v="2"/>
    <s v="Bases de Dados"/>
    <n v="7.2"/>
    <n v="56.8"/>
    <x v="0"/>
    <x v="0"/>
  </r>
  <r>
    <s v="E202501020"/>
    <x v="1"/>
    <x v="0"/>
    <x v="1"/>
    <s v="Matematica"/>
    <n v="7.2"/>
    <n v="53.7"/>
    <x v="0"/>
    <x v="0"/>
  </r>
  <r>
    <s v="E202501050"/>
    <x v="1"/>
    <x v="0"/>
    <x v="1"/>
    <s v="Sinais"/>
    <n v="7.2"/>
    <n v="49.1"/>
    <x v="0"/>
    <x v="1"/>
  </r>
  <r>
    <s v="E202502045"/>
    <x v="1"/>
    <x v="0"/>
    <x v="0"/>
    <s v="Estatistica"/>
    <n v="7.2"/>
    <n v="55.7"/>
    <x v="0"/>
    <x v="0"/>
  </r>
  <r>
    <s v="E202503039"/>
    <x v="1"/>
    <x v="0"/>
    <x v="2"/>
    <s v="Bases de Dados"/>
    <n v="7.2"/>
    <n v="49"/>
    <x v="0"/>
    <x v="1"/>
  </r>
  <r>
    <s v="E202501010"/>
    <x v="1"/>
    <x v="1"/>
    <x v="1"/>
    <s v="Matematica"/>
    <n v="7.2"/>
    <n v="52.5"/>
    <x v="0"/>
    <x v="0"/>
  </r>
  <r>
    <s v="E202502046"/>
    <x v="1"/>
    <x v="1"/>
    <x v="0"/>
    <s v="Estatistica"/>
    <n v="7.2"/>
    <n v="79.900000000000006"/>
    <x v="0"/>
    <x v="2"/>
  </r>
  <r>
    <s v="E202503010"/>
    <x v="1"/>
    <x v="1"/>
    <x v="2"/>
    <s v="Bases de Dados"/>
    <n v="7.2"/>
    <n v="69.3"/>
    <x v="0"/>
    <x v="0"/>
  </r>
  <r>
    <s v="E202503025"/>
    <x v="1"/>
    <x v="1"/>
    <x v="2"/>
    <s v="Bases de Dados"/>
    <n v="7.2"/>
    <n v="70"/>
    <x v="0"/>
    <x v="0"/>
  </r>
  <r>
    <s v="E202503028"/>
    <x v="1"/>
    <x v="1"/>
    <x v="2"/>
    <s v="Programacao"/>
    <n v="7.2"/>
    <n v="81.5"/>
    <x v="0"/>
    <x v="2"/>
  </r>
  <r>
    <s v="E202503035"/>
    <x v="1"/>
    <x v="1"/>
    <x v="2"/>
    <s v="Programacao"/>
    <n v="7.2"/>
    <n v="79.900000000000006"/>
    <x v="0"/>
    <x v="2"/>
  </r>
  <r>
    <s v="E202601016"/>
    <x v="2"/>
    <x v="0"/>
    <x v="1"/>
    <s v="Sinais"/>
    <n v="7.2"/>
    <n v="62.8"/>
    <x v="0"/>
    <x v="0"/>
  </r>
  <r>
    <s v="E202602033"/>
    <x v="2"/>
    <x v="0"/>
    <x v="0"/>
    <s v="Marketing"/>
    <n v="7.2"/>
    <n v="83.4"/>
    <x v="0"/>
    <x v="2"/>
  </r>
  <r>
    <s v="E202603014"/>
    <x v="2"/>
    <x v="0"/>
    <x v="2"/>
    <s v="Bases de Dados"/>
    <n v="7.2"/>
    <n v="48"/>
    <x v="0"/>
    <x v="1"/>
  </r>
  <r>
    <s v="E202603040"/>
    <x v="2"/>
    <x v="0"/>
    <x v="2"/>
    <s v="Bases de Dados"/>
    <n v="7.2"/>
    <n v="60.2"/>
    <x v="0"/>
    <x v="0"/>
  </r>
  <r>
    <s v="E202601031"/>
    <x v="2"/>
    <x v="1"/>
    <x v="1"/>
    <s v="Redes"/>
    <n v="7.2"/>
    <n v="55"/>
    <x v="0"/>
    <x v="0"/>
  </r>
  <r>
    <s v="E202601038"/>
    <x v="2"/>
    <x v="1"/>
    <x v="1"/>
    <s v="Matematica"/>
    <n v="7.2"/>
    <n v="58.8"/>
    <x v="0"/>
    <x v="0"/>
  </r>
  <r>
    <s v="E202401021"/>
    <x v="0"/>
    <x v="0"/>
    <x v="1"/>
    <s v="Matematica"/>
    <n v="7.3"/>
    <n v="57.2"/>
    <x v="0"/>
    <x v="0"/>
  </r>
  <r>
    <s v="E202402015"/>
    <x v="0"/>
    <x v="0"/>
    <x v="0"/>
    <s v="Contabilidade"/>
    <n v="7.3"/>
    <n v="86.3"/>
    <x v="0"/>
    <x v="2"/>
  </r>
  <r>
    <s v="E202401057"/>
    <x v="0"/>
    <x v="1"/>
    <x v="1"/>
    <s v="Sinais"/>
    <n v="7.3"/>
    <n v="52.1"/>
    <x v="0"/>
    <x v="0"/>
  </r>
  <r>
    <s v="E202402043"/>
    <x v="0"/>
    <x v="1"/>
    <x v="0"/>
    <s v="Marketing"/>
    <n v="7.3"/>
    <n v="64"/>
    <x v="0"/>
    <x v="0"/>
  </r>
  <r>
    <s v="E202402050"/>
    <x v="0"/>
    <x v="1"/>
    <x v="0"/>
    <s v="Contabilidade"/>
    <n v="7.3"/>
    <n v="60.6"/>
    <x v="0"/>
    <x v="0"/>
  </r>
  <r>
    <s v="E202403051"/>
    <x v="0"/>
    <x v="1"/>
    <x v="2"/>
    <s v="Bases de Dados"/>
    <n v="7.3"/>
    <n v="61.8"/>
    <x v="0"/>
    <x v="0"/>
  </r>
  <r>
    <s v="E202501006"/>
    <x v="1"/>
    <x v="0"/>
    <x v="1"/>
    <s v="Matematica"/>
    <n v="7.3"/>
    <n v="57.2"/>
    <x v="0"/>
    <x v="0"/>
  </r>
  <r>
    <s v="E202501008"/>
    <x v="1"/>
    <x v="0"/>
    <x v="1"/>
    <s v="Redes"/>
    <n v="7.3"/>
    <n v="86.6"/>
    <x v="0"/>
    <x v="2"/>
  </r>
  <r>
    <s v="E202501022"/>
    <x v="1"/>
    <x v="0"/>
    <x v="1"/>
    <s v="Redes"/>
    <n v="7.3"/>
    <n v="54.2"/>
    <x v="0"/>
    <x v="0"/>
  </r>
  <r>
    <s v="E202501029"/>
    <x v="1"/>
    <x v="0"/>
    <x v="1"/>
    <s v="Sinais"/>
    <n v="7.3"/>
    <n v="59.2"/>
    <x v="0"/>
    <x v="0"/>
  </r>
  <r>
    <s v="E202501033"/>
    <x v="1"/>
    <x v="0"/>
    <x v="1"/>
    <s v="Sinais"/>
    <n v="7.3"/>
    <n v="76.8"/>
    <x v="0"/>
    <x v="2"/>
  </r>
  <r>
    <s v="E202501041"/>
    <x v="1"/>
    <x v="0"/>
    <x v="1"/>
    <s v="Redes"/>
    <n v="7.3"/>
    <n v="68.099999999999994"/>
    <x v="0"/>
    <x v="0"/>
  </r>
  <r>
    <s v="E202501057"/>
    <x v="1"/>
    <x v="0"/>
    <x v="1"/>
    <s v="Sinais"/>
    <n v="7.3"/>
    <n v="67.900000000000006"/>
    <x v="0"/>
    <x v="0"/>
  </r>
  <r>
    <s v="E202501016"/>
    <x v="1"/>
    <x v="1"/>
    <x v="1"/>
    <s v="Matematica"/>
    <n v="7.3"/>
    <n v="78.599999999999994"/>
    <x v="0"/>
    <x v="2"/>
  </r>
  <r>
    <s v="E202501032"/>
    <x v="1"/>
    <x v="1"/>
    <x v="1"/>
    <s v="Redes"/>
    <n v="7.3"/>
    <n v="60.9"/>
    <x v="0"/>
    <x v="0"/>
  </r>
  <r>
    <s v="E202502030"/>
    <x v="1"/>
    <x v="1"/>
    <x v="0"/>
    <s v="Estatistica"/>
    <n v="7.3"/>
    <n v="77"/>
    <x v="0"/>
    <x v="2"/>
  </r>
  <r>
    <s v="E202503006"/>
    <x v="1"/>
    <x v="1"/>
    <x v="2"/>
    <s v="Bases de Dados"/>
    <n v="7.3"/>
    <n v="46.8"/>
    <x v="0"/>
    <x v="1"/>
  </r>
  <r>
    <s v="E202601005"/>
    <x v="2"/>
    <x v="0"/>
    <x v="1"/>
    <s v="Sinais"/>
    <n v="7.3"/>
    <n v="64.7"/>
    <x v="0"/>
    <x v="0"/>
  </r>
  <r>
    <s v="E202602060"/>
    <x v="2"/>
    <x v="0"/>
    <x v="0"/>
    <s v="Contabilidade"/>
    <n v="7.3"/>
    <n v="67.2"/>
    <x v="0"/>
    <x v="0"/>
  </r>
  <r>
    <s v="E202603048"/>
    <x v="2"/>
    <x v="0"/>
    <x v="2"/>
    <s v="Programacao"/>
    <n v="7.3"/>
    <n v="64.099999999999994"/>
    <x v="0"/>
    <x v="0"/>
  </r>
  <r>
    <s v="E202601005"/>
    <x v="2"/>
    <x v="1"/>
    <x v="1"/>
    <s v="Redes"/>
    <n v="7.3"/>
    <n v="47.4"/>
    <x v="0"/>
    <x v="1"/>
  </r>
  <r>
    <s v="E202601019"/>
    <x v="2"/>
    <x v="1"/>
    <x v="1"/>
    <s v="Redes"/>
    <n v="7.3"/>
    <n v="82.1"/>
    <x v="0"/>
    <x v="2"/>
  </r>
  <r>
    <s v="E202601039"/>
    <x v="2"/>
    <x v="1"/>
    <x v="1"/>
    <s v="Sinais"/>
    <n v="7.3"/>
    <n v="49.7"/>
    <x v="0"/>
    <x v="1"/>
  </r>
  <r>
    <s v="E202602003"/>
    <x v="2"/>
    <x v="1"/>
    <x v="0"/>
    <s v="Contabilidade"/>
    <n v="7.3"/>
    <n v="58.5"/>
    <x v="0"/>
    <x v="0"/>
  </r>
  <r>
    <s v="E202603036"/>
    <x v="2"/>
    <x v="1"/>
    <x v="2"/>
    <s v="Programacao"/>
    <n v="7.3"/>
    <n v="51.1"/>
    <x v="0"/>
    <x v="0"/>
  </r>
  <r>
    <s v="E202603040"/>
    <x v="2"/>
    <x v="1"/>
    <x v="2"/>
    <s v="Redes"/>
    <n v="7.3"/>
    <n v="92.7"/>
    <x v="0"/>
    <x v="2"/>
  </r>
  <r>
    <s v="E202402002"/>
    <x v="0"/>
    <x v="0"/>
    <x v="0"/>
    <s v="Estatistica"/>
    <n v="7.4"/>
    <n v="61.7"/>
    <x v="0"/>
    <x v="0"/>
  </r>
  <r>
    <s v="E202402013"/>
    <x v="0"/>
    <x v="0"/>
    <x v="0"/>
    <s v="Contabilidade"/>
    <n v="7.4"/>
    <n v="55.8"/>
    <x v="0"/>
    <x v="0"/>
  </r>
  <r>
    <s v="E202403044"/>
    <x v="0"/>
    <x v="0"/>
    <x v="2"/>
    <s v="Bases de Dados"/>
    <n v="7.4"/>
    <n v="75.900000000000006"/>
    <x v="0"/>
    <x v="2"/>
  </r>
  <r>
    <s v="E202403048"/>
    <x v="0"/>
    <x v="0"/>
    <x v="2"/>
    <s v="Redes"/>
    <n v="7.4"/>
    <n v="81.900000000000006"/>
    <x v="0"/>
    <x v="2"/>
  </r>
  <r>
    <s v="E202401044"/>
    <x v="0"/>
    <x v="1"/>
    <x v="1"/>
    <s v="Matematica"/>
    <n v="7.4"/>
    <n v="51.8"/>
    <x v="0"/>
    <x v="0"/>
  </r>
  <r>
    <s v="E202402033"/>
    <x v="0"/>
    <x v="1"/>
    <x v="0"/>
    <s v="Contabilidade"/>
    <n v="7.4"/>
    <n v="47.8"/>
    <x v="0"/>
    <x v="1"/>
  </r>
  <r>
    <s v="E202501003"/>
    <x v="1"/>
    <x v="0"/>
    <x v="1"/>
    <s v="Redes"/>
    <n v="7.4"/>
    <n v="51.6"/>
    <x v="0"/>
    <x v="0"/>
  </r>
  <r>
    <s v="E202501013"/>
    <x v="1"/>
    <x v="0"/>
    <x v="1"/>
    <s v="Matematica"/>
    <n v="7.4"/>
    <n v="75.2"/>
    <x v="0"/>
    <x v="2"/>
  </r>
  <r>
    <s v="E202501040"/>
    <x v="1"/>
    <x v="0"/>
    <x v="1"/>
    <s v="Redes"/>
    <n v="7.4"/>
    <n v="96.9"/>
    <x v="0"/>
    <x v="2"/>
  </r>
  <r>
    <s v="E202502001"/>
    <x v="1"/>
    <x v="0"/>
    <x v="0"/>
    <s v="Marketing"/>
    <n v="7.4"/>
    <n v="77"/>
    <x v="0"/>
    <x v="2"/>
  </r>
  <r>
    <s v="E202502023"/>
    <x v="1"/>
    <x v="0"/>
    <x v="0"/>
    <s v="Marketing"/>
    <n v="7.4"/>
    <n v="70.3"/>
    <x v="0"/>
    <x v="0"/>
  </r>
  <r>
    <s v="E202503001"/>
    <x v="1"/>
    <x v="0"/>
    <x v="2"/>
    <s v="Bases de Dados"/>
    <n v="7.4"/>
    <n v="52.5"/>
    <x v="0"/>
    <x v="0"/>
  </r>
  <r>
    <s v="E202503016"/>
    <x v="1"/>
    <x v="0"/>
    <x v="2"/>
    <s v="Bases de Dados"/>
    <n v="7.4"/>
    <n v="80.7"/>
    <x v="0"/>
    <x v="2"/>
  </r>
  <r>
    <s v="E202501049"/>
    <x v="1"/>
    <x v="1"/>
    <x v="1"/>
    <s v="Sinais"/>
    <n v="7.4"/>
    <n v="46.5"/>
    <x v="0"/>
    <x v="1"/>
  </r>
  <r>
    <s v="E202503030"/>
    <x v="1"/>
    <x v="1"/>
    <x v="2"/>
    <s v="Bases de Dados"/>
    <n v="7.4"/>
    <n v="88"/>
    <x v="0"/>
    <x v="2"/>
  </r>
  <r>
    <s v="E202601050"/>
    <x v="2"/>
    <x v="0"/>
    <x v="1"/>
    <s v="Sinais"/>
    <n v="7.4"/>
    <n v="52.1"/>
    <x v="0"/>
    <x v="0"/>
  </r>
  <r>
    <s v="E202602031"/>
    <x v="2"/>
    <x v="0"/>
    <x v="0"/>
    <s v="Contabilidade"/>
    <n v="7.4"/>
    <n v="52.3"/>
    <x v="0"/>
    <x v="0"/>
  </r>
  <r>
    <s v="E202603007"/>
    <x v="2"/>
    <x v="0"/>
    <x v="2"/>
    <s v="Programacao"/>
    <n v="7.4"/>
    <n v="61.3"/>
    <x v="0"/>
    <x v="0"/>
  </r>
  <r>
    <s v="E202603020"/>
    <x v="2"/>
    <x v="0"/>
    <x v="2"/>
    <s v="Redes"/>
    <n v="7.4"/>
    <n v="92.1"/>
    <x v="0"/>
    <x v="2"/>
  </r>
  <r>
    <s v="E202603041"/>
    <x v="2"/>
    <x v="0"/>
    <x v="2"/>
    <s v="Bases de Dados"/>
    <n v="7.4"/>
    <n v="61.4"/>
    <x v="0"/>
    <x v="0"/>
  </r>
  <r>
    <s v="E202602005"/>
    <x v="2"/>
    <x v="1"/>
    <x v="0"/>
    <s v="Contabilidade"/>
    <n v="7.4"/>
    <n v="75.8"/>
    <x v="0"/>
    <x v="2"/>
  </r>
  <r>
    <s v="E202602013"/>
    <x v="2"/>
    <x v="1"/>
    <x v="0"/>
    <s v="Estatistica"/>
    <n v="7.4"/>
    <n v="54.5"/>
    <x v="0"/>
    <x v="0"/>
  </r>
  <r>
    <s v="E202602013"/>
    <x v="2"/>
    <x v="1"/>
    <x v="0"/>
    <s v="Marketing"/>
    <n v="7.4"/>
    <n v="47.4"/>
    <x v="0"/>
    <x v="1"/>
  </r>
  <r>
    <s v="E202603009"/>
    <x v="2"/>
    <x v="1"/>
    <x v="2"/>
    <s v="Programacao"/>
    <n v="7.4"/>
    <n v="70.7"/>
    <x v="0"/>
    <x v="0"/>
  </r>
  <r>
    <s v="E202603012"/>
    <x v="2"/>
    <x v="1"/>
    <x v="2"/>
    <s v="Programacao"/>
    <n v="7.4"/>
    <n v="52.1"/>
    <x v="0"/>
    <x v="0"/>
  </r>
  <r>
    <s v="E202402036"/>
    <x v="0"/>
    <x v="0"/>
    <x v="0"/>
    <s v="Contabilidade"/>
    <n v="7.5"/>
    <n v="56.9"/>
    <x v="0"/>
    <x v="0"/>
  </r>
  <r>
    <s v="E202403004"/>
    <x v="0"/>
    <x v="0"/>
    <x v="2"/>
    <s v="Bases de Dados"/>
    <n v="7.5"/>
    <n v="99.9"/>
    <x v="0"/>
    <x v="2"/>
  </r>
  <r>
    <s v="E202403028"/>
    <x v="0"/>
    <x v="0"/>
    <x v="2"/>
    <s v="Redes"/>
    <n v="7.5"/>
    <n v="85.6"/>
    <x v="0"/>
    <x v="2"/>
  </r>
  <r>
    <s v="E202402033"/>
    <x v="0"/>
    <x v="1"/>
    <x v="0"/>
    <s v="Estatistica"/>
    <n v="7.5"/>
    <n v="83.4"/>
    <x v="0"/>
    <x v="2"/>
  </r>
  <r>
    <s v="E202403014"/>
    <x v="0"/>
    <x v="1"/>
    <x v="2"/>
    <s v="Programacao"/>
    <n v="7.5"/>
    <n v="85.5"/>
    <x v="0"/>
    <x v="2"/>
  </r>
  <r>
    <s v="E202403020"/>
    <x v="0"/>
    <x v="1"/>
    <x v="2"/>
    <s v="Bases de Dados"/>
    <n v="7.5"/>
    <n v="67.7"/>
    <x v="0"/>
    <x v="0"/>
  </r>
  <r>
    <s v="E202403032"/>
    <x v="0"/>
    <x v="1"/>
    <x v="2"/>
    <s v="Programacao"/>
    <n v="7.5"/>
    <n v="64.7"/>
    <x v="0"/>
    <x v="0"/>
  </r>
  <r>
    <s v="E202501016"/>
    <x v="1"/>
    <x v="0"/>
    <x v="1"/>
    <s v="Matematica"/>
    <n v="7.5"/>
    <n v="46.2"/>
    <x v="0"/>
    <x v="1"/>
  </r>
  <r>
    <s v="E202501058"/>
    <x v="1"/>
    <x v="0"/>
    <x v="1"/>
    <s v="Redes"/>
    <n v="7.5"/>
    <n v="60.7"/>
    <x v="0"/>
    <x v="0"/>
  </r>
  <r>
    <s v="E202502010"/>
    <x v="1"/>
    <x v="0"/>
    <x v="0"/>
    <s v="Marketing"/>
    <n v="7.5"/>
    <n v="72"/>
    <x v="0"/>
    <x v="0"/>
  </r>
  <r>
    <s v="E202502012"/>
    <x v="1"/>
    <x v="0"/>
    <x v="0"/>
    <s v="Marketing"/>
    <n v="7.5"/>
    <n v="55"/>
    <x v="0"/>
    <x v="0"/>
  </r>
  <r>
    <s v="E202503045"/>
    <x v="1"/>
    <x v="1"/>
    <x v="2"/>
    <s v="Programacao"/>
    <n v="7.5"/>
    <n v="49.4"/>
    <x v="0"/>
    <x v="1"/>
  </r>
  <r>
    <s v="E202601021"/>
    <x v="2"/>
    <x v="0"/>
    <x v="1"/>
    <s v="Sinais"/>
    <n v="7.5"/>
    <n v="81.8"/>
    <x v="0"/>
    <x v="2"/>
  </r>
  <r>
    <s v="E202601042"/>
    <x v="2"/>
    <x v="0"/>
    <x v="1"/>
    <s v="Redes"/>
    <n v="7.5"/>
    <n v="51.6"/>
    <x v="0"/>
    <x v="0"/>
  </r>
  <r>
    <s v="E202601053"/>
    <x v="2"/>
    <x v="0"/>
    <x v="1"/>
    <s v="Matematica"/>
    <n v="7.5"/>
    <n v="46.3"/>
    <x v="0"/>
    <x v="1"/>
  </r>
  <r>
    <s v="E202602010"/>
    <x v="2"/>
    <x v="0"/>
    <x v="0"/>
    <s v="Contabilidade"/>
    <n v="7.5"/>
    <n v="85.3"/>
    <x v="0"/>
    <x v="2"/>
  </r>
  <r>
    <s v="E202603014"/>
    <x v="2"/>
    <x v="0"/>
    <x v="2"/>
    <s v="Redes"/>
    <n v="7.5"/>
    <n v="56"/>
    <x v="0"/>
    <x v="0"/>
  </r>
  <r>
    <s v="E202603030"/>
    <x v="2"/>
    <x v="0"/>
    <x v="2"/>
    <s v="Redes"/>
    <n v="7.5"/>
    <n v="45.9"/>
    <x v="0"/>
    <x v="1"/>
  </r>
  <r>
    <s v="E202603043"/>
    <x v="2"/>
    <x v="0"/>
    <x v="2"/>
    <s v="Programacao"/>
    <n v="7.5"/>
    <n v="91.6"/>
    <x v="0"/>
    <x v="2"/>
  </r>
  <r>
    <s v="E202603051"/>
    <x v="2"/>
    <x v="0"/>
    <x v="2"/>
    <s v="Bases de Dados"/>
    <n v="7.5"/>
    <n v="83.7"/>
    <x v="0"/>
    <x v="2"/>
  </r>
  <r>
    <s v="E202601001"/>
    <x v="2"/>
    <x v="1"/>
    <x v="1"/>
    <s v="Sinais"/>
    <n v="7.5"/>
    <n v="46.5"/>
    <x v="0"/>
    <x v="1"/>
  </r>
  <r>
    <s v="E202601003"/>
    <x v="2"/>
    <x v="1"/>
    <x v="1"/>
    <s v="Matematica"/>
    <n v="7.5"/>
    <n v="48.1"/>
    <x v="0"/>
    <x v="1"/>
  </r>
  <r>
    <s v="E202601047"/>
    <x v="2"/>
    <x v="1"/>
    <x v="1"/>
    <s v="Redes"/>
    <n v="7.5"/>
    <n v="99.2"/>
    <x v="0"/>
    <x v="2"/>
  </r>
  <r>
    <s v="E202602027"/>
    <x v="2"/>
    <x v="1"/>
    <x v="0"/>
    <s v="Marketing"/>
    <n v="7.5"/>
    <n v="66.5"/>
    <x v="0"/>
    <x v="0"/>
  </r>
  <r>
    <s v="E202603002"/>
    <x v="2"/>
    <x v="1"/>
    <x v="2"/>
    <s v="Programacao"/>
    <n v="7.5"/>
    <n v="84.5"/>
    <x v="0"/>
    <x v="2"/>
  </r>
  <r>
    <s v="E202401031"/>
    <x v="0"/>
    <x v="0"/>
    <x v="1"/>
    <s v="Sinais"/>
    <n v="7.6"/>
    <n v="51.8"/>
    <x v="0"/>
    <x v="0"/>
  </r>
  <r>
    <s v="E202401042"/>
    <x v="0"/>
    <x v="0"/>
    <x v="1"/>
    <s v="Sinais"/>
    <n v="7.6"/>
    <n v="81.5"/>
    <x v="0"/>
    <x v="2"/>
  </r>
  <r>
    <s v="E202402053"/>
    <x v="0"/>
    <x v="0"/>
    <x v="0"/>
    <s v="Marketing"/>
    <n v="7.6"/>
    <n v="52.4"/>
    <x v="0"/>
    <x v="0"/>
  </r>
  <r>
    <s v="E202403013"/>
    <x v="0"/>
    <x v="0"/>
    <x v="2"/>
    <s v="Programacao"/>
    <n v="7.6"/>
    <n v="77.7"/>
    <x v="0"/>
    <x v="2"/>
  </r>
  <r>
    <s v="E202403020"/>
    <x v="0"/>
    <x v="0"/>
    <x v="2"/>
    <s v="Redes"/>
    <n v="7.6"/>
    <n v="53.5"/>
    <x v="0"/>
    <x v="0"/>
  </r>
  <r>
    <s v="E202403025"/>
    <x v="0"/>
    <x v="0"/>
    <x v="2"/>
    <s v="Programacao"/>
    <n v="7.6"/>
    <n v="59.4"/>
    <x v="0"/>
    <x v="0"/>
  </r>
  <r>
    <s v="E202403026"/>
    <x v="0"/>
    <x v="0"/>
    <x v="2"/>
    <s v="Programacao"/>
    <n v="7.6"/>
    <n v="62"/>
    <x v="0"/>
    <x v="0"/>
  </r>
  <r>
    <s v="E202401023"/>
    <x v="0"/>
    <x v="1"/>
    <x v="1"/>
    <s v="Sinais"/>
    <n v="7.6"/>
    <n v="56.6"/>
    <x v="0"/>
    <x v="0"/>
  </r>
  <r>
    <s v="E202401025"/>
    <x v="0"/>
    <x v="1"/>
    <x v="1"/>
    <s v="Redes"/>
    <n v="7.6"/>
    <n v="65.8"/>
    <x v="0"/>
    <x v="0"/>
  </r>
  <r>
    <s v="E202401053"/>
    <x v="0"/>
    <x v="1"/>
    <x v="1"/>
    <s v="Matematica"/>
    <n v="7.6"/>
    <n v="72.2"/>
    <x v="0"/>
    <x v="0"/>
  </r>
  <r>
    <s v="E202402039"/>
    <x v="0"/>
    <x v="1"/>
    <x v="0"/>
    <s v="Marketing"/>
    <n v="7.6"/>
    <n v="83.8"/>
    <x v="0"/>
    <x v="2"/>
  </r>
  <r>
    <s v="E202402041"/>
    <x v="0"/>
    <x v="1"/>
    <x v="0"/>
    <s v="Estatistica"/>
    <n v="7.6"/>
    <n v="96.2"/>
    <x v="0"/>
    <x v="2"/>
  </r>
  <r>
    <s v="E202403030"/>
    <x v="0"/>
    <x v="1"/>
    <x v="2"/>
    <s v="Redes"/>
    <n v="7.6"/>
    <n v="95.8"/>
    <x v="0"/>
    <x v="2"/>
  </r>
  <r>
    <s v="E202403039"/>
    <x v="0"/>
    <x v="1"/>
    <x v="2"/>
    <s v="Programacao"/>
    <n v="7.6"/>
    <n v="49.8"/>
    <x v="0"/>
    <x v="1"/>
  </r>
  <r>
    <s v="E202403042"/>
    <x v="0"/>
    <x v="1"/>
    <x v="2"/>
    <s v="Redes"/>
    <n v="7.6"/>
    <n v="63.3"/>
    <x v="0"/>
    <x v="0"/>
  </r>
  <r>
    <s v="E202501010"/>
    <x v="1"/>
    <x v="0"/>
    <x v="1"/>
    <s v="Sinais"/>
    <n v="7.6"/>
    <n v="59.6"/>
    <x v="0"/>
    <x v="0"/>
  </r>
  <r>
    <s v="E202501055"/>
    <x v="1"/>
    <x v="0"/>
    <x v="1"/>
    <s v="Sinais"/>
    <n v="7.6"/>
    <n v="52.1"/>
    <x v="0"/>
    <x v="0"/>
  </r>
  <r>
    <s v="E202502011"/>
    <x v="1"/>
    <x v="0"/>
    <x v="0"/>
    <s v="Contabilidade"/>
    <n v="7.6"/>
    <n v="59.4"/>
    <x v="0"/>
    <x v="0"/>
  </r>
  <r>
    <s v="E202503010"/>
    <x v="1"/>
    <x v="0"/>
    <x v="2"/>
    <s v="Bases de Dados"/>
    <n v="7.6"/>
    <n v="84.8"/>
    <x v="0"/>
    <x v="2"/>
  </r>
  <r>
    <s v="E202503052"/>
    <x v="1"/>
    <x v="0"/>
    <x v="2"/>
    <s v="Bases de Dados"/>
    <n v="7.6"/>
    <n v="59.3"/>
    <x v="0"/>
    <x v="0"/>
  </r>
  <r>
    <s v="E202503056"/>
    <x v="1"/>
    <x v="0"/>
    <x v="2"/>
    <s v="Programacao"/>
    <n v="7.6"/>
    <n v="53"/>
    <x v="0"/>
    <x v="0"/>
  </r>
  <r>
    <s v="E202501004"/>
    <x v="1"/>
    <x v="1"/>
    <x v="1"/>
    <s v="Sinais"/>
    <n v="7.6"/>
    <n v="90.5"/>
    <x v="0"/>
    <x v="2"/>
  </r>
  <r>
    <s v="E202501013"/>
    <x v="1"/>
    <x v="1"/>
    <x v="1"/>
    <s v="Redes"/>
    <n v="7.6"/>
    <n v="64.599999999999994"/>
    <x v="0"/>
    <x v="0"/>
  </r>
  <r>
    <s v="E202502007"/>
    <x v="1"/>
    <x v="1"/>
    <x v="0"/>
    <s v="Contabilidade"/>
    <n v="7.6"/>
    <n v="96.3"/>
    <x v="0"/>
    <x v="2"/>
  </r>
  <r>
    <s v="E202503010"/>
    <x v="1"/>
    <x v="1"/>
    <x v="2"/>
    <s v="Redes"/>
    <n v="7.6"/>
    <n v="68.2"/>
    <x v="0"/>
    <x v="0"/>
  </r>
  <r>
    <s v="E202503060"/>
    <x v="1"/>
    <x v="1"/>
    <x v="2"/>
    <s v="Bases de Dados"/>
    <n v="7.6"/>
    <n v="51.4"/>
    <x v="0"/>
    <x v="0"/>
  </r>
  <r>
    <s v="E202601030"/>
    <x v="2"/>
    <x v="0"/>
    <x v="1"/>
    <s v="Redes"/>
    <n v="7.6"/>
    <n v="80.5"/>
    <x v="0"/>
    <x v="2"/>
  </r>
  <r>
    <s v="E202602027"/>
    <x v="2"/>
    <x v="0"/>
    <x v="0"/>
    <s v="Estatistica"/>
    <n v="7.6"/>
    <n v="82.6"/>
    <x v="0"/>
    <x v="2"/>
  </r>
  <r>
    <s v="E202602057"/>
    <x v="2"/>
    <x v="0"/>
    <x v="0"/>
    <s v="Estatistica"/>
    <n v="7.6"/>
    <n v="52.4"/>
    <x v="0"/>
    <x v="0"/>
  </r>
  <r>
    <s v="E202601057"/>
    <x v="2"/>
    <x v="1"/>
    <x v="1"/>
    <s v="Matematica"/>
    <n v="7.6"/>
    <n v="47.8"/>
    <x v="0"/>
    <x v="1"/>
  </r>
  <r>
    <s v="E202602038"/>
    <x v="2"/>
    <x v="1"/>
    <x v="0"/>
    <s v="Marketing"/>
    <n v="7.6"/>
    <n v="46"/>
    <x v="0"/>
    <x v="1"/>
  </r>
  <r>
    <s v="E202602040"/>
    <x v="2"/>
    <x v="1"/>
    <x v="0"/>
    <s v="Estatistica"/>
    <n v="7.6"/>
    <n v="45.6"/>
    <x v="0"/>
    <x v="1"/>
  </r>
  <r>
    <s v="E202603020"/>
    <x v="2"/>
    <x v="1"/>
    <x v="2"/>
    <s v="Redes"/>
    <n v="7.6"/>
    <n v="72.599999999999994"/>
    <x v="0"/>
    <x v="0"/>
  </r>
  <r>
    <s v="E202401001"/>
    <x v="0"/>
    <x v="0"/>
    <x v="1"/>
    <s v="Redes"/>
    <n v="7.7"/>
    <n v="75.099999999999994"/>
    <x v="0"/>
    <x v="2"/>
  </r>
  <r>
    <s v="E202401019"/>
    <x v="0"/>
    <x v="0"/>
    <x v="1"/>
    <s v="Redes"/>
    <n v="7.7"/>
    <n v="68.900000000000006"/>
    <x v="0"/>
    <x v="0"/>
  </r>
  <r>
    <s v="E202403044"/>
    <x v="0"/>
    <x v="0"/>
    <x v="2"/>
    <s v="Redes"/>
    <n v="7.7"/>
    <n v="47.8"/>
    <x v="0"/>
    <x v="1"/>
  </r>
  <r>
    <s v="E202401029"/>
    <x v="0"/>
    <x v="1"/>
    <x v="1"/>
    <s v="Redes"/>
    <n v="7.7"/>
    <n v="78"/>
    <x v="0"/>
    <x v="2"/>
  </r>
  <r>
    <s v="E202402037"/>
    <x v="0"/>
    <x v="1"/>
    <x v="0"/>
    <s v="Estatistica"/>
    <n v="7.7"/>
    <n v="61.7"/>
    <x v="0"/>
    <x v="0"/>
  </r>
  <r>
    <s v="E202402056"/>
    <x v="0"/>
    <x v="1"/>
    <x v="0"/>
    <s v="Marketing"/>
    <n v="7.7"/>
    <n v="55.5"/>
    <x v="0"/>
    <x v="0"/>
  </r>
  <r>
    <s v="E202403002"/>
    <x v="0"/>
    <x v="1"/>
    <x v="2"/>
    <s v="Redes"/>
    <n v="7.7"/>
    <n v="67.099999999999994"/>
    <x v="0"/>
    <x v="0"/>
  </r>
  <r>
    <s v="E202501019"/>
    <x v="1"/>
    <x v="0"/>
    <x v="1"/>
    <s v="Matematica"/>
    <n v="7.7"/>
    <n v="71.099999999999994"/>
    <x v="0"/>
    <x v="0"/>
  </r>
  <r>
    <s v="E202501052"/>
    <x v="1"/>
    <x v="0"/>
    <x v="1"/>
    <s v="Matematica"/>
    <n v="7.7"/>
    <n v="65"/>
    <x v="0"/>
    <x v="0"/>
  </r>
  <r>
    <s v="E202502002"/>
    <x v="1"/>
    <x v="0"/>
    <x v="0"/>
    <s v="Estatistica"/>
    <n v="7.7"/>
    <n v="56.1"/>
    <x v="0"/>
    <x v="0"/>
  </r>
  <r>
    <s v="E202502047"/>
    <x v="1"/>
    <x v="0"/>
    <x v="0"/>
    <s v="Contabilidade"/>
    <n v="7.7"/>
    <n v="45.1"/>
    <x v="0"/>
    <x v="1"/>
  </r>
  <r>
    <s v="E202502050"/>
    <x v="1"/>
    <x v="0"/>
    <x v="0"/>
    <s v="Contabilidade"/>
    <n v="7.7"/>
    <n v="51"/>
    <x v="0"/>
    <x v="0"/>
  </r>
  <r>
    <s v="E202503009"/>
    <x v="1"/>
    <x v="0"/>
    <x v="2"/>
    <s v="Programacao"/>
    <n v="7.7"/>
    <n v="72.3"/>
    <x v="0"/>
    <x v="0"/>
  </r>
  <r>
    <s v="E202503020"/>
    <x v="1"/>
    <x v="0"/>
    <x v="2"/>
    <s v="Programacao"/>
    <n v="7.7"/>
    <n v="45.4"/>
    <x v="0"/>
    <x v="1"/>
  </r>
  <r>
    <s v="E202501013"/>
    <x v="1"/>
    <x v="1"/>
    <x v="1"/>
    <s v="Sinais"/>
    <n v="7.7"/>
    <n v="73.5"/>
    <x v="0"/>
    <x v="0"/>
  </r>
  <r>
    <s v="E202501042"/>
    <x v="1"/>
    <x v="1"/>
    <x v="1"/>
    <s v="Redes"/>
    <n v="7.7"/>
    <n v="98.3"/>
    <x v="0"/>
    <x v="2"/>
  </r>
  <r>
    <s v="E202502050"/>
    <x v="1"/>
    <x v="1"/>
    <x v="0"/>
    <s v="Contabilidade"/>
    <n v="7.7"/>
    <n v="76.599999999999994"/>
    <x v="0"/>
    <x v="2"/>
  </r>
  <r>
    <s v="E202503007"/>
    <x v="1"/>
    <x v="1"/>
    <x v="2"/>
    <s v="Bases de Dados"/>
    <n v="7.7"/>
    <n v="77"/>
    <x v="0"/>
    <x v="2"/>
  </r>
  <r>
    <s v="E202503018"/>
    <x v="1"/>
    <x v="1"/>
    <x v="2"/>
    <s v="Bases de Dados"/>
    <n v="7.7"/>
    <n v="47.9"/>
    <x v="0"/>
    <x v="1"/>
  </r>
  <r>
    <s v="E202503021"/>
    <x v="1"/>
    <x v="1"/>
    <x v="2"/>
    <s v="Bases de Dados"/>
    <n v="7.7"/>
    <n v="45.9"/>
    <x v="0"/>
    <x v="1"/>
  </r>
  <r>
    <s v="E202503044"/>
    <x v="1"/>
    <x v="1"/>
    <x v="2"/>
    <s v="Bases de Dados"/>
    <n v="7.7"/>
    <n v="74.599999999999994"/>
    <x v="0"/>
    <x v="0"/>
  </r>
  <r>
    <s v="E202602046"/>
    <x v="2"/>
    <x v="0"/>
    <x v="0"/>
    <s v="Marketing"/>
    <n v="7.7"/>
    <n v="50.2"/>
    <x v="0"/>
    <x v="0"/>
  </r>
  <r>
    <s v="E202603017"/>
    <x v="2"/>
    <x v="0"/>
    <x v="2"/>
    <s v="Bases de Dados"/>
    <n v="7.7"/>
    <n v="48.1"/>
    <x v="0"/>
    <x v="1"/>
  </r>
  <r>
    <s v="E202603021"/>
    <x v="2"/>
    <x v="0"/>
    <x v="2"/>
    <s v="Redes"/>
    <n v="7.7"/>
    <n v="45.1"/>
    <x v="0"/>
    <x v="1"/>
  </r>
  <r>
    <s v="E202603024"/>
    <x v="2"/>
    <x v="0"/>
    <x v="2"/>
    <s v="Redes"/>
    <n v="7.7"/>
    <n v="83.5"/>
    <x v="0"/>
    <x v="2"/>
  </r>
  <r>
    <s v="E202601001"/>
    <x v="2"/>
    <x v="1"/>
    <x v="1"/>
    <s v="Redes"/>
    <n v="7.7"/>
    <n v="64"/>
    <x v="0"/>
    <x v="0"/>
  </r>
  <r>
    <s v="E202601008"/>
    <x v="2"/>
    <x v="1"/>
    <x v="1"/>
    <s v="Redes"/>
    <n v="7.7"/>
    <n v="62.8"/>
    <x v="0"/>
    <x v="0"/>
  </r>
  <r>
    <s v="E202602005"/>
    <x v="2"/>
    <x v="1"/>
    <x v="0"/>
    <s v="Estatistica"/>
    <n v="7.7"/>
    <n v="54"/>
    <x v="0"/>
    <x v="0"/>
  </r>
  <r>
    <s v="E202603034"/>
    <x v="2"/>
    <x v="1"/>
    <x v="2"/>
    <s v="Programacao"/>
    <n v="7.7"/>
    <n v="91.5"/>
    <x v="0"/>
    <x v="2"/>
  </r>
  <r>
    <s v="E202401006"/>
    <x v="0"/>
    <x v="0"/>
    <x v="1"/>
    <s v="Sinais"/>
    <n v="7.8"/>
    <n v="66.900000000000006"/>
    <x v="0"/>
    <x v="0"/>
  </r>
  <r>
    <s v="E202402032"/>
    <x v="0"/>
    <x v="0"/>
    <x v="0"/>
    <s v="Estatistica"/>
    <n v="7.8"/>
    <n v="45.1"/>
    <x v="0"/>
    <x v="1"/>
  </r>
  <r>
    <s v="E202403025"/>
    <x v="0"/>
    <x v="0"/>
    <x v="2"/>
    <s v="Bases de Dados"/>
    <n v="7.8"/>
    <n v="67.900000000000006"/>
    <x v="0"/>
    <x v="0"/>
  </r>
  <r>
    <s v="E202401043"/>
    <x v="0"/>
    <x v="1"/>
    <x v="1"/>
    <s v="Redes"/>
    <n v="7.8"/>
    <n v="88.2"/>
    <x v="0"/>
    <x v="2"/>
  </r>
  <r>
    <s v="E202402028"/>
    <x v="0"/>
    <x v="1"/>
    <x v="0"/>
    <s v="Contabilidade"/>
    <n v="7.8"/>
    <n v="55.9"/>
    <x v="0"/>
    <x v="0"/>
  </r>
  <r>
    <s v="E202402031"/>
    <x v="0"/>
    <x v="1"/>
    <x v="0"/>
    <s v="Estatistica"/>
    <n v="7.8"/>
    <n v="52.7"/>
    <x v="0"/>
    <x v="0"/>
  </r>
  <r>
    <s v="E202402052"/>
    <x v="0"/>
    <x v="1"/>
    <x v="0"/>
    <s v="Contabilidade"/>
    <n v="7.8"/>
    <n v="89.3"/>
    <x v="0"/>
    <x v="2"/>
  </r>
  <r>
    <s v="E202501031"/>
    <x v="1"/>
    <x v="0"/>
    <x v="1"/>
    <s v="Redes"/>
    <n v="7.8"/>
    <n v="64.599999999999994"/>
    <x v="0"/>
    <x v="0"/>
  </r>
  <r>
    <s v="E202503005"/>
    <x v="1"/>
    <x v="0"/>
    <x v="2"/>
    <s v="Programacao"/>
    <n v="7.8"/>
    <n v="69"/>
    <x v="0"/>
    <x v="0"/>
  </r>
  <r>
    <s v="E202503023"/>
    <x v="1"/>
    <x v="0"/>
    <x v="2"/>
    <s v="Bases de Dados"/>
    <n v="7.8"/>
    <n v="99.2"/>
    <x v="0"/>
    <x v="2"/>
  </r>
  <r>
    <s v="E202503044"/>
    <x v="1"/>
    <x v="0"/>
    <x v="2"/>
    <s v="Redes"/>
    <n v="7.8"/>
    <n v="55.2"/>
    <x v="0"/>
    <x v="0"/>
  </r>
  <r>
    <s v="E202501033"/>
    <x v="1"/>
    <x v="1"/>
    <x v="1"/>
    <s v="Matematica"/>
    <n v="7.8"/>
    <n v="56.2"/>
    <x v="0"/>
    <x v="0"/>
  </r>
  <r>
    <s v="E202501053"/>
    <x v="1"/>
    <x v="1"/>
    <x v="1"/>
    <s v="Sinais"/>
    <n v="7.8"/>
    <n v="70"/>
    <x v="0"/>
    <x v="0"/>
  </r>
  <r>
    <s v="E202502051"/>
    <x v="1"/>
    <x v="1"/>
    <x v="0"/>
    <s v="Contabilidade"/>
    <n v="7.8"/>
    <n v="51.7"/>
    <x v="0"/>
    <x v="0"/>
  </r>
  <r>
    <s v="E202502051"/>
    <x v="1"/>
    <x v="1"/>
    <x v="0"/>
    <s v="Estatistica"/>
    <n v="7.8"/>
    <n v="81.3"/>
    <x v="0"/>
    <x v="2"/>
  </r>
  <r>
    <s v="E202503018"/>
    <x v="1"/>
    <x v="1"/>
    <x v="2"/>
    <s v="Programacao"/>
    <n v="7.8"/>
    <n v="57"/>
    <x v="0"/>
    <x v="0"/>
  </r>
  <r>
    <s v="E202503042"/>
    <x v="1"/>
    <x v="1"/>
    <x v="2"/>
    <s v="Bases de Dados"/>
    <n v="7.8"/>
    <n v="74.3"/>
    <x v="0"/>
    <x v="0"/>
  </r>
  <r>
    <s v="E202601009"/>
    <x v="2"/>
    <x v="0"/>
    <x v="1"/>
    <s v="Redes"/>
    <n v="7.8"/>
    <n v="68.7"/>
    <x v="0"/>
    <x v="0"/>
  </r>
  <r>
    <s v="E202601030"/>
    <x v="2"/>
    <x v="0"/>
    <x v="1"/>
    <s v="Matematica"/>
    <n v="7.8"/>
    <n v="58.1"/>
    <x v="0"/>
    <x v="0"/>
  </r>
  <r>
    <s v="E202602015"/>
    <x v="2"/>
    <x v="0"/>
    <x v="0"/>
    <s v="Estatistica"/>
    <n v="7.8"/>
    <n v="59.7"/>
    <x v="0"/>
    <x v="0"/>
  </r>
  <r>
    <s v="E202603035"/>
    <x v="2"/>
    <x v="0"/>
    <x v="2"/>
    <s v="Bases de Dados"/>
    <n v="7.8"/>
    <n v="74.2"/>
    <x v="0"/>
    <x v="0"/>
  </r>
  <r>
    <s v="E202401009"/>
    <x v="0"/>
    <x v="0"/>
    <x v="1"/>
    <s v="Matematica"/>
    <n v="7.9"/>
    <n v="62.7"/>
    <x v="0"/>
    <x v="0"/>
  </r>
  <r>
    <s v="E202401035"/>
    <x v="0"/>
    <x v="0"/>
    <x v="1"/>
    <s v="Redes"/>
    <n v="7.9"/>
    <n v="62.5"/>
    <x v="0"/>
    <x v="0"/>
  </r>
  <r>
    <s v="E202401037"/>
    <x v="0"/>
    <x v="0"/>
    <x v="1"/>
    <s v="Sinais"/>
    <n v="7.9"/>
    <n v="52.9"/>
    <x v="0"/>
    <x v="0"/>
  </r>
  <r>
    <s v="E202401060"/>
    <x v="0"/>
    <x v="0"/>
    <x v="1"/>
    <s v="Redes"/>
    <n v="7.9"/>
    <n v="58"/>
    <x v="0"/>
    <x v="0"/>
  </r>
  <r>
    <s v="E202401060"/>
    <x v="0"/>
    <x v="0"/>
    <x v="1"/>
    <s v="Matematica"/>
    <n v="7.9"/>
    <n v="45"/>
    <x v="0"/>
    <x v="1"/>
  </r>
  <r>
    <s v="E202403028"/>
    <x v="0"/>
    <x v="0"/>
    <x v="2"/>
    <s v="Programacao"/>
    <n v="7.9"/>
    <n v="64.2"/>
    <x v="0"/>
    <x v="0"/>
  </r>
  <r>
    <s v="E202403030"/>
    <x v="0"/>
    <x v="0"/>
    <x v="2"/>
    <s v="Bases de Dados"/>
    <n v="7.9"/>
    <n v="84.3"/>
    <x v="0"/>
    <x v="2"/>
  </r>
  <r>
    <s v="E202402011"/>
    <x v="0"/>
    <x v="1"/>
    <x v="0"/>
    <s v="Estatistica"/>
    <n v="7.9"/>
    <n v="62.6"/>
    <x v="0"/>
    <x v="0"/>
  </r>
  <r>
    <s v="E202402020"/>
    <x v="0"/>
    <x v="1"/>
    <x v="0"/>
    <s v="Estatistica"/>
    <n v="7.9"/>
    <n v="45.9"/>
    <x v="0"/>
    <x v="1"/>
  </r>
  <r>
    <s v="E202402034"/>
    <x v="0"/>
    <x v="1"/>
    <x v="0"/>
    <s v="Estatistica"/>
    <n v="7.9"/>
    <n v="47"/>
    <x v="0"/>
    <x v="1"/>
  </r>
  <r>
    <s v="E202402047"/>
    <x v="0"/>
    <x v="1"/>
    <x v="0"/>
    <s v="Marketing"/>
    <n v="7.9"/>
    <n v="52.9"/>
    <x v="0"/>
    <x v="0"/>
  </r>
  <r>
    <s v="E202402050"/>
    <x v="0"/>
    <x v="1"/>
    <x v="0"/>
    <s v="Marketing"/>
    <n v="7.9"/>
    <n v="56.9"/>
    <x v="0"/>
    <x v="0"/>
  </r>
  <r>
    <s v="E202402054"/>
    <x v="0"/>
    <x v="1"/>
    <x v="0"/>
    <s v="Contabilidade"/>
    <n v="7.9"/>
    <n v="53.3"/>
    <x v="0"/>
    <x v="0"/>
  </r>
  <r>
    <s v="E202403014"/>
    <x v="0"/>
    <x v="1"/>
    <x v="2"/>
    <s v="Redes"/>
    <n v="7.9"/>
    <n v="57.2"/>
    <x v="0"/>
    <x v="0"/>
  </r>
  <r>
    <s v="E202403060"/>
    <x v="0"/>
    <x v="1"/>
    <x v="2"/>
    <s v="Redes"/>
    <n v="7.9"/>
    <n v="48"/>
    <x v="0"/>
    <x v="1"/>
  </r>
  <r>
    <s v="E202501025"/>
    <x v="1"/>
    <x v="0"/>
    <x v="1"/>
    <s v="Sinais"/>
    <n v="7.9"/>
    <n v="57.3"/>
    <x v="0"/>
    <x v="0"/>
  </r>
  <r>
    <s v="E202501029"/>
    <x v="1"/>
    <x v="0"/>
    <x v="1"/>
    <s v="Redes"/>
    <n v="7.9"/>
    <n v="79.8"/>
    <x v="0"/>
    <x v="2"/>
  </r>
  <r>
    <s v="E202502017"/>
    <x v="1"/>
    <x v="0"/>
    <x v="0"/>
    <s v="Contabilidade"/>
    <n v="7.9"/>
    <n v="78.099999999999994"/>
    <x v="0"/>
    <x v="2"/>
  </r>
  <r>
    <s v="E202502017"/>
    <x v="1"/>
    <x v="0"/>
    <x v="0"/>
    <s v="Marketing"/>
    <n v="7.9"/>
    <n v="52.6"/>
    <x v="0"/>
    <x v="0"/>
  </r>
  <r>
    <s v="E202503016"/>
    <x v="1"/>
    <x v="0"/>
    <x v="2"/>
    <s v="Programacao"/>
    <n v="7.9"/>
    <n v="47.2"/>
    <x v="0"/>
    <x v="1"/>
  </r>
  <r>
    <s v="E202502022"/>
    <x v="1"/>
    <x v="1"/>
    <x v="0"/>
    <s v="Estatistica"/>
    <n v="7.9"/>
    <n v="57.1"/>
    <x v="0"/>
    <x v="0"/>
  </r>
  <r>
    <s v="E202502035"/>
    <x v="1"/>
    <x v="1"/>
    <x v="0"/>
    <s v="Contabilidade"/>
    <n v="7.9"/>
    <n v="79.900000000000006"/>
    <x v="0"/>
    <x v="2"/>
  </r>
  <r>
    <s v="E202503031"/>
    <x v="1"/>
    <x v="1"/>
    <x v="2"/>
    <s v="Redes"/>
    <n v="7.9"/>
    <n v="52.6"/>
    <x v="0"/>
    <x v="0"/>
  </r>
  <r>
    <s v="E202601013"/>
    <x v="2"/>
    <x v="0"/>
    <x v="1"/>
    <s v="Sinais"/>
    <n v="7.9"/>
    <n v="80.400000000000006"/>
    <x v="0"/>
    <x v="2"/>
  </r>
  <r>
    <s v="E202601004"/>
    <x v="2"/>
    <x v="1"/>
    <x v="1"/>
    <s v="Redes"/>
    <n v="7.9"/>
    <n v="58.6"/>
    <x v="0"/>
    <x v="0"/>
  </r>
  <r>
    <s v="E202601008"/>
    <x v="2"/>
    <x v="1"/>
    <x v="1"/>
    <s v="Sinais"/>
    <n v="7.9"/>
    <n v="80.400000000000006"/>
    <x v="0"/>
    <x v="2"/>
  </r>
  <r>
    <s v="E202602013"/>
    <x v="2"/>
    <x v="1"/>
    <x v="0"/>
    <s v="Contabilidade"/>
    <n v="7.9"/>
    <n v="50.6"/>
    <x v="0"/>
    <x v="0"/>
  </r>
  <r>
    <s v="E202603017"/>
    <x v="2"/>
    <x v="1"/>
    <x v="2"/>
    <s v="Programacao"/>
    <n v="7.9"/>
    <n v="97.7"/>
    <x v="0"/>
    <x v="2"/>
  </r>
  <r>
    <s v="E202603031"/>
    <x v="2"/>
    <x v="1"/>
    <x v="2"/>
    <s v="Bases de Dados"/>
    <n v="7.9"/>
    <n v="69.400000000000006"/>
    <x v="0"/>
    <x v="0"/>
  </r>
  <r>
    <s v="E202603053"/>
    <x v="2"/>
    <x v="1"/>
    <x v="2"/>
    <s v="Bases de Dados"/>
    <n v="7.9"/>
    <n v="51.3"/>
    <x v="0"/>
    <x v="0"/>
  </r>
  <r>
    <s v="E202401036"/>
    <x v="0"/>
    <x v="0"/>
    <x v="1"/>
    <s v="Redes"/>
    <n v="8"/>
    <n v="84.5"/>
    <x v="0"/>
    <x v="2"/>
  </r>
  <r>
    <s v="E202402008"/>
    <x v="0"/>
    <x v="0"/>
    <x v="0"/>
    <s v="Marketing"/>
    <n v="8"/>
    <n v="70.599999999999994"/>
    <x v="0"/>
    <x v="0"/>
  </r>
  <r>
    <s v="E202402017"/>
    <x v="0"/>
    <x v="0"/>
    <x v="0"/>
    <s v="Estatistica"/>
    <n v="8"/>
    <n v="48.3"/>
    <x v="0"/>
    <x v="1"/>
  </r>
  <r>
    <s v="E202402060"/>
    <x v="0"/>
    <x v="0"/>
    <x v="0"/>
    <s v="Contabilidade"/>
    <n v="8"/>
    <n v="80.099999999999994"/>
    <x v="0"/>
    <x v="2"/>
  </r>
  <r>
    <s v="E202403015"/>
    <x v="0"/>
    <x v="0"/>
    <x v="2"/>
    <s v="Redes"/>
    <n v="8"/>
    <n v="80"/>
    <x v="0"/>
    <x v="2"/>
  </r>
  <r>
    <s v="E202403020"/>
    <x v="0"/>
    <x v="0"/>
    <x v="2"/>
    <s v="Bases de Dados"/>
    <n v="8"/>
    <n v="58.2"/>
    <x v="0"/>
    <x v="0"/>
  </r>
  <r>
    <s v="E202402010"/>
    <x v="0"/>
    <x v="1"/>
    <x v="0"/>
    <s v="Contabilidade"/>
    <n v="8"/>
    <n v="50.9"/>
    <x v="0"/>
    <x v="0"/>
  </r>
  <r>
    <s v="E202402015"/>
    <x v="0"/>
    <x v="1"/>
    <x v="0"/>
    <s v="Estatistica"/>
    <n v="8"/>
    <n v="71.7"/>
    <x v="0"/>
    <x v="0"/>
  </r>
  <r>
    <s v="E202402033"/>
    <x v="0"/>
    <x v="1"/>
    <x v="0"/>
    <s v="Marketing"/>
    <n v="8"/>
    <n v="50.4"/>
    <x v="0"/>
    <x v="0"/>
  </r>
  <r>
    <s v="E202402046"/>
    <x v="0"/>
    <x v="1"/>
    <x v="0"/>
    <s v="Marketing"/>
    <n v="8"/>
    <n v="45.8"/>
    <x v="0"/>
    <x v="1"/>
  </r>
  <r>
    <s v="E202403059"/>
    <x v="0"/>
    <x v="1"/>
    <x v="2"/>
    <s v="Bases de Dados"/>
    <n v="8"/>
    <n v="56"/>
    <x v="0"/>
    <x v="0"/>
  </r>
  <r>
    <s v="E202501040"/>
    <x v="1"/>
    <x v="0"/>
    <x v="1"/>
    <s v="Matematica"/>
    <n v="8"/>
    <n v="86.3"/>
    <x v="0"/>
    <x v="2"/>
  </r>
  <r>
    <s v="E202501040"/>
    <x v="1"/>
    <x v="0"/>
    <x v="1"/>
    <s v="Sinais"/>
    <n v="8"/>
    <n v="51.1"/>
    <x v="0"/>
    <x v="0"/>
  </r>
  <r>
    <s v="E202502022"/>
    <x v="1"/>
    <x v="0"/>
    <x v="0"/>
    <s v="Estatistica"/>
    <n v="8"/>
    <n v="50.4"/>
    <x v="0"/>
    <x v="0"/>
  </r>
  <r>
    <s v="E202502031"/>
    <x v="1"/>
    <x v="0"/>
    <x v="0"/>
    <s v="Estatistica"/>
    <n v="8"/>
    <n v="92.5"/>
    <x v="0"/>
    <x v="2"/>
  </r>
  <r>
    <s v="E202502059"/>
    <x v="1"/>
    <x v="0"/>
    <x v="0"/>
    <s v="Contabilidade"/>
    <n v="8"/>
    <n v="52.9"/>
    <x v="0"/>
    <x v="0"/>
  </r>
  <r>
    <s v="E202503028"/>
    <x v="1"/>
    <x v="0"/>
    <x v="2"/>
    <s v="Programacao"/>
    <n v="8"/>
    <n v="55.3"/>
    <x v="0"/>
    <x v="0"/>
  </r>
  <r>
    <s v="E202501026"/>
    <x v="1"/>
    <x v="1"/>
    <x v="1"/>
    <s v="Matematica"/>
    <n v="8"/>
    <n v="62.7"/>
    <x v="0"/>
    <x v="0"/>
  </r>
  <r>
    <s v="E202501031"/>
    <x v="1"/>
    <x v="1"/>
    <x v="1"/>
    <s v="Sinais"/>
    <n v="8"/>
    <n v="52.7"/>
    <x v="0"/>
    <x v="0"/>
  </r>
  <r>
    <s v="E202501036"/>
    <x v="1"/>
    <x v="1"/>
    <x v="1"/>
    <s v="Matematica"/>
    <n v="8"/>
    <n v="58.5"/>
    <x v="0"/>
    <x v="0"/>
  </r>
  <r>
    <s v="E202502011"/>
    <x v="1"/>
    <x v="1"/>
    <x v="0"/>
    <s v="Contabilidade"/>
    <n v="8"/>
    <n v="47.8"/>
    <x v="0"/>
    <x v="1"/>
  </r>
  <r>
    <s v="E202502053"/>
    <x v="1"/>
    <x v="1"/>
    <x v="0"/>
    <s v="Marketing"/>
    <n v="8"/>
    <n v="68.2"/>
    <x v="0"/>
    <x v="0"/>
  </r>
  <r>
    <s v="E202601047"/>
    <x v="2"/>
    <x v="0"/>
    <x v="1"/>
    <s v="Matematica"/>
    <n v="8"/>
    <n v="53.7"/>
    <x v="0"/>
    <x v="0"/>
  </r>
  <r>
    <s v="E202601060"/>
    <x v="2"/>
    <x v="0"/>
    <x v="1"/>
    <s v="Matematica"/>
    <n v="8"/>
    <n v="57.7"/>
    <x v="0"/>
    <x v="0"/>
  </r>
  <r>
    <s v="E202602032"/>
    <x v="2"/>
    <x v="0"/>
    <x v="0"/>
    <s v="Contabilidade"/>
    <n v="8"/>
    <n v="70.900000000000006"/>
    <x v="0"/>
    <x v="0"/>
  </r>
  <r>
    <s v="E202603002"/>
    <x v="2"/>
    <x v="0"/>
    <x v="2"/>
    <s v="Programacao"/>
    <n v="8"/>
    <n v="47.5"/>
    <x v="0"/>
    <x v="1"/>
  </r>
  <r>
    <s v="E202603005"/>
    <x v="2"/>
    <x v="0"/>
    <x v="2"/>
    <s v="Programacao"/>
    <n v="8"/>
    <n v="82.5"/>
    <x v="0"/>
    <x v="2"/>
  </r>
  <r>
    <s v="E202603022"/>
    <x v="2"/>
    <x v="0"/>
    <x v="2"/>
    <s v="Redes"/>
    <n v="8"/>
    <n v="93.6"/>
    <x v="0"/>
    <x v="2"/>
  </r>
  <r>
    <s v="E202601019"/>
    <x v="2"/>
    <x v="1"/>
    <x v="1"/>
    <s v="Sinais"/>
    <n v="8"/>
    <n v="54.9"/>
    <x v="0"/>
    <x v="0"/>
  </r>
  <r>
    <s v="E202601040"/>
    <x v="2"/>
    <x v="1"/>
    <x v="1"/>
    <s v="Matematica"/>
    <n v="8"/>
    <n v="59.5"/>
    <x v="0"/>
    <x v="0"/>
  </r>
  <r>
    <s v="E202602043"/>
    <x v="2"/>
    <x v="1"/>
    <x v="0"/>
    <s v="Marketing"/>
    <n v="8"/>
    <n v="76"/>
    <x v="0"/>
    <x v="2"/>
  </r>
  <r>
    <s v="E202603005"/>
    <x v="2"/>
    <x v="1"/>
    <x v="2"/>
    <s v="Bases de Dados"/>
    <n v="8"/>
    <n v="62.1"/>
    <x v="0"/>
    <x v="0"/>
  </r>
  <r>
    <s v="E202603023"/>
    <x v="2"/>
    <x v="1"/>
    <x v="2"/>
    <s v="Redes"/>
    <n v="8"/>
    <n v="66.5"/>
    <x v="0"/>
    <x v="0"/>
  </r>
  <r>
    <s v="E202401023"/>
    <x v="0"/>
    <x v="0"/>
    <x v="1"/>
    <s v="Matematica"/>
    <n v="8.1"/>
    <n v="70.5"/>
    <x v="0"/>
    <x v="0"/>
  </r>
  <r>
    <s v="E202401024"/>
    <x v="0"/>
    <x v="0"/>
    <x v="1"/>
    <s v="Sinais"/>
    <n v="8.1"/>
    <n v="84.5"/>
    <x v="0"/>
    <x v="2"/>
  </r>
  <r>
    <s v="E202401027"/>
    <x v="0"/>
    <x v="0"/>
    <x v="1"/>
    <s v="Matematica"/>
    <n v="8.1"/>
    <n v="86.9"/>
    <x v="0"/>
    <x v="2"/>
  </r>
  <r>
    <s v="E202401056"/>
    <x v="0"/>
    <x v="0"/>
    <x v="1"/>
    <s v="Redes"/>
    <n v="8.1"/>
    <n v="66"/>
    <x v="0"/>
    <x v="0"/>
  </r>
  <r>
    <s v="E202402048"/>
    <x v="0"/>
    <x v="0"/>
    <x v="0"/>
    <s v="Contabilidade"/>
    <n v="8.1"/>
    <n v="95.6"/>
    <x v="0"/>
    <x v="2"/>
  </r>
  <r>
    <s v="E202402060"/>
    <x v="0"/>
    <x v="0"/>
    <x v="0"/>
    <s v="Estatistica"/>
    <n v="8.1"/>
    <n v="55.9"/>
    <x v="0"/>
    <x v="0"/>
  </r>
  <r>
    <s v="E202403040"/>
    <x v="0"/>
    <x v="0"/>
    <x v="2"/>
    <s v="Programacao"/>
    <n v="8.1"/>
    <n v="85.3"/>
    <x v="0"/>
    <x v="2"/>
  </r>
  <r>
    <s v="E202401025"/>
    <x v="0"/>
    <x v="1"/>
    <x v="1"/>
    <s v="Sinais"/>
    <n v="8.1"/>
    <n v="62"/>
    <x v="0"/>
    <x v="0"/>
  </r>
  <r>
    <s v="E202401044"/>
    <x v="0"/>
    <x v="1"/>
    <x v="1"/>
    <s v="Sinais"/>
    <n v="8.1"/>
    <n v="82"/>
    <x v="0"/>
    <x v="2"/>
  </r>
  <r>
    <s v="E202402040"/>
    <x v="0"/>
    <x v="1"/>
    <x v="0"/>
    <s v="Estatistica"/>
    <n v="8.1"/>
    <n v="94.7"/>
    <x v="0"/>
    <x v="2"/>
  </r>
  <r>
    <s v="E202403036"/>
    <x v="0"/>
    <x v="1"/>
    <x v="2"/>
    <s v="Programacao"/>
    <n v="8.1"/>
    <n v="64.7"/>
    <x v="0"/>
    <x v="0"/>
  </r>
  <r>
    <s v="E202403050"/>
    <x v="0"/>
    <x v="1"/>
    <x v="2"/>
    <s v="Programacao"/>
    <n v="8.1"/>
    <n v="76.099999999999994"/>
    <x v="0"/>
    <x v="2"/>
  </r>
  <r>
    <s v="E202502032"/>
    <x v="1"/>
    <x v="0"/>
    <x v="0"/>
    <s v="Estatistica"/>
    <n v="8.1"/>
    <n v="71"/>
    <x v="0"/>
    <x v="0"/>
  </r>
  <r>
    <s v="E202503016"/>
    <x v="1"/>
    <x v="0"/>
    <x v="2"/>
    <s v="Redes"/>
    <n v="8.1"/>
    <n v="67"/>
    <x v="0"/>
    <x v="0"/>
  </r>
  <r>
    <s v="E202501018"/>
    <x v="1"/>
    <x v="1"/>
    <x v="1"/>
    <s v="Matematica"/>
    <n v="8.1"/>
    <n v="64"/>
    <x v="0"/>
    <x v="0"/>
  </r>
  <r>
    <s v="E202501037"/>
    <x v="1"/>
    <x v="1"/>
    <x v="1"/>
    <s v="Matematica"/>
    <n v="8.1"/>
    <n v="53.1"/>
    <x v="0"/>
    <x v="0"/>
  </r>
  <r>
    <s v="E202502041"/>
    <x v="1"/>
    <x v="1"/>
    <x v="0"/>
    <s v="Marketing"/>
    <n v="8.1"/>
    <n v="69.8"/>
    <x v="0"/>
    <x v="0"/>
  </r>
  <r>
    <s v="E202502048"/>
    <x v="1"/>
    <x v="1"/>
    <x v="0"/>
    <s v="Marketing"/>
    <n v="8.1"/>
    <n v="57.1"/>
    <x v="0"/>
    <x v="0"/>
  </r>
  <r>
    <s v="E202602002"/>
    <x v="2"/>
    <x v="0"/>
    <x v="0"/>
    <s v="Estatistica"/>
    <n v="8.1"/>
    <n v="77.5"/>
    <x v="0"/>
    <x v="2"/>
  </r>
  <r>
    <s v="E202602024"/>
    <x v="2"/>
    <x v="0"/>
    <x v="0"/>
    <s v="Marketing"/>
    <n v="8.1"/>
    <n v="46.8"/>
    <x v="0"/>
    <x v="1"/>
  </r>
  <r>
    <s v="E202602039"/>
    <x v="2"/>
    <x v="0"/>
    <x v="0"/>
    <s v="Estatistica"/>
    <n v="8.1"/>
    <n v="72.599999999999994"/>
    <x v="0"/>
    <x v="0"/>
  </r>
  <r>
    <s v="E202602048"/>
    <x v="2"/>
    <x v="0"/>
    <x v="0"/>
    <s v="Marketing"/>
    <n v="8.1"/>
    <n v="50.3"/>
    <x v="0"/>
    <x v="0"/>
  </r>
  <r>
    <s v="E202602052"/>
    <x v="2"/>
    <x v="0"/>
    <x v="0"/>
    <s v="Contabilidade"/>
    <n v="8.1"/>
    <n v="45.1"/>
    <x v="0"/>
    <x v="1"/>
  </r>
  <r>
    <s v="E202602060"/>
    <x v="2"/>
    <x v="0"/>
    <x v="0"/>
    <s v="Marketing"/>
    <n v="8.1"/>
    <n v="98.2"/>
    <x v="0"/>
    <x v="2"/>
  </r>
  <r>
    <s v="E202603040"/>
    <x v="2"/>
    <x v="0"/>
    <x v="2"/>
    <s v="Redes"/>
    <n v="8.1"/>
    <n v="61.6"/>
    <x v="0"/>
    <x v="0"/>
  </r>
  <r>
    <s v="E202601003"/>
    <x v="2"/>
    <x v="1"/>
    <x v="1"/>
    <s v="Redes"/>
    <n v="8.1"/>
    <n v="63.7"/>
    <x v="0"/>
    <x v="0"/>
  </r>
  <r>
    <s v="E202601055"/>
    <x v="2"/>
    <x v="1"/>
    <x v="1"/>
    <s v="Matematica"/>
    <n v="8.1"/>
    <n v="57.2"/>
    <x v="0"/>
    <x v="0"/>
  </r>
  <r>
    <s v="E202602010"/>
    <x v="2"/>
    <x v="1"/>
    <x v="0"/>
    <s v="Estatistica"/>
    <n v="8.1"/>
    <n v="90"/>
    <x v="0"/>
    <x v="2"/>
  </r>
  <r>
    <s v="E202602024"/>
    <x v="2"/>
    <x v="1"/>
    <x v="0"/>
    <s v="Marketing"/>
    <n v="8.1"/>
    <n v="70.900000000000006"/>
    <x v="0"/>
    <x v="0"/>
  </r>
  <r>
    <s v="E202602056"/>
    <x v="2"/>
    <x v="1"/>
    <x v="0"/>
    <s v="Marketing"/>
    <n v="8.1"/>
    <n v="80.400000000000006"/>
    <x v="0"/>
    <x v="2"/>
  </r>
  <r>
    <s v="E202603057"/>
    <x v="2"/>
    <x v="1"/>
    <x v="2"/>
    <s v="Bases de Dados"/>
    <n v="8.1"/>
    <n v="51"/>
    <x v="0"/>
    <x v="0"/>
  </r>
  <r>
    <s v="E202603058"/>
    <x v="2"/>
    <x v="1"/>
    <x v="2"/>
    <s v="Bases de Dados"/>
    <n v="8.1"/>
    <n v="57.8"/>
    <x v="0"/>
    <x v="0"/>
  </r>
  <r>
    <s v="E202402003"/>
    <x v="0"/>
    <x v="0"/>
    <x v="0"/>
    <s v="Contabilidade"/>
    <n v="8.1999999999999993"/>
    <n v="66"/>
    <x v="0"/>
    <x v="0"/>
  </r>
  <r>
    <s v="E202402025"/>
    <x v="0"/>
    <x v="0"/>
    <x v="0"/>
    <s v="Marketing"/>
    <n v="8.1999999999999993"/>
    <n v="49"/>
    <x v="0"/>
    <x v="1"/>
  </r>
  <r>
    <s v="E202402056"/>
    <x v="0"/>
    <x v="0"/>
    <x v="0"/>
    <s v="Contabilidade"/>
    <n v="8.1999999999999993"/>
    <n v="61.5"/>
    <x v="0"/>
    <x v="0"/>
  </r>
  <r>
    <s v="E202403010"/>
    <x v="0"/>
    <x v="0"/>
    <x v="2"/>
    <s v="Programacao"/>
    <n v="8.1999999999999993"/>
    <n v="47.5"/>
    <x v="0"/>
    <x v="1"/>
  </r>
  <r>
    <s v="E202401006"/>
    <x v="0"/>
    <x v="1"/>
    <x v="1"/>
    <s v="Redes"/>
    <n v="8.1999999999999993"/>
    <n v="59.1"/>
    <x v="0"/>
    <x v="0"/>
  </r>
  <r>
    <s v="E202401060"/>
    <x v="0"/>
    <x v="1"/>
    <x v="1"/>
    <s v="Matematica"/>
    <n v="8.1999999999999993"/>
    <n v="82.1"/>
    <x v="0"/>
    <x v="2"/>
  </r>
  <r>
    <s v="E202403011"/>
    <x v="0"/>
    <x v="1"/>
    <x v="2"/>
    <s v="Programacao"/>
    <n v="8.1999999999999993"/>
    <n v="66"/>
    <x v="0"/>
    <x v="0"/>
  </r>
  <r>
    <s v="E202403011"/>
    <x v="0"/>
    <x v="1"/>
    <x v="2"/>
    <s v="Redes"/>
    <n v="8.1999999999999993"/>
    <n v="91.3"/>
    <x v="0"/>
    <x v="2"/>
  </r>
  <r>
    <s v="E202501005"/>
    <x v="1"/>
    <x v="0"/>
    <x v="1"/>
    <s v="Redes"/>
    <n v="8.1999999999999993"/>
    <n v="56.3"/>
    <x v="0"/>
    <x v="0"/>
  </r>
  <r>
    <s v="E202502039"/>
    <x v="1"/>
    <x v="0"/>
    <x v="0"/>
    <s v="Estatistica"/>
    <n v="8.1999999999999993"/>
    <n v="83.8"/>
    <x v="0"/>
    <x v="2"/>
  </r>
  <r>
    <s v="E202503018"/>
    <x v="1"/>
    <x v="0"/>
    <x v="2"/>
    <s v="Programacao"/>
    <n v="8.1999999999999993"/>
    <n v="45.8"/>
    <x v="0"/>
    <x v="1"/>
  </r>
  <r>
    <s v="E202503025"/>
    <x v="1"/>
    <x v="0"/>
    <x v="2"/>
    <s v="Programacao"/>
    <n v="8.1999999999999993"/>
    <n v="88.1"/>
    <x v="0"/>
    <x v="2"/>
  </r>
  <r>
    <s v="E202503043"/>
    <x v="1"/>
    <x v="0"/>
    <x v="2"/>
    <s v="Bases de Dados"/>
    <n v="8.1999999999999993"/>
    <n v="65"/>
    <x v="0"/>
    <x v="0"/>
  </r>
  <r>
    <s v="E202503002"/>
    <x v="1"/>
    <x v="1"/>
    <x v="2"/>
    <s v="Programacao"/>
    <n v="8.1999999999999993"/>
    <n v="74.7"/>
    <x v="0"/>
    <x v="0"/>
  </r>
  <r>
    <s v="E202503024"/>
    <x v="1"/>
    <x v="1"/>
    <x v="2"/>
    <s v="Redes"/>
    <n v="8.1999999999999993"/>
    <n v="59.4"/>
    <x v="0"/>
    <x v="0"/>
  </r>
  <r>
    <s v="E202601043"/>
    <x v="2"/>
    <x v="0"/>
    <x v="1"/>
    <s v="Matematica"/>
    <n v="8.1999999999999993"/>
    <n v="51.7"/>
    <x v="0"/>
    <x v="0"/>
  </r>
  <r>
    <s v="E202602006"/>
    <x v="2"/>
    <x v="0"/>
    <x v="0"/>
    <s v="Marketing"/>
    <n v="8.1999999999999993"/>
    <n v="57.8"/>
    <x v="0"/>
    <x v="0"/>
  </r>
  <r>
    <s v="E202602025"/>
    <x v="2"/>
    <x v="0"/>
    <x v="0"/>
    <s v="Contabilidade"/>
    <n v="8.1999999999999993"/>
    <n v="74.3"/>
    <x v="0"/>
    <x v="0"/>
  </r>
  <r>
    <s v="E202602039"/>
    <x v="2"/>
    <x v="0"/>
    <x v="0"/>
    <s v="Marketing"/>
    <n v="8.1999999999999993"/>
    <n v="85.6"/>
    <x v="0"/>
    <x v="2"/>
  </r>
  <r>
    <s v="E202602049"/>
    <x v="2"/>
    <x v="0"/>
    <x v="0"/>
    <s v="Estatistica"/>
    <n v="8.1999999999999993"/>
    <n v="94.6"/>
    <x v="0"/>
    <x v="2"/>
  </r>
  <r>
    <s v="E202603038"/>
    <x v="2"/>
    <x v="0"/>
    <x v="2"/>
    <s v="Redes"/>
    <n v="8.1999999999999993"/>
    <n v="60"/>
    <x v="0"/>
    <x v="0"/>
  </r>
  <r>
    <s v="E202601017"/>
    <x v="2"/>
    <x v="1"/>
    <x v="1"/>
    <s v="Matematica"/>
    <n v="8.1999999999999993"/>
    <n v="49.8"/>
    <x v="0"/>
    <x v="1"/>
  </r>
  <r>
    <s v="E202602017"/>
    <x v="2"/>
    <x v="1"/>
    <x v="0"/>
    <s v="Contabilidade"/>
    <n v="8.1999999999999993"/>
    <n v="97"/>
    <x v="0"/>
    <x v="2"/>
  </r>
  <r>
    <s v="E202602025"/>
    <x v="2"/>
    <x v="1"/>
    <x v="0"/>
    <s v="Contabilidade"/>
    <n v="8.1999999999999993"/>
    <n v="50.9"/>
    <x v="0"/>
    <x v="0"/>
  </r>
  <r>
    <s v="E202602047"/>
    <x v="2"/>
    <x v="1"/>
    <x v="0"/>
    <s v="Contabilidade"/>
    <n v="8.1999999999999993"/>
    <n v="51.1"/>
    <x v="0"/>
    <x v="0"/>
  </r>
  <r>
    <s v="E202401031"/>
    <x v="0"/>
    <x v="0"/>
    <x v="1"/>
    <s v="Redes"/>
    <n v="8.3000000000000007"/>
    <n v="65.099999999999994"/>
    <x v="0"/>
    <x v="0"/>
  </r>
  <r>
    <s v="E202402043"/>
    <x v="0"/>
    <x v="0"/>
    <x v="0"/>
    <s v="Marketing"/>
    <n v="8.3000000000000007"/>
    <n v="62.5"/>
    <x v="0"/>
    <x v="0"/>
  </r>
  <r>
    <s v="E202403050"/>
    <x v="0"/>
    <x v="0"/>
    <x v="2"/>
    <s v="Bases de Dados"/>
    <n v="8.3000000000000007"/>
    <n v="73.599999999999994"/>
    <x v="0"/>
    <x v="0"/>
  </r>
  <r>
    <s v="E202403054"/>
    <x v="0"/>
    <x v="0"/>
    <x v="2"/>
    <s v="Redes"/>
    <n v="8.3000000000000007"/>
    <n v="63.3"/>
    <x v="0"/>
    <x v="0"/>
  </r>
  <r>
    <s v="E202401056"/>
    <x v="0"/>
    <x v="1"/>
    <x v="1"/>
    <s v="Matematica"/>
    <n v="8.3000000000000007"/>
    <n v="48.6"/>
    <x v="0"/>
    <x v="1"/>
  </r>
  <r>
    <s v="E202402014"/>
    <x v="0"/>
    <x v="1"/>
    <x v="0"/>
    <s v="Marketing"/>
    <n v="8.3000000000000007"/>
    <n v="90.1"/>
    <x v="0"/>
    <x v="2"/>
  </r>
  <r>
    <s v="E202402023"/>
    <x v="0"/>
    <x v="1"/>
    <x v="0"/>
    <s v="Contabilidade"/>
    <n v="8.3000000000000007"/>
    <n v="55.2"/>
    <x v="0"/>
    <x v="0"/>
  </r>
  <r>
    <s v="E202403038"/>
    <x v="0"/>
    <x v="1"/>
    <x v="2"/>
    <s v="Programacao"/>
    <n v="8.3000000000000007"/>
    <n v="54.6"/>
    <x v="0"/>
    <x v="0"/>
  </r>
  <r>
    <s v="E202501051"/>
    <x v="1"/>
    <x v="0"/>
    <x v="1"/>
    <s v="Redes"/>
    <n v="8.3000000000000007"/>
    <n v="54.2"/>
    <x v="0"/>
    <x v="0"/>
  </r>
  <r>
    <s v="E202502006"/>
    <x v="1"/>
    <x v="0"/>
    <x v="0"/>
    <s v="Contabilidade"/>
    <n v="8.3000000000000007"/>
    <n v="50.4"/>
    <x v="0"/>
    <x v="0"/>
  </r>
  <r>
    <s v="E202503056"/>
    <x v="1"/>
    <x v="0"/>
    <x v="2"/>
    <s v="Redes"/>
    <n v="8.3000000000000007"/>
    <n v="53"/>
    <x v="0"/>
    <x v="0"/>
  </r>
  <r>
    <s v="E202501025"/>
    <x v="1"/>
    <x v="1"/>
    <x v="1"/>
    <s v="Matematica"/>
    <n v="8.3000000000000007"/>
    <n v="73.8"/>
    <x v="0"/>
    <x v="0"/>
  </r>
  <r>
    <s v="E202501032"/>
    <x v="1"/>
    <x v="1"/>
    <x v="1"/>
    <s v="Matematica"/>
    <n v="8.3000000000000007"/>
    <n v="51.6"/>
    <x v="0"/>
    <x v="0"/>
  </r>
  <r>
    <s v="E202501059"/>
    <x v="1"/>
    <x v="1"/>
    <x v="1"/>
    <s v="Redes"/>
    <n v="8.3000000000000007"/>
    <n v="57.1"/>
    <x v="0"/>
    <x v="0"/>
  </r>
  <r>
    <s v="E202502011"/>
    <x v="1"/>
    <x v="1"/>
    <x v="0"/>
    <s v="Estatistica"/>
    <n v="8.3000000000000007"/>
    <n v="48.1"/>
    <x v="0"/>
    <x v="1"/>
  </r>
  <r>
    <s v="E202502056"/>
    <x v="1"/>
    <x v="1"/>
    <x v="0"/>
    <s v="Contabilidade"/>
    <n v="8.3000000000000007"/>
    <n v="87.2"/>
    <x v="0"/>
    <x v="2"/>
  </r>
  <r>
    <s v="E202502057"/>
    <x v="1"/>
    <x v="1"/>
    <x v="0"/>
    <s v="Estatistica"/>
    <n v="8.3000000000000007"/>
    <n v="54.5"/>
    <x v="0"/>
    <x v="0"/>
  </r>
  <r>
    <s v="E202503005"/>
    <x v="1"/>
    <x v="1"/>
    <x v="2"/>
    <s v="Programacao"/>
    <n v="8.3000000000000007"/>
    <n v="78.099999999999994"/>
    <x v="0"/>
    <x v="2"/>
  </r>
  <r>
    <s v="E202602027"/>
    <x v="2"/>
    <x v="0"/>
    <x v="0"/>
    <s v="Contabilidade"/>
    <n v="8.3000000000000007"/>
    <n v="60.2"/>
    <x v="0"/>
    <x v="0"/>
  </r>
  <r>
    <s v="E202602031"/>
    <x v="2"/>
    <x v="0"/>
    <x v="0"/>
    <s v="Estatistica"/>
    <n v="8.3000000000000007"/>
    <n v="83.8"/>
    <x v="0"/>
    <x v="2"/>
  </r>
  <r>
    <s v="E202603034"/>
    <x v="2"/>
    <x v="0"/>
    <x v="2"/>
    <s v="Programacao"/>
    <n v="8.3000000000000007"/>
    <n v="50"/>
    <x v="0"/>
    <x v="0"/>
  </r>
  <r>
    <s v="E202601004"/>
    <x v="2"/>
    <x v="1"/>
    <x v="1"/>
    <s v="Matematica"/>
    <n v="8.3000000000000007"/>
    <n v="49.4"/>
    <x v="0"/>
    <x v="1"/>
  </r>
  <r>
    <s v="E202601026"/>
    <x v="2"/>
    <x v="1"/>
    <x v="1"/>
    <s v="Redes"/>
    <n v="8.3000000000000007"/>
    <n v="78.5"/>
    <x v="0"/>
    <x v="2"/>
  </r>
  <r>
    <s v="E202601027"/>
    <x v="2"/>
    <x v="1"/>
    <x v="1"/>
    <s v="Redes"/>
    <n v="8.3000000000000007"/>
    <n v="83.8"/>
    <x v="0"/>
    <x v="2"/>
  </r>
  <r>
    <s v="E202601057"/>
    <x v="2"/>
    <x v="1"/>
    <x v="1"/>
    <s v="Sinais"/>
    <n v="8.3000000000000007"/>
    <n v="67.900000000000006"/>
    <x v="0"/>
    <x v="0"/>
  </r>
  <r>
    <s v="E202602049"/>
    <x v="2"/>
    <x v="1"/>
    <x v="0"/>
    <s v="Marketing"/>
    <n v="8.3000000000000007"/>
    <n v="68.900000000000006"/>
    <x v="0"/>
    <x v="0"/>
  </r>
  <r>
    <s v="E202602054"/>
    <x v="2"/>
    <x v="1"/>
    <x v="0"/>
    <s v="Marketing"/>
    <n v="8.3000000000000007"/>
    <n v="47"/>
    <x v="0"/>
    <x v="1"/>
  </r>
  <r>
    <s v="E202602057"/>
    <x v="2"/>
    <x v="1"/>
    <x v="0"/>
    <s v="Marketing"/>
    <n v="8.3000000000000007"/>
    <n v="65.8"/>
    <x v="0"/>
    <x v="0"/>
  </r>
  <r>
    <s v="E202603014"/>
    <x v="2"/>
    <x v="1"/>
    <x v="2"/>
    <s v="Bases de Dados"/>
    <n v="8.3000000000000007"/>
    <n v="83.1"/>
    <x v="0"/>
    <x v="2"/>
  </r>
  <r>
    <s v="E202401025"/>
    <x v="0"/>
    <x v="0"/>
    <x v="1"/>
    <s v="Redes"/>
    <n v="8.4"/>
    <n v="50.9"/>
    <x v="0"/>
    <x v="0"/>
  </r>
  <r>
    <s v="E202401038"/>
    <x v="0"/>
    <x v="0"/>
    <x v="1"/>
    <s v="Matematica"/>
    <n v="8.4"/>
    <n v="80.400000000000006"/>
    <x v="0"/>
    <x v="2"/>
  </r>
  <r>
    <s v="E202402020"/>
    <x v="0"/>
    <x v="0"/>
    <x v="0"/>
    <s v="Contabilidade"/>
    <n v="8.4"/>
    <n v="68.3"/>
    <x v="0"/>
    <x v="0"/>
  </r>
  <r>
    <s v="E202402035"/>
    <x v="0"/>
    <x v="0"/>
    <x v="0"/>
    <s v="Marketing"/>
    <n v="8.4"/>
    <n v="64"/>
    <x v="0"/>
    <x v="0"/>
  </r>
  <r>
    <s v="E202402043"/>
    <x v="0"/>
    <x v="0"/>
    <x v="0"/>
    <s v="Contabilidade"/>
    <n v="8.4"/>
    <n v="50.4"/>
    <x v="0"/>
    <x v="0"/>
  </r>
  <r>
    <s v="E202403003"/>
    <x v="0"/>
    <x v="0"/>
    <x v="2"/>
    <s v="Programacao"/>
    <n v="8.4"/>
    <n v="72"/>
    <x v="0"/>
    <x v="0"/>
  </r>
  <r>
    <s v="E202403049"/>
    <x v="0"/>
    <x v="0"/>
    <x v="2"/>
    <s v="Bases de Dados"/>
    <n v="8.4"/>
    <n v="59.6"/>
    <x v="0"/>
    <x v="0"/>
  </r>
  <r>
    <s v="E202401038"/>
    <x v="0"/>
    <x v="1"/>
    <x v="1"/>
    <s v="Redes"/>
    <n v="8.4"/>
    <n v="82.2"/>
    <x v="0"/>
    <x v="2"/>
  </r>
  <r>
    <s v="E202402013"/>
    <x v="0"/>
    <x v="1"/>
    <x v="0"/>
    <s v="Estatistica"/>
    <n v="8.4"/>
    <n v="45.7"/>
    <x v="0"/>
    <x v="1"/>
  </r>
  <r>
    <s v="E202403018"/>
    <x v="0"/>
    <x v="1"/>
    <x v="2"/>
    <s v="Programacao"/>
    <n v="8.4"/>
    <n v="67.8"/>
    <x v="0"/>
    <x v="0"/>
  </r>
  <r>
    <s v="E202403033"/>
    <x v="0"/>
    <x v="1"/>
    <x v="2"/>
    <s v="Bases de Dados"/>
    <n v="8.4"/>
    <n v="76.5"/>
    <x v="0"/>
    <x v="2"/>
  </r>
  <r>
    <s v="E202501021"/>
    <x v="1"/>
    <x v="0"/>
    <x v="1"/>
    <s v="Redes"/>
    <n v="8.4"/>
    <n v="68.7"/>
    <x v="0"/>
    <x v="0"/>
  </r>
  <r>
    <s v="E202502020"/>
    <x v="1"/>
    <x v="0"/>
    <x v="0"/>
    <s v="Contabilidade"/>
    <n v="8.4"/>
    <n v="77.8"/>
    <x v="0"/>
    <x v="2"/>
  </r>
  <r>
    <s v="E202502044"/>
    <x v="1"/>
    <x v="0"/>
    <x v="0"/>
    <s v="Marketing"/>
    <n v="8.4"/>
    <n v="99.5"/>
    <x v="0"/>
    <x v="2"/>
  </r>
  <r>
    <s v="E202503012"/>
    <x v="1"/>
    <x v="0"/>
    <x v="2"/>
    <s v="Redes"/>
    <n v="8.4"/>
    <n v="55.3"/>
    <x v="0"/>
    <x v="0"/>
  </r>
  <r>
    <s v="E202503014"/>
    <x v="1"/>
    <x v="0"/>
    <x v="2"/>
    <s v="Bases de Dados"/>
    <n v="8.4"/>
    <n v="46.7"/>
    <x v="0"/>
    <x v="1"/>
  </r>
  <r>
    <s v="E202503051"/>
    <x v="1"/>
    <x v="0"/>
    <x v="2"/>
    <s v="Programacao"/>
    <n v="8.4"/>
    <n v="48"/>
    <x v="0"/>
    <x v="1"/>
  </r>
  <r>
    <s v="E202501005"/>
    <x v="1"/>
    <x v="1"/>
    <x v="1"/>
    <s v="Matematica"/>
    <n v="8.4"/>
    <n v="45.4"/>
    <x v="0"/>
    <x v="1"/>
  </r>
  <r>
    <s v="E202501027"/>
    <x v="1"/>
    <x v="1"/>
    <x v="1"/>
    <s v="Sinais"/>
    <n v="8.4"/>
    <n v="89.9"/>
    <x v="0"/>
    <x v="2"/>
  </r>
  <r>
    <s v="E202501034"/>
    <x v="1"/>
    <x v="1"/>
    <x v="1"/>
    <s v="Matematica"/>
    <n v="8.4"/>
    <n v="46.4"/>
    <x v="0"/>
    <x v="1"/>
  </r>
  <r>
    <s v="E202503055"/>
    <x v="1"/>
    <x v="1"/>
    <x v="2"/>
    <s v="Redes"/>
    <n v="8.4"/>
    <n v="60"/>
    <x v="0"/>
    <x v="0"/>
  </r>
  <r>
    <s v="E202601027"/>
    <x v="2"/>
    <x v="0"/>
    <x v="1"/>
    <s v="Sinais"/>
    <n v="8.4"/>
    <n v="68.8"/>
    <x v="0"/>
    <x v="0"/>
  </r>
  <r>
    <s v="E202602059"/>
    <x v="2"/>
    <x v="0"/>
    <x v="0"/>
    <s v="Estatistica"/>
    <n v="8.4"/>
    <n v="53.4"/>
    <x v="0"/>
    <x v="0"/>
  </r>
  <r>
    <s v="E202603009"/>
    <x v="2"/>
    <x v="0"/>
    <x v="2"/>
    <s v="Programacao"/>
    <n v="8.4"/>
    <n v="70.8"/>
    <x v="0"/>
    <x v="0"/>
  </r>
  <r>
    <s v="E202603057"/>
    <x v="2"/>
    <x v="0"/>
    <x v="2"/>
    <s v="Programacao"/>
    <n v="8.4"/>
    <n v="52.7"/>
    <x v="0"/>
    <x v="0"/>
  </r>
  <r>
    <s v="E202603060"/>
    <x v="2"/>
    <x v="0"/>
    <x v="2"/>
    <s v="Redes"/>
    <n v="8.4"/>
    <n v="80.5"/>
    <x v="0"/>
    <x v="2"/>
  </r>
  <r>
    <s v="E202601015"/>
    <x v="2"/>
    <x v="1"/>
    <x v="1"/>
    <s v="Redes"/>
    <n v="8.4"/>
    <n v="59.9"/>
    <x v="0"/>
    <x v="0"/>
  </r>
  <r>
    <s v="E202601037"/>
    <x v="2"/>
    <x v="1"/>
    <x v="1"/>
    <s v="Matematica"/>
    <n v="8.4"/>
    <n v="63.5"/>
    <x v="0"/>
    <x v="0"/>
  </r>
  <r>
    <s v="E202603030"/>
    <x v="2"/>
    <x v="1"/>
    <x v="2"/>
    <s v="Redes"/>
    <n v="8.4"/>
    <n v="52.3"/>
    <x v="0"/>
    <x v="0"/>
  </r>
  <r>
    <s v="E202603046"/>
    <x v="2"/>
    <x v="1"/>
    <x v="2"/>
    <s v="Programacao"/>
    <n v="8.4"/>
    <n v="61.3"/>
    <x v="0"/>
    <x v="0"/>
  </r>
  <r>
    <s v="E202603048"/>
    <x v="2"/>
    <x v="1"/>
    <x v="2"/>
    <s v="Programacao"/>
    <n v="8.4"/>
    <n v="62.4"/>
    <x v="0"/>
    <x v="0"/>
  </r>
  <r>
    <s v="E202401006"/>
    <x v="0"/>
    <x v="0"/>
    <x v="1"/>
    <s v="Matematica"/>
    <n v="8.5"/>
    <n v="86.6"/>
    <x v="0"/>
    <x v="2"/>
  </r>
  <r>
    <s v="E202403010"/>
    <x v="0"/>
    <x v="0"/>
    <x v="2"/>
    <s v="Bases de Dados"/>
    <n v="8.5"/>
    <n v="54.9"/>
    <x v="0"/>
    <x v="0"/>
  </r>
  <r>
    <s v="E202403052"/>
    <x v="0"/>
    <x v="0"/>
    <x v="2"/>
    <s v="Redes"/>
    <n v="8.5"/>
    <n v="84.1"/>
    <x v="0"/>
    <x v="2"/>
  </r>
  <r>
    <s v="E202401022"/>
    <x v="0"/>
    <x v="1"/>
    <x v="1"/>
    <s v="Matematica"/>
    <n v="8.5"/>
    <n v="84.3"/>
    <x v="0"/>
    <x v="2"/>
  </r>
  <r>
    <s v="E202403016"/>
    <x v="0"/>
    <x v="1"/>
    <x v="2"/>
    <s v="Programacao"/>
    <n v="8.5"/>
    <n v="45.1"/>
    <x v="0"/>
    <x v="1"/>
  </r>
  <r>
    <s v="E202403045"/>
    <x v="0"/>
    <x v="1"/>
    <x v="2"/>
    <s v="Redes"/>
    <n v="8.5"/>
    <n v="56"/>
    <x v="0"/>
    <x v="0"/>
  </r>
  <r>
    <s v="E202502052"/>
    <x v="1"/>
    <x v="0"/>
    <x v="0"/>
    <s v="Marketing"/>
    <n v="8.5"/>
    <n v="58.8"/>
    <x v="0"/>
    <x v="0"/>
  </r>
  <r>
    <s v="E202503048"/>
    <x v="1"/>
    <x v="0"/>
    <x v="2"/>
    <s v="Redes"/>
    <n v="8.5"/>
    <n v="70.2"/>
    <x v="0"/>
    <x v="0"/>
  </r>
  <r>
    <s v="E202503054"/>
    <x v="1"/>
    <x v="0"/>
    <x v="2"/>
    <s v="Redes"/>
    <n v="8.5"/>
    <n v="61.2"/>
    <x v="0"/>
    <x v="0"/>
  </r>
  <r>
    <s v="E202501006"/>
    <x v="1"/>
    <x v="1"/>
    <x v="1"/>
    <s v="Redes"/>
    <n v="8.5"/>
    <n v="59.4"/>
    <x v="0"/>
    <x v="0"/>
  </r>
  <r>
    <s v="E202501054"/>
    <x v="1"/>
    <x v="1"/>
    <x v="1"/>
    <s v="Matematica"/>
    <n v="8.5"/>
    <n v="55.2"/>
    <x v="0"/>
    <x v="0"/>
  </r>
  <r>
    <s v="E202502006"/>
    <x v="1"/>
    <x v="1"/>
    <x v="0"/>
    <s v="Estatistica"/>
    <n v="8.5"/>
    <n v="73.8"/>
    <x v="0"/>
    <x v="0"/>
  </r>
  <r>
    <s v="E202502020"/>
    <x v="1"/>
    <x v="1"/>
    <x v="0"/>
    <s v="Contabilidade"/>
    <n v="8.5"/>
    <n v="52"/>
    <x v="0"/>
    <x v="0"/>
  </r>
  <r>
    <s v="E202502028"/>
    <x v="1"/>
    <x v="1"/>
    <x v="0"/>
    <s v="Marketing"/>
    <n v="8.5"/>
    <n v="88.8"/>
    <x v="0"/>
    <x v="2"/>
  </r>
  <r>
    <s v="E202502036"/>
    <x v="1"/>
    <x v="1"/>
    <x v="0"/>
    <s v="Marketing"/>
    <n v="8.5"/>
    <n v="73.8"/>
    <x v="0"/>
    <x v="0"/>
  </r>
  <r>
    <s v="E202503005"/>
    <x v="1"/>
    <x v="1"/>
    <x v="2"/>
    <s v="Bases de Dados"/>
    <n v="8.5"/>
    <n v="60.9"/>
    <x v="0"/>
    <x v="0"/>
  </r>
  <r>
    <s v="E202503031"/>
    <x v="1"/>
    <x v="1"/>
    <x v="2"/>
    <s v="Bases de Dados"/>
    <n v="8.5"/>
    <n v="71"/>
    <x v="0"/>
    <x v="0"/>
  </r>
  <r>
    <s v="E202602004"/>
    <x v="2"/>
    <x v="0"/>
    <x v="0"/>
    <s v="Marketing"/>
    <n v="8.5"/>
    <n v="74.8"/>
    <x v="0"/>
    <x v="0"/>
  </r>
  <r>
    <s v="E202602038"/>
    <x v="2"/>
    <x v="0"/>
    <x v="0"/>
    <s v="Marketing"/>
    <n v="8.5"/>
    <n v="57.9"/>
    <x v="0"/>
    <x v="0"/>
  </r>
  <r>
    <s v="E202603015"/>
    <x v="2"/>
    <x v="0"/>
    <x v="2"/>
    <s v="Bases de Dados"/>
    <n v="8.5"/>
    <n v="57.5"/>
    <x v="0"/>
    <x v="0"/>
  </r>
  <r>
    <s v="E202603023"/>
    <x v="2"/>
    <x v="1"/>
    <x v="2"/>
    <s v="Programacao"/>
    <n v="8.5"/>
    <n v="62.9"/>
    <x v="0"/>
    <x v="0"/>
  </r>
  <r>
    <s v="E202401044"/>
    <x v="0"/>
    <x v="0"/>
    <x v="1"/>
    <s v="Matematica"/>
    <n v="8.6"/>
    <n v="49.7"/>
    <x v="0"/>
    <x v="1"/>
  </r>
  <r>
    <s v="E202403002"/>
    <x v="0"/>
    <x v="0"/>
    <x v="2"/>
    <s v="Redes"/>
    <n v="8.6"/>
    <n v="69.099999999999994"/>
    <x v="0"/>
    <x v="0"/>
  </r>
  <r>
    <s v="E202403016"/>
    <x v="0"/>
    <x v="0"/>
    <x v="2"/>
    <s v="Programacao"/>
    <n v="8.6"/>
    <n v="53.1"/>
    <x v="0"/>
    <x v="0"/>
  </r>
  <r>
    <s v="E202401041"/>
    <x v="0"/>
    <x v="1"/>
    <x v="1"/>
    <s v="Sinais"/>
    <n v="8.6"/>
    <n v="63"/>
    <x v="0"/>
    <x v="0"/>
  </r>
  <r>
    <s v="E202402015"/>
    <x v="0"/>
    <x v="1"/>
    <x v="0"/>
    <s v="Marketing"/>
    <n v="8.6"/>
    <n v="73.5"/>
    <x v="0"/>
    <x v="0"/>
  </r>
  <r>
    <s v="E202402048"/>
    <x v="0"/>
    <x v="1"/>
    <x v="0"/>
    <s v="Estatistica"/>
    <n v="8.6"/>
    <n v="60.7"/>
    <x v="0"/>
    <x v="0"/>
  </r>
  <r>
    <s v="E202403006"/>
    <x v="0"/>
    <x v="1"/>
    <x v="2"/>
    <s v="Bases de Dados"/>
    <n v="8.6"/>
    <n v="68.7"/>
    <x v="0"/>
    <x v="0"/>
  </r>
  <r>
    <s v="E202403028"/>
    <x v="0"/>
    <x v="1"/>
    <x v="2"/>
    <s v="Programacao"/>
    <n v="8.6"/>
    <n v="84.8"/>
    <x v="0"/>
    <x v="2"/>
  </r>
  <r>
    <s v="E202403050"/>
    <x v="0"/>
    <x v="1"/>
    <x v="2"/>
    <s v="Bases de Dados"/>
    <n v="8.6"/>
    <n v="64.7"/>
    <x v="0"/>
    <x v="0"/>
  </r>
  <r>
    <s v="E202501014"/>
    <x v="1"/>
    <x v="0"/>
    <x v="1"/>
    <s v="Redes"/>
    <n v="8.6"/>
    <n v="93.1"/>
    <x v="0"/>
    <x v="2"/>
  </r>
  <r>
    <s v="E202501059"/>
    <x v="1"/>
    <x v="0"/>
    <x v="1"/>
    <s v="Matematica"/>
    <n v="8.6"/>
    <n v="47.9"/>
    <x v="0"/>
    <x v="1"/>
  </r>
  <r>
    <s v="E202503026"/>
    <x v="1"/>
    <x v="0"/>
    <x v="2"/>
    <s v="Programacao"/>
    <n v="8.6"/>
    <n v="72"/>
    <x v="0"/>
    <x v="0"/>
  </r>
  <r>
    <s v="E202503054"/>
    <x v="1"/>
    <x v="0"/>
    <x v="2"/>
    <s v="Programacao"/>
    <n v="8.6"/>
    <n v="82.5"/>
    <x v="0"/>
    <x v="2"/>
  </r>
  <r>
    <s v="E202501017"/>
    <x v="1"/>
    <x v="1"/>
    <x v="1"/>
    <s v="Redes"/>
    <n v="8.6"/>
    <n v="53.6"/>
    <x v="0"/>
    <x v="0"/>
  </r>
  <r>
    <s v="E202501049"/>
    <x v="1"/>
    <x v="1"/>
    <x v="1"/>
    <s v="Redes"/>
    <n v="8.6"/>
    <n v="52"/>
    <x v="0"/>
    <x v="0"/>
  </r>
  <r>
    <s v="E202502014"/>
    <x v="1"/>
    <x v="1"/>
    <x v="0"/>
    <s v="Contabilidade"/>
    <n v="8.6"/>
    <n v="50.5"/>
    <x v="0"/>
    <x v="0"/>
  </r>
  <r>
    <s v="E202502019"/>
    <x v="1"/>
    <x v="1"/>
    <x v="0"/>
    <s v="Estatistica"/>
    <n v="8.6"/>
    <n v="51.9"/>
    <x v="0"/>
    <x v="0"/>
  </r>
  <r>
    <s v="E202502051"/>
    <x v="1"/>
    <x v="1"/>
    <x v="0"/>
    <s v="Marketing"/>
    <n v="8.6"/>
    <n v="50.8"/>
    <x v="0"/>
    <x v="0"/>
  </r>
  <r>
    <s v="E202503017"/>
    <x v="1"/>
    <x v="1"/>
    <x v="2"/>
    <s v="Redes"/>
    <n v="8.6"/>
    <n v="48"/>
    <x v="0"/>
    <x v="1"/>
  </r>
  <r>
    <s v="E202503059"/>
    <x v="1"/>
    <x v="1"/>
    <x v="2"/>
    <s v="Redes"/>
    <n v="8.6"/>
    <n v="66.3"/>
    <x v="0"/>
    <x v="0"/>
  </r>
  <r>
    <s v="E202601010"/>
    <x v="2"/>
    <x v="0"/>
    <x v="1"/>
    <s v="Redes"/>
    <n v="8.6"/>
    <n v="69.3"/>
    <x v="0"/>
    <x v="0"/>
  </r>
  <r>
    <s v="E202601027"/>
    <x v="2"/>
    <x v="0"/>
    <x v="1"/>
    <s v="Matematica"/>
    <n v="8.6"/>
    <n v="72.599999999999994"/>
    <x v="0"/>
    <x v="0"/>
  </r>
  <r>
    <s v="E202602043"/>
    <x v="2"/>
    <x v="0"/>
    <x v="0"/>
    <s v="Contabilidade"/>
    <n v="8.6"/>
    <n v="49.6"/>
    <x v="0"/>
    <x v="1"/>
  </r>
  <r>
    <s v="E202602055"/>
    <x v="2"/>
    <x v="0"/>
    <x v="0"/>
    <s v="Contabilidade"/>
    <n v="8.6"/>
    <n v="71.3"/>
    <x v="0"/>
    <x v="0"/>
  </r>
  <r>
    <s v="E202603008"/>
    <x v="2"/>
    <x v="0"/>
    <x v="2"/>
    <s v="Redes"/>
    <n v="8.6"/>
    <n v="91.2"/>
    <x v="0"/>
    <x v="2"/>
  </r>
  <r>
    <s v="E202601003"/>
    <x v="2"/>
    <x v="1"/>
    <x v="1"/>
    <s v="Sinais"/>
    <n v="8.6"/>
    <n v="68.2"/>
    <x v="0"/>
    <x v="0"/>
  </r>
  <r>
    <s v="E202602030"/>
    <x v="2"/>
    <x v="1"/>
    <x v="0"/>
    <s v="Marketing"/>
    <n v="8.6"/>
    <n v="66.099999999999994"/>
    <x v="0"/>
    <x v="0"/>
  </r>
  <r>
    <s v="E202602057"/>
    <x v="2"/>
    <x v="1"/>
    <x v="0"/>
    <s v="Estatistica"/>
    <n v="8.6"/>
    <n v="77.5"/>
    <x v="0"/>
    <x v="2"/>
  </r>
  <r>
    <s v="E202602058"/>
    <x v="2"/>
    <x v="1"/>
    <x v="0"/>
    <s v="Estatistica"/>
    <n v="8.6"/>
    <n v="89.2"/>
    <x v="0"/>
    <x v="2"/>
  </r>
  <r>
    <s v="E202603032"/>
    <x v="2"/>
    <x v="1"/>
    <x v="2"/>
    <s v="Redes"/>
    <n v="8.6"/>
    <n v="64.5"/>
    <x v="0"/>
    <x v="0"/>
  </r>
  <r>
    <s v="E202603037"/>
    <x v="2"/>
    <x v="1"/>
    <x v="2"/>
    <s v="Redes"/>
    <n v="8.6"/>
    <n v="68.8"/>
    <x v="0"/>
    <x v="0"/>
  </r>
  <r>
    <s v="E202603050"/>
    <x v="2"/>
    <x v="1"/>
    <x v="2"/>
    <s v="Bases de Dados"/>
    <n v="8.6"/>
    <n v="45.4"/>
    <x v="0"/>
    <x v="1"/>
  </r>
  <r>
    <s v="E202603050"/>
    <x v="2"/>
    <x v="1"/>
    <x v="2"/>
    <s v="Redes"/>
    <n v="8.6"/>
    <n v="82.7"/>
    <x v="0"/>
    <x v="2"/>
  </r>
  <r>
    <s v="E202603051"/>
    <x v="2"/>
    <x v="1"/>
    <x v="2"/>
    <s v="Bases de Dados"/>
    <n v="8.6"/>
    <n v="60.5"/>
    <x v="0"/>
    <x v="0"/>
  </r>
  <r>
    <s v="E202401006"/>
    <x v="0"/>
    <x v="0"/>
    <x v="1"/>
    <s v="Redes"/>
    <n v="8.6999999999999993"/>
    <n v="86.4"/>
    <x v="0"/>
    <x v="2"/>
  </r>
  <r>
    <s v="E202401018"/>
    <x v="0"/>
    <x v="0"/>
    <x v="1"/>
    <s v="Redes"/>
    <n v="8.6999999999999993"/>
    <n v="62.7"/>
    <x v="0"/>
    <x v="0"/>
  </r>
  <r>
    <s v="E202402054"/>
    <x v="0"/>
    <x v="0"/>
    <x v="0"/>
    <s v="Contabilidade"/>
    <n v="8.6999999999999993"/>
    <n v="47.5"/>
    <x v="0"/>
    <x v="1"/>
  </r>
  <r>
    <s v="E202403039"/>
    <x v="0"/>
    <x v="0"/>
    <x v="2"/>
    <s v="Redes"/>
    <n v="8.6999999999999993"/>
    <n v="55.4"/>
    <x v="0"/>
    <x v="0"/>
  </r>
  <r>
    <s v="E202401020"/>
    <x v="0"/>
    <x v="1"/>
    <x v="1"/>
    <s v="Sinais"/>
    <n v="8.6999999999999993"/>
    <n v="64.599999999999994"/>
    <x v="0"/>
    <x v="0"/>
  </r>
  <r>
    <s v="E202401028"/>
    <x v="0"/>
    <x v="1"/>
    <x v="1"/>
    <s v="Matematica"/>
    <n v="8.6999999999999993"/>
    <n v="59.3"/>
    <x v="0"/>
    <x v="0"/>
  </r>
  <r>
    <s v="E202401052"/>
    <x v="0"/>
    <x v="1"/>
    <x v="1"/>
    <s v="Sinais"/>
    <n v="8.6999999999999993"/>
    <n v="56.1"/>
    <x v="0"/>
    <x v="0"/>
  </r>
  <r>
    <s v="E202401054"/>
    <x v="0"/>
    <x v="1"/>
    <x v="1"/>
    <s v="Sinais"/>
    <n v="8.6999999999999993"/>
    <n v="69.599999999999994"/>
    <x v="0"/>
    <x v="0"/>
  </r>
  <r>
    <s v="E202401056"/>
    <x v="0"/>
    <x v="1"/>
    <x v="1"/>
    <s v="Redes"/>
    <n v="8.6999999999999993"/>
    <n v="77.3"/>
    <x v="0"/>
    <x v="2"/>
  </r>
  <r>
    <s v="E202402016"/>
    <x v="0"/>
    <x v="1"/>
    <x v="0"/>
    <s v="Marketing"/>
    <n v="8.6999999999999993"/>
    <n v="75"/>
    <x v="0"/>
    <x v="2"/>
  </r>
  <r>
    <s v="E202402027"/>
    <x v="0"/>
    <x v="1"/>
    <x v="0"/>
    <s v="Contabilidade"/>
    <n v="8.6999999999999993"/>
    <n v="66.5"/>
    <x v="0"/>
    <x v="0"/>
  </r>
  <r>
    <s v="E202402048"/>
    <x v="0"/>
    <x v="1"/>
    <x v="0"/>
    <s v="Contabilidade"/>
    <n v="8.6999999999999993"/>
    <n v="53"/>
    <x v="0"/>
    <x v="0"/>
  </r>
  <r>
    <s v="E202403005"/>
    <x v="0"/>
    <x v="1"/>
    <x v="2"/>
    <s v="Redes"/>
    <n v="8.6999999999999993"/>
    <n v="80.7"/>
    <x v="0"/>
    <x v="2"/>
  </r>
  <r>
    <s v="E202403026"/>
    <x v="0"/>
    <x v="1"/>
    <x v="2"/>
    <s v="Redes"/>
    <n v="8.6999999999999993"/>
    <n v="77.8"/>
    <x v="0"/>
    <x v="2"/>
  </r>
  <r>
    <s v="E202403040"/>
    <x v="0"/>
    <x v="1"/>
    <x v="2"/>
    <s v="Programacao"/>
    <n v="8.6999999999999993"/>
    <n v="96.6"/>
    <x v="0"/>
    <x v="2"/>
  </r>
  <r>
    <s v="E202403040"/>
    <x v="0"/>
    <x v="1"/>
    <x v="2"/>
    <s v="Bases de Dados"/>
    <n v="8.6999999999999993"/>
    <n v="85.8"/>
    <x v="0"/>
    <x v="2"/>
  </r>
  <r>
    <s v="E202403046"/>
    <x v="0"/>
    <x v="1"/>
    <x v="2"/>
    <s v="Bases de Dados"/>
    <n v="8.6999999999999993"/>
    <n v="79.5"/>
    <x v="0"/>
    <x v="2"/>
  </r>
  <r>
    <s v="E202501047"/>
    <x v="1"/>
    <x v="0"/>
    <x v="1"/>
    <s v="Sinais"/>
    <n v="8.6999999999999993"/>
    <n v="48.3"/>
    <x v="0"/>
    <x v="1"/>
  </r>
  <r>
    <s v="E202502011"/>
    <x v="1"/>
    <x v="0"/>
    <x v="0"/>
    <s v="Marketing"/>
    <n v="8.6999999999999993"/>
    <n v="63.1"/>
    <x v="0"/>
    <x v="0"/>
  </r>
  <r>
    <s v="E202502024"/>
    <x v="1"/>
    <x v="0"/>
    <x v="0"/>
    <s v="Marketing"/>
    <n v="8.6999999999999993"/>
    <n v="60.4"/>
    <x v="0"/>
    <x v="0"/>
  </r>
  <r>
    <s v="E202502040"/>
    <x v="1"/>
    <x v="0"/>
    <x v="0"/>
    <s v="Estatistica"/>
    <n v="8.6999999999999993"/>
    <n v="59.1"/>
    <x v="0"/>
    <x v="0"/>
  </r>
  <r>
    <s v="E202503017"/>
    <x v="1"/>
    <x v="0"/>
    <x v="2"/>
    <s v="Programacao"/>
    <n v="8.6999999999999993"/>
    <n v="61.7"/>
    <x v="0"/>
    <x v="0"/>
  </r>
  <r>
    <s v="E202501031"/>
    <x v="1"/>
    <x v="1"/>
    <x v="1"/>
    <s v="Matematica"/>
    <n v="8.6999999999999993"/>
    <n v="72.7"/>
    <x v="0"/>
    <x v="0"/>
  </r>
  <r>
    <s v="E202501054"/>
    <x v="1"/>
    <x v="1"/>
    <x v="1"/>
    <s v="Sinais"/>
    <n v="8.6999999999999993"/>
    <n v="48.4"/>
    <x v="0"/>
    <x v="1"/>
  </r>
  <r>
    <s v="E202502017"/>
    <x v="1"/>
    <x v="1"/>
    <x v="0"/>
    <s v="Contabilidade"/>
    <n v="8.6999999999999993"/>
    <n v="53"/>
    <x v="0"/>
    <x v="0"/>
  </r>
  <r>
    <s v="E202502018"/>
    <x v="1"/>
    <x v="1"/>
    <x v="0"/>
    <s v="Contabilidade"/>
    <n v="8.6999999999999993"/>
    <n v="63.1"/>
    <x v="0"/>
    <x v="0"/>
  </r>
  <r>
    <s v="E202503010"/>
    <x v="1"/>
    <x v="1"/>
    <x v="2"/>
    <s v="Programacao"/>
    <n v="8.6999999999999993"/>
    <n v="71.400000000000006"/>
    <x v="0"/>
    <x v="0"/>
  </r>
  <r>
    <s v="E202503031"/>
    <x v="1"/>
    <x v="1"/>
    <x v="2"/>
    <s v="Programacao"/>
    <n v="8.6999999999999993"/>
    <n v="80"/>
    <x v="0"/>
    <x v="2"/>
  </r>
  <r>
    <s v="E202503054"/>
    <x v="1"/>
    <x v="1"/>
    <x v="2"/>
    <s v="Programacao"/>
    <n v="8.6999999999999993"/>
    <n v="47.6"/>
    <x v="0"/>
    <x v="1"/>
  </r>
  <r>
    <s v="E202601056"/>
    <x v="2"/>
    <x v="0"/>
    <x v="1"/>
    <s v="Sinais"/>
    <n v="8.6999999999999993"/>
    <n v="45.8"/>
    <x v="0"/>
    <x v="1"/>
  </r>
  <r>
    <s v="E202603017"/>
    <x v="2"/>
    <x v="0"/>
    <x v="2"/>
    <s v="Programacao"/>
    <n v="8.6999999999999993"/>
    <n v="64.099999999999994"/>
    <x v="0"/>
    <x v="0"/>
  </r>
  <r>
    <s v="E202603035"/>
    <x v="2"/>
    <x v="0"/>
    <x v="2"/>
    <s v="Programacao"/>
    <n v="8.6999999999999993"/>
    <n v="65.7"/>
    <x v="0"/>
    <x v="0"/>
  </r>
  <r>
    <s v="E202603042"/>
    <x v="2"/>
    <x v="0"/>
    <x v="2"/>
    <s v="Programacao"/>
    <n v="8.6999999999999993"/>
    <n v="96.1"/>
    <x v="0"/>
    <x v="2"/>
  </r>
  <r>
    <s v="E202603053"/>
    <x v="2"/>
    <x v="0"/>
    <x v="2"/>
    <s v="Programacao"/>
    <n v="8.6999999999999993"/>
    <n v="55.5"/>
    <x v="0"/>
    <x v="0"/>
  </r>
  <r>
    <s v="E202601044"/>
    <x v="2"/>
    <x v="1"/>
    <x v="1"/>
    <s v="Sinais"/>
    <n v="8.6999999999999993"/>
    <n v="77"/>
    <x v="0"/>
    <x v="2"/>
  </r>
  <r>
    <s v="E202602003"/>
    <x v="2"/>
    <x v="1"/>
    <x v="0"/>
    <s v="Estatistica"/>
    <n v="8.6999999999999993"/>
    <n v="84.4"/>
    <x v="0"/>
    <x v="2"/>
  </r>
  <r>
    <s v="E202401015"/>
    <x v="0"/>
    <x v="0"/>
    <x v="1"/>
    <s v="Redes"/>
    <n v="8.8000000000000007"/>
    <n v="51.2"/>
    <x v="0"/>
    <x v="0"/>
  </r>
  <r>
    <s v="E202401039"/>
    <x v="0"/>
    <x v="0"/>
    <x v="1"/>
    <s v="Redes"/>
    <n v="8.8000000000000007"/>
    <n v="50"/>
    <x v="0"/>
    <x v="0"/>
  </r>
  <r>
    <s v="E202402010"/>
    <x v="0"/>
    <x v="0"/>
    <x v="0"/>
    <s v="Marketing"/>
    <n v="8.8000000000000007"/>
    <n v="51.7"/>
    <x v="0"/>
    <x v="0"/>
  </r>
  <r>
    <s v="E202402042"/>
    <x v="0"/>
    <x v="0"/>
    <x v="0"/>
    <s v="Marketing"/>
    <n v="8.8000000000000007"/>
    <n v="47.4"/>
    <x v="0"/>
    <x v="1"/>
  </r>
  <r>
    <s v="E202402054"/>
    <x v="0"/>
    <x v="0"/>
    <x v="0"/>
    <s v="Estatistica"/>
    <n v="8.8000000000000007"/>
    <n v="47.5"/>
    <x v="0"/>
    <x v="1"/>
  </r>
  <r>
    <s v="E202403026"/>
    <x v="0"/>
    <x v="0"/>
    <x v="2"/>
    <s v="Redes"/>
    <n v="8.8000000000000007"/>
    <n v="69.900000000000006"/>
    <x v="0"/>
    <x v="0"/>
  </r>
  <r>
    <s v="E202403046"/>
    <x v="0"/>
    <x v="0"/>
    <x v="2"/>
    <s v="Bases de Dados"/>
    <n v="8.8000000000000007"/>
    <n v="49.7"/>
    <x v="0"/>
    <x v="1"/>
  </r>
  <r>
    <s v="E202403051"/>
    <x v="0"/>
    <x v="0"/>
    <x v="2"/>
    <s v="Programacao"/>
    <n v="8.8000000000000007"/>
    <n v="63.7"/>
    <x v="0"/>
    <x v="0"/>
  </r>
  <r>
    <s v="E202401007"/>
    <x v="0"/>
    <x v="1"/>
    <x v="1"/>
    <s v="Matematica"/>
    <n v="8.8000000000000007"/>
    <n v="76.400000000000006"/>
    <x v="0"/>
    <x v="2"/>
  </r>
  <r>
    <s v="E202401049"/>
    <x v="0"/>
    <x v="1"/>
    <x v="1"/>
    <s v="Redes"/>
    <n v="8.8000000000000007"/>
    <n v="68.2"/>
    <x v="0"/>
    <x v="0"/>
  </r>
  <r>
    <s v="E202402035"/>
    <x v="0"/>
    <x v="1"/>
    <x v="0"/>
    <s v="Contabilidade"/>
    <n v="8.8000000000000007"/>
    <n v="47.6"/>
    <x v="0"/>
    <x v="1"/>
  </r>
  <r>
    <s v="E202403033"/>
    <x v="0"/>
    <x v="1"/>
    <x v="2"/>
    <s v="Programacao"/>
    <n v="8.8000000000000007"/>
    <n v="52.5"/>
    <x v="0"/>
    <x v="0"/>
  </r>
  <r>
    <s v="E202403055"/>
    <x v="0"/>
    <x v="1"/>
    <x v="2"/>
    <s v="Redes"/>
    <n v="8.8000000000000007"/>
    <n v="54.7"/>
    <x v="0"/>
    <x v="0"/>
  </r>
  <r>
    <s v="E202501003"/>
    <x v="1"/>
    <x v="0"/>
    <x v="1"/>
    <s v="Sinais"/>
    <n v="8.8000000000000007"/>
    <n v="92.4"/>
    <x v="0"/>
    <x v="2"/>
  </r>
  <r>
    <s v="E202501019"/>
    <x v="1"/>
    <x v="0"/>
    <x v="1"/>
    <s v="Sinais"/>
    <n v="8.8000000000000007"/>
    <n v="85.9"/>
    <x v="0"/>
    <x v="2"/>
  </r>
  <r>
    <s v="E202501049"/>
    <x v="1"/>
    <x v="0"/>
    <x v="1"/>
    <s v="Matematica"/>
    <n v="8.8000000000000007"/>
    <n v="77.599999999999994"/>
    <x v="0"/>
    <x v="2"/>
  </r>
  <r>
    <s v="E202502037"/>
    <x v="1"/>
    <x v="0"/>
    <x v="0"/>
    <s v="Estatistica"/>
    <n v="8.8000000000000007"/>
    <n v="46.3"/>
    <x v="0"/>
    <x v="1"/>
  </r>
  <r>
    <s v="E202503006"/>
    <x v="1"/>
    <x v="0"/>
    <x v="2"/>
    <s v="Programacao"/>
    <n v="8.8000000000000007"/>
    <n v="57.3"/>
    <x v="0"/>
    <x v="0"/>
  </r>
  <r>
    <s v="E202503007"/>
    <x v="1"/>
    <x v="0"/>
    <x v="2"/>
    <s v="Programacao"/>
    <n v="8.8000000000000007"/>
    <n v="68.599999999999994"/>
    <x v="0"/>
    <x v="0"/>
  </r>
  <r>
    <s v="E202503027"/>
    <x v="1"/>
    <x v="0"/>
    <x v="2"/>
    <s v="Bases de Dados"/>
    <n v="8.8000000000000007"/>
    <n v="93.4"/>
    <x v="0"/>
    <x v="2"/>
  </r>
  <r>
    <s v="E202503034"/>
    <x v="1"/>
    <x v="0"/>
    <x v="2"/>
    <s v="Bases de Dados"/>
    <n v="8.8000000000000007"/>
    <n v="85.2"/>
    <x v="0"/>
    <x v="2"/>
  </r>
  <r>
    <s v="E202503055"/>
    <x v="1"/>
    <x v="0"/>
    <x v="2"/>
    <s v="Bases de Dados"/>
    <n v="8.8000000000000007"/>
    <n v="71.7"/>
    <x v="0"/>
    <x v="0"/>
  </r>
  <r>
    <s v="E202501013"/>
    <x v="1"/>
    <x v="1"/>
    <x v="1"/>
    <s v="Matematica"/>
    <n v="8.8000000000000007"/>
    <n v="61.8"/>
    <x v="0"/>
    <x v="0"/>
  </r>
  <r>
    <s v="E202501020"/>
    <x v="1"/>
    <x v="1"/>
    <x v="1"/>
    <s v="Matematica"/>
    <n v="8.8000000000000007"/>
    <n v="57.7"/>
    <x v="0"/>
    <x v="0"/>
  </r>
  <r>
    <s v="E202502017"/>
    <x v="1"/>
    <x v="1"/>
    <x v="0"/>
    <s v="Estatistica"/>
    <n v="8.8000000000000007"/>
    <n v="59.5"/>
    <x v="0"/>
    <x v="0"/>
  </r>
  <r>
    <s v="E202502060"/>
    <x v="1"/>
    <x v="1"/>
    <x v="0"/>
    <s v="Estatistica"/>
    <n v="8.8000000000000007"/>
    <n v="71.599999999999994"/>
    <x v="0"/>
    <x v="0"/>
  </r>
  <r>
    <s v="E202503058"/>
    <x v="1"/>
    <x v="1"/>
    <x v="2"/>
    <s v="Bases de Dados"/>
    <n v="8.8000000000000007"/>
    <n v="54.7"/>
    <x v="0"/>
    <x v="0"/>
  </r>
  <r>
    <s v="E202603012"/>
    <x v="2"/>
    <x v="0"/>
    <x v="2"/>
    <s v="Programacao"/>
    <n v="8.8000000000000007"/>
    <n v="58.3"/>
    <x v="0"/>
    <x v="0"/>
  </r>
  <r>
    <s v="E202601010"/>
    <x v="2"/>
    <x v="1"/>
    <x v="1"/>
    <s v="Matematica"/>
    <n v="8.8000000000000007"/>
    <n v="48.6"/>
    <x v="0"/>
    <x v="1"/>
  </r>
  <r>
    <s v="E202601057"/>
    <x v="2"/>
    <x v="1"/>
    <x v="1"/>
    <s v="Redes"/>
    <n v="8.8000000000000007"/>
    <n v="65.400000000000006"/>
    <x v="0"/>
    <x v="0"/>
  </r>
  <r>
    <s v="E202602001"/>
    <x v="2"/>
    <x v="1"/>
    <x v="0"/>
    <s v="Marketing"/>
    <n v="8.8000000000000007"/>
    <n v="76"/>
    <x v="0"/>
    <x v="2"/>
  </r>
  <r>
    <s v="E202602035"/>
    <x v="2"/>
    <x v="1"/>
    <x v="0"/>
    <s v="Marketing"/>
    <n v="8.8000000000000007"/>
    <n v="62"/>
    <x v="0"/>
    <x v="0"/>
  </r>
  <r>
    <s v="E202602056"/>
    <x v="2"/>
    <x v="1"/>
    <x v="0"/>
    <s v="Estatistica"/>
    <n v="8.8000000000000007"/>
    <n v="99.1"/>
    <x v="0"/>
    <x v="2"/>
  </r>
  <r>
    <s v="E202603048"/>
    <x v="2"/>
    <x v="1"/>
    <x v="2"/>
    <s v="Redes"/>
    <n v="8.8000000000000007"/>
    <n v="77.900000000000006"/>
    <x v="0"/>
    <x v="2"/>
  </r>
  <r>
    <s v="E202402009"/>
    <x v="0"/>
    <x v="0"/>
    <x v="0"/>
    <s v="Contabilidade"/>
    <n v="8.9"/>
    <n v="58.3"/>
    <x v="0"/>
    <x v="0"/>
  </r>
  <r>
    <s v="E202402029"/>
    <x v="0"/>
    <x v="0"/>
    <x v="0"/>
    <s v="Contabilidade"/>
    <n v="8.9"/>
    <n v="79.2"/>
    <x v="0"/>
    <x v="2"/>
  </r>
  <r>
    <s v="E202402037"/>
    <x v="0"/>
    <x v="0"/>
    <x v="0"/>
    <s v="Estatistica"/>
    <n v="8.9"/>
    <n v="68.2"/>
    <x v="0"/>
    <x v="0"/>
  </r>
  <r>
    <s v="E202402040"/>
    <x v="0"/>
    <x v="0"/>
    <x v="0"/>
    <s v="Estatistica"/>
    <n v="8.9"/>
    <n v="76"/>
    <x v="0"/>
    <x v="2"/>
  </r>
  <r>
    <s v="E202403015"/>
    <x v="0"/>
    <x v="0"/>
    <x v="2"/>
    <s v="Programacao"/>
    <n v="8.9"/>
    <n v="60.2"/>
    <x v="0"/>
    <x v="0"/>
  </r>
  <r>
    <s v="E202403018"/>
    <x v="0"/>
    <x v="0"/>
    <x v="2"/>
    <s v="Redes"/>
    <n v="8.9"/>
    <n v="85.7"/>
    <x v="0"/>
    <x v="2"/>
  </r>
  <r>
    <s v="E202403031"/>
    <x v="0"/>
    <x v="0"/>
    <x v="2"/>
    <s v="Bases de Dados"/>
    <n v="8.9"/>
    <n v="81.400000000000006"/>
    <x v="0"/>
    <x v="2"/>
  </r>
  <r>
    <s v="E202403040"/>
    <x v="0"/>
    <x v="0"/>
    <x v="2"/>
    <s v="Bases de Dados"/>
    <n v="8.9"/>
    <n v="78.3"/>
    <x v="0"/>
    <x v="2"/>
  </r>
  <r>
    <s v="E202401055"/>
    <x v="0"/>
    <x v="1"/>
    <x v="1"/>
    <s v="Redes"/>
    <n v="8.9"/>
    <n v="63.5"/>
    <x v="0"/>
    <x v="0"/>
  </r>
  <r>
    <s v="E202402029"/>
    <x v="0"/>
    <x v="1"/>
    <x v="0"/>
    <s v="Contabilidade"/>
    <n v="8.9"/>
    <n v="64.5"/>
    <x v="0"/>
    <x v="0"/>
  </r>
  <r>
    <s v="E202502015"/>
    <x v="1"/>
    <x v="0"/>
    <x v="0"/>
    <s v="Estatistica"/>
    <n v="8.9"/>
    <n v="55.6"/>
    <x v="0"/>
    <x v="0"/>
  </r>
  <r>
    <s v="E202502056"/>
    <x v="1"/>
    <x v="0"/>
    <x v="0"/>
    <s v="Marketing"/>
    <n v="8.9"/>
    <n v="84.9"/>
    <x v="0"/>
    <x v="2"/>
  </r>
  <r>
    <s v="E202503010"/>
    <x v="1"/>
    <x v="0"/>
    <x v="2"/>
    <s v="Redes"/>
    <n v="8.9"/>
    <n v="74.099999999999994"/>
    <x v="0"/>
    <x v="0"/>
  </r>
  <r>
    <s v="E202503022"/>
    <x v="1"/>
    <x v="0"/>
    <x v="2"/>
    <s v="Programacao"/>
    <n v="8.9"/>
    <n v="75.7"/>
    <x v="0"/>
    <x v="2"/>
  </r>
  <r>
    <s v="E202501002"/>
    <x v="1"/>
    <x v="1"/>
    <x v="1"/>
    <s v="Matematica"/>
    <n v="8.9"/>
    <n v="60.5"/>
    <x v="0"/>
    <x v="0"/>
  </r>
  <r>
    <s v="E202502022"/>
    <x v="1"/>
    <x v="1"/>
    <x v="0"/>
    <s v="Marketing"/>
    <n v="8.9"/>
    <n v="83.9"/>
    <x v="0"/>
    <x v="2"/>
  </r>
  <r>
    <s v="E202502048"/>
    <x v="1"/>
    <x v="1"/>
    <x v="0"/>
    <s v="Contabilidade"/>
    <n v="8.9"/>
    <n v="67.7"/>
    <x v="0"/>
    <x v="0"/>
  </r>
  <r>
    <s v="E202503040"/>
    <x v="1"/>
    <x v="1"/>
    <x v="2"/>
    <s v="Bases de Dados"/>
    <n v="8.9"/>
    <n v="60.9"/>
    <x v="0"/>
    <x v="0"/>
  </r>
  <r>
    <s v="E202503053"/>
    <x v="1"/>
    <x v="1"/>
    <x v="2"/>
    <s v="Redes"/>
    <n v="8.9"/>
    <n v="76.3"/>
    <x v="0"/>
    <x v="2"/>
  </r>
  <r>
    <s v="E202503057"/>
    <x v="1"/>
    <x v="1"/>
    <x v="2"/>
    <s v="Redes"/>
    <n v="8.9"/>
    <n v="66.8"/>
    <x v="0"/>
    <x v="0"/>
  </r>
  <r>
    <s v="E202601015"/>
    <x v="2"/>
    <x v="0"/>
    <x v="1"/>
    <s v="Sinais"/>
    <n v="8.9"/>
    <n v="45.4"/>
    <x v="0"/>
    <x v="1"/>
  </r>
  <r>
    <s v="E202601055"/>
    <x v="2"/>
    <x v="0"/>
    <x v="1"/>
    <s v="Matematica"/>
    <n v="8.9"/>
    <n v="69.2"/>
    <x v="0"/>
    <x v="0"/>
  </r>
  <r>
    <s v="E202601057"/>
    <x v="2"/>
    <x v="0"/>
    <x v="1"/>
    <s v="Matematica"/>
    <n v="8.9"/>
    <n v="51"/>
    <x v="0"/>
    <x v="0"/>
  </r>
  <r>
    <s v="E202601059"/>
    <x v="2"/>
    <x v="0"/>
    <x v="1"/>
    <s v="Redes"/>
    <n v="8.9"/>
    <n v="64.3"/>
    <x v="0"/>
    <x v="0"/>
  </r>
  <r>
    <s v="E202602044"/>
    <x v="2"/>
    <x v="0"/>
    <x v="0"/>
    <s v="Contabilidade"/>
    <n v="8.9"/>
    <n v="63.3"/>
    <x v="0"/>
    <x v="0"/>
  </r>
  <r>
    <s v="E202603036"/>
    <x v="2"/>
    <x v="0"/>
    <x v="2"/>
    <s v="Bases de Dados"/>
    <n v="8.9"/>
    <n v="79.7"/>
    <x v="0"/>
    <x v="2"/>
  </r>
  <r>
    <s v="E202603046"/>
    <x v="2"/>
    <x v="0"/>
    <x v="2"/>
    <s v="Redes"/>
    <n v="8.9"/>
    <n v="74.099999999999994"/>
    <x v="0"/>
    <x v="0"/>
  </r>
  <r>
    <s v="E202601005"/>
    <x v="2"/>
    <x v="1"/>
    <x v="1"/>
    <s v="Sinais"/>
    <n v="8.9"/>
    <n v="84.6"/>
    <x v="0"/>
    <x v="2"/>
  </r>
  <r>
    <s v="E202601016"/>
    <x v="2"/>
    <x v="1"/>
    <x v="1"/>
    <s v="Redes"/>
    <n v="8.9"/>
    <n v="60.1"/>
    <x v="0"/>
    <x v="0"/>
  </r>
  <r>
    <s v="E202601028"/>
    <x v="2"/>
    <x v="1"/>
    <x v="1"/>
    <s v="Matematica"/>
    <n v="8.9"/>
    <n v="69.099999999999994"/>
    <x v="0"/>
    <x v="0"/>
  </r>
  <r>
    <s v="E202601033"/>
    <x v="2"/>
    <x v="1"/>
    <x v="1"/>
    <s v="Sinais"/>
    <n v="8.9"/>
    <n v="58.2"/>
    <x v="0"/>
    <x v="0"/>
  </r>
  <r>
    <s v="E202601043"/>
    <x v="2"/>
    <x v="1"/>
    <x v="1"/>
    <s v="Sinais"/>
    <n v="8.9"/>
    <n v="62"/>
    <x v="0"/>
    <x v="0"/>
  </r>
  <r>
    <s v="E202601050"/>
    <x v="2"/>
    <x v="1"/>
    <x v="1"/>
    <s v="Matematica"/>
    <n v="8.9"/>
    <n v="50.4"/>
    <x v="0"/>
    <x v="0"/>
  </r>
  <r>
    <s v="E202602016"/>
    <x v="2"/>
    <x v="1"/>
    <x v="0"/>
    <s v="Contabilidade"/>
    <n v="8.9"/>
    <n v="76"/>
    <x v="0"/>
    <x v="2"/>
  </r>
  <r>
    <s v="E202602042"/>
    <x v="2"/>
    <x v="1"/>
    <x v="0"/>
    <s v="Marketing"/>
    <n v="8.9"/>
    <n v="52.3"/>
    <x v="0"/>
    <x v="0"/>
  </r>
  <r>
    <s v="E202603035"/>
    <x v="2"/>
    <x v="1"/>
    <x v="2"/>
    <s v="Redes"/>
    <n v="8.9"/>
    <n v="99.7"/>
    <x v="0"/>
    <x v="2"/>
  </r>
  <r>
    <s v="E202401012"/>
    <x v="0"/>
    <x v="0"/>
    <x v="1"/>
    <s v="Redes"/>
    <n v="9"/>
    <n v="92.8"/>
    <x v="0"/>
    <x v="2"/>
  </r>
  <r>
    <s v="E202401044"/>
    <x v="0"/>
    <x v="0"/>
    <x v="1"/>
    <s v="Sinais"/>
    <n v="9"/>
    <n v="59.5"/>
    <x v="0"/>
    <x v="0"/>
  </r>
  <r>
    <s v="E202401054"/>
    <x v="0"/>
    <x v="0"/>
    <x v="1"/>
    <s v="Redes"/>
    <n v="9"/>
    <n v="62.1"/>
    <x v="0"/>
    <x v="0"/>
  </r>
  <r>
    <s v="E202402033"/>
    <x v="0"/>
    <x v="0"/>
    <x v="0"/>
    <s v="Marketing"/>
    <n v="9"/>
    <n v="47.4"/>
    <x v="0"/>
    <x v="1"/>
  </r>
  <r>
    <s v="E202403002"/>
    <x v="0"/>
    <x v="0"/>
    <x v="2"/>
    <s v="Bases de Dados"/>
    <n v="9"/>
    <n v="53.9"/>
    <x v="0"/>
    <x v="0"/>
  </r>
  <r>
    <s v="E202401013"/>
    <x v="0"/>
    <x v="1"/>
    <x v="1"/>
    <s v="Matematica"/>
    <n v="9"/>
    <n v="90.4"/>
    <x v="0"/>
    <x v="2"/>
  </r>
  <r>
    <s v="E202401014"/>
    <x v="0"/>
    <x v="1"/>
    <x v="1"/>
    <s v="Matematica"/>
    <n v="9"/>
    <n v="85.9"/>
    <x v="0"/>
    <x v="2"/>
  </r>
  <r>
    <s v="E202401034"/>
    <x v="0"/>
    <x v="1"/>
    <x v="1"/>
    <s v="Redes"/>
    <n v="9"/>
    <n v="65.900000000000006"/>
    <x v="0"/>
    <x v="0"/>
  </r>
  <r>
    <s v="E202402004"/>
    <x v="0"/>
    <x v="1"/>
    <x v="0"/>
    <s v="Marketing"/>
    <n v="9"/>
    <n v="54"/>
    <x v="0"/>
    <x v="0"/>
  </r>
  <r>
    <s v="E202402060"/>
    <x v="0"/>
    <x v="1"/>
    <x v="0"/>
    <s v="Marketing"/>
    <n v="9"/>
    <n v="57.2"/>
    <x v="0"/>
    <x v="0"/>
  </r>
  <r>
    <s v="E202403043"/>
    <x v="0"/>
    <x v="1"/>
    <x v="2"/>
    <s v="Bases de Dados"/>
    <n v="9"/>
    <n v="61.7"/>
    <x v="0"/>
    <x v="0"/>
  </r>
  <r>
    <s v="E202403056"/>
    <x v="0"/>
    <x v="1"/>
    <x v="2"/>
    <s v="Redes"/>
    <n v="9"/>
    <n v="69.400000000000006"/>
    <x v="0"/>
    <x v="0"/>
  </r>
  <r>
    <s v="E202501039"/>
    <x v="1"/>
    <x v="0"/>
    <x v="1"/>
    <s v="Matematica"/>
    <n v="9"/>
    <n v="62"/>
    <x v="0"/>
    <x v="0"/>
  </r>
  <r>
    <s v="E202501047"/>
    <x v="1"/>
    <x v="0"/>
    <x v="1"/>
    <s v="Redes"/>
    <n v="9"/>
    <n v="61.2"/>
    <x v="0"/>
    <x v="0"/>
  </r>
  <r>
    <s v="E202502015"/>
    <x v="1"/>
    <x v="0"/>
    <x v="0"/>
    <s v="Contabilidade"/>
    <n v="9"/>
    <n v="83.7"/>
    <x v="0"/>
    <x v="2"/>
  </r>
  <r>
    <s v="E202502015"/>
    <x v="1"/>
    <x v="0"/>
    <x v="0"/>
    <s v="Marketing"/>
    <n v="9"/>
    <n v="45.2"/>
    <x v="0"/>
    <x v="1"/>
  </r>
  <r>
    <s v="E202502016"/>
    <x v="1"/>
    <x v="0"/>
    <x v="0"/>
    <s v="Estatistica"/>
    <n v="9"/>
    <n v="63.5"/>
    <x v="0"/>
    <x v="0"/>
  </r>
  <r>
    <s v="E202502048"/>
    <x v="1"/>
    <x v="0"/>
    <x v="0"/>
    <s v="Estatistica"/>
    <n v="9"/>
    <n v="45.4"/>
    <x v="0"/>
    <x v="1"/>
  </r>
  <r>
    <s v="E202503014"/>
    <x v="1"/>
    <x v="0"/>
    <x v="2"/>
    <s v="Redes"/>
    <n v="9"/>
    <n v="45.9"/>
    <x v="0"/>
    <x v="1"/>
  </r>
  <r>
    <s v="E202503050"/>
    <x v="1"/>
    <x v="0"/>
    <x v="2"/>
    <s v="Bases de Dados"/>
    <n v="9"/>
    <n v="69"/>
    <x v="0"/>
    <x v="0"/>
  </r>
  <r>
    <s v="E202501002"/>
    <x v="1"/>
    <x v="1"/>
    <x v="1"/>
    <s v="Redes"/>
    <n v="9"/>
    <n v="68.900000000000006"/>
    <x v="0"/>
    <x v="0"/>
  </r>
  <r>
    <s v="E202502014"/>
    <x v="1"/>
    <x v="1"/>
    <x v="0"/>
    <s v="Marketing"/>
    <n v="9"/>
    <n v="57.9"/>
    <x v="0"/>
    <x v="0"/>
  </r>
  <r>
    <s v="E202601008"/>
    <x v="2"/>
    <x v="0"/>
    <x v="1"/>
    <s v="Matematica"/>
    <n v="9"/>
    <n v="51"/>
    <x v="0"/>
    <x v="0"/>
  </r>
  <r>
    <s v="E202601034"/>
    <x v="2"/>
    <x v="0"/>
    <x v="1"/>
    <s v="Matematica"/>
    <n v="9"/>
    <n v="70"/>
    <x v="0"/>
    <x v="0"/>
  </r>
  <r>
    <s v="E202602004"/>
    <x v="2"/>
    <x v="0"/>
    <x v="0"/>
    <s v="Estatistica"/>
    <n v="9"/>
    <n v="96.6"/>
    <x v="0"/>
    <x v="2"/>
  </r>
  <r>
    <s v="E202602023"/>
    <x v="2"/>
    <x v="0"/>
    <x v="0"/>
    <s v="Marketing"/>
    <n v="9"/>
    <n v="82.6"/>
    <x v="0"/>
    <x v="2"/>
  </r>
  <r>
    <s v="E202602057"/>
    <x v="2"/>
    <x v="0"/>
    <x v="0"/>
    <s v="Contabilidade"/>
    <n v="9"/>
    <n v="99.5"/>
    <x v="0"/>
    <x v="2"/>
  </r>
  <r>
    <s v="E202603006"/>
    <x v="2"/>
    <x v="0"/>
    <x v="2"/>
    <s v="Programacao"/>
    <n v="9"/>
    <n v="58"/>
    <x v="0"/>
    <x v="0"/>
  </r>
  <r>
    <s v="E202601027"/>
    <x v="2"/>
    <x v="1"/>
    <x v="1"/>
    <s v="Sinais"/>
    <n v="9"/>
    <n v="91.8"/>
    <x v="0"/>
    <x v="2"/>
  </r>
  <r>
    <s v="E202603006"/>
    <x v="2"/>
    <x v="1"/>
    <x v="2"/>
    <s v="Redes"/>
    <n v="9"/>
    <n v="56.4"/>
    <x v="0"/>
    <x v="0"/>
  </r>
  <r>
    <s v="E202603026"/>
    <x v="2"/>
    <x v="1"/>
    <x v="2"/>
    <s v="Bases de Dados"/>
    <n v="9"/>
    <n v="50.8"/>
    <x v="0"/>
    <x v="0"/>
  </r>
  <r>
    <s v="E202401001"/>
    <x v="0"/>
    <x v="0"/>
    <x v="1"/>
    <s v="Sinais"/>
    <n v="9.1"/>
    <n v="73.099999999999994"/>
    <x v="0"/>
    <x v="0"/>
  </r>
  <r>
    <s v="E202403006"/>
    <x v="0"/>
    <x v="0"/>
    <x v="2"/>
    <s v="Redes"/>
    <n v="9.1"/>
    <n v="48.1"/>
    <x v="0"/>
    <x v="1"/>
  </r>
  <r>
    <s v="E202403029"/>
    <x v="0"/>
    <x v="0"/>
    <x v="2"/>
    <s v="Redes"/>
    <n v="9.1"/>
    <n v="63.5"/>
    <x v="0"/>
    <x v="0"/>
  </r>
  <r>
    <s v="E202402003"/>
    <x v="0"/>
    <x v="1"/>
    <x v="0"/>
    <s v="Contabilidade"/>
    <n v="9.1"/>
    <n v="59.2"/>
    <x v="0"/>
    <x v="0"/>
  </r>
  <r>
    <s v="E202402027"/>
    <x v="0"/>
    <x v="1"/>
    <x v="0"/>
    <s v="Marketing"/>
    <n v="9.1"/>
    <n v="88.9"/>
    <x v="0"/>
    <x v="2"/>
  </r>
  <r>
    <s v="E202403033"/>
    <x v="0"/>
    <x v="1"/>
    <x v="2"/>
    <s v="Redes"/>
    <n v="9.1"/>
    <n v="81.8"/>
    <x v="0"/>
    <x v="2"/>
  </r>
  <r>
    <s v="E202501045"/>
    <x v="1"/>
    <x v="0"/>
    <x v="1"/>
    <s v="Redes"/>
    <n v="9.1"/>
    <n v="51.2"/>
    <x v="0"/>
    <x v="0"/>
  </r>
  <r>
    <s v="E202502028"/>
    <x v="1"/>
    <x v="0"/>
    <x v="0"/>
    <s v="Marketing"/>
    <n v="9.1"/>
    <n v="59.8"/>
    <x v="0"/>
    <x v="0"/>
  </r>
  <r>
    <s v="E202502051"/>
    <x v="1"/>
    <x v="0"/>
    <x v="0"/>
    <s v="Marketing"/>
    <n v="9.1"/>
    <n v="55"/>
    <x v="0"/>
    <x v="0"/>
  </r>
  <r>
    <s v="E202503017"/>
    <x v="1"/>
    <x v="0"/>
    <x v="2"/>
    <s v="Bases de Dados"/>
    <n v="9.1"/>
    <n v="92.6"/>
    <x v="0"/>
    <x v="2"/>
  </r>
  <r>
    <s v="E202501024"/>
    <x v="1"/>
    <x v="1"/>
    <x v="1"/>
    <s v="Redes"/>
    <n v="9.1"/>
    <n v="49.6"/>
    <x v="0"/>
    <x v="1"/>
  </r>
  <r>
    <s v="E202501024"/>
    <x v="1"/>
    <x v="1"/>
    <x v="1"/>
    <s v="Matematica"/>
    <n v="9.1"/>
    <n v="72.2"/>
    <x v="0"/>
    <x v="0"/>
  </r>
  <r>
    <s v="E202501046"/>
    <x v="1"/>
    <x v="1"/>
    <x v="1"/>
    <s v="Matematica"/>
    <n v="9.1"/>
    <n v="61.8"/>
    <x v="0"/>
    <x v="0"/>
  </r>
  <r>
    <s v="E202501048"/>
    <x v="1"/>
    <x v="1"/>
    <x v="1"/>
    <s v="Redes"/>
    <n v="9.1"/>
    <n v="75.900000000000006"/>
    <x v="0"/>
    <x v="2"/>
  </r>
  <r>
    <s v="E202502002"/>
    <x v="1"/>
    <x v="1"/>
    <x v="0"/>
    <s v="Contabilidade"/>
    <n v="9.1"/>
    <n v="57.4"/>
    <x v="0"/>
    <x v="0"/>
  </r>
  <r>
    <s v="E202603029"/>
    <x v="2"/>
    <x v="0"/>
    <x v="2"/>
    <s v="Redes"/>
    <n v="9.1"/>
    <n v="58.7"/>
    <x v="0"/>
    <x v="0"/>
  </r>
  <r>
    <s v="E202601016"/>
    <x v="2"/>
    <x v="1"/>
    <x v="1"/>
    <s v="Matematica"/>
    <n v="9.1"/>
    <n v="48.3"/>
    <x v="0"/>
    <x v="1"/>
  </r>
  <r>
    <s v="E202601017"/>
    <x v="2"/>
    <x v="1"/>
    <x v="1"/>
    <s v="Redes"/>
    <n v="9.1"/>
    <n v="58.8"/>
    <x v="0"/>
    <x v="0"/>
  </r>
  <r>
    <s v="E202601038"/>
    <x v="2"/>
    <x v="1"/>
    <x v="1"/>
    <s v="Sinais"/>
    <n v="9.1"/>
    <n v="81"/>
    <x v="0"/>
    <x v="2"/>
  </r>
  <r>
    <s v="E202601059"/>
    <x v="2"/>
    <x v="1"/>
    <x v="1"/>
    <s v="Matematica"/>
    <n v="9.1"/>
    <n v="69.8"/>
    <x v="0"/>
    <x v="0"/>
  </r>
  <r>
    <s v="E202602032"/>
    <x v="2"/>
    <x v="1"/>
    <x v="0"/>
    <s v="Contabilidade"/>
    <n v="9.1"/>
    <n v="71.2"/>
    <x v="0"/>
    <x v="0"/>
  </r>
  <r>
    <s v="E202602034"/>
    <x v="2"/>
    <x v="1"/>
    <x v="0"/>
    <s v="Marketing"/>
    <n v="9.1"/>
    <n v="67.5"/>
    <x v="0"/>
    <x v="0"/>
  </r>
  <r>
    <s v="E202603028"/>
    <x v="2"/>
    <x v="1"/>
    <x v="2"/>
    <s v="Bases de Dados"/>
    <n v="9.1"/>
    <n v="46.8"/>
    <x v="0"/>
    <x v="1"/>
  </r>
  <r>
    <s v="E202401014"/>
    <x v="0"/>
    <x v="0"/>
    <x v="1"/>
    <s v="Matematica"/>
    <n v="9.1999999999999993"/>
    <n v="46.5"/>
    <x v="0"/>
    <x v="1"/>
  </r>
  <r>
    <s v="E202402022"/>
    <x v="0"/>
    <x v="0"/>
    <x v="0"/>
    <s v="Contabilidade"/>
    <n v="9.1999999999999993"/>
    <n v="56"/>
    <x v="0"/>
    <x v="0"/>
  </r>
  <r>
    <s v="E202402038"/>
    <x v="0"/>
    <x v="0"/>
    <x v="0"/>
    <s v="Estatistica"/>
    <n v="9.1999999999999993"/>
    <n v="81"/>
    <x v="0"/>
    <x v="2"/>
  </r>
  <r>
    <s v="E202402056"/>
    <x v="0"/>
    <x v="0"/>
    <x v="0"/>
    <s v="Marketing"/>
    <n v="9.1999999999999993"/>
    <n v="72"/>
    <x v="0"/>
    <x v="0"/>
  </r>
  <r>
    <s v="E202403002"/>
    <x v="0"/>
    <x v="0"/>
    <x v="2"/>
    <s v="Programacao"/>
    <n v="9.1999999999999993"/>
    <n v="61.4"/>
    <x v="0"/>
    <x v="0"/>
  </r>
  <r>
    <s v="E202501028"/>
    <x v="1"/>
    <x v="0"/>
    <x v="1"/>
    <s v="Matematica"/>
    <n v="9.1999999999999993"/>
    <n v="62"/>
    <x v="0"/>
    <x v="0"/>
  </r>
  <r>
    <s v="E202502041"/>
    <x v="1"/>
    <x v="0"/>
    <x v="0"/>
    <s v="Estatistica"/>
    <n v="9.1999999999999993"/>
    <n v="49.6"/>
    <x v="0"/>
    <x v="1"/>
  </r>
  <r>
    <s v="E202503002"/>
    <x v="1"/>
    <x v="0"/>
    <x v="2"/>
    <s v="Redes"/>
    <n v="9.1999999999999993"/>
    <n v="59.6"/>
    <x v="0"/>
    <x v="0"/>
  </r>
  <r>
    <s v="E202503020"/>
    <x v="1"/>
    <x v="0"/>
    <x v="2"/>
    <s v="Bases de Dados"/>
    <n v="9.1999999999999993"/>
    <n v="96.7"/>
    <x v="0"/>
    <x v="2"/>
  </r>
  <r>
    <s v="E202501042"/>
    <x v="1"/>
    <x v="1"/>
    <x v="1"/>
    <s v="Sinais"/>
    <n v="9.1999999999999993"/>
    <n v="55.5"/>
    <x v="0"/>
    <x v="0"/>
  </r>
  <r>
    <s v="E202501044"/>
    <x v="1"/>
    <x v="1"/>
    <x v="1"/>
    <s v="Matematica"/>
    <n v="9.1999999999999993"/>
    <n v="61.1"/>
    <x v="0"/>
    <x v="0"/>
  </r>
  <r>
    <s v="E202501060"/>
    <x v="1"/>
    <x v="1"/>
    <x v="1"/>
    <s v="Sinais"/>
    <n v="9.1999999999999993"/>
    <n v="63.1"/>
    <x v="0"/>
    <x v="0"/>
  </r>
  <r>
    <s v="E202502013"/>
    <x v="1"/>
    <x v="1"/>
    <x v="0"/>
    <s v="Contabilidade"/>
    <n v="9.1999999999999993"/>
    <n v="88.1"/>
    <x v="0"/>
    <x v="2"/>
  </r>
  <r>
    <s v="E202601006"/>
    <x v="2"/>
    <x v="0"/>
    <x v="1"/>
    <s v="Matematica"/>
    <n v="9.1999999999999993"/>
    <n v="90.2"/>
    <x v="0"/>
    <x v="2"/>
  </r>
  <r>
    <s v="E202601037"/>
    <x v="2"/>
    <x v="0"/>
    <x v="1"/>
    <s v="Sinais"/>
    <n v="9.1999999999999993"/>
    <n v="59.7"/>
    <x v="0"/>
    <x v="0"/>
  </r>
  <r>
    <s v="E202601045"/>
    <x v="2"/>
    <x v="0"/>
    <x v="1"/>
    <s v="Matematica"/>
    <n v="9.1999999999999993"/>
    <n v="57.2"/>
    <x v="0"/>
    <x v="0"/>
  </r>
  <r>
    <s v="E202602016"/>
    <x v="2"/>
    <x v="0"/>
    <x v="0"/>
    <s v="Contabilidade"/>
    <n v="9.1999999999999993"/>
    <n v="66.5"/>
    <x v="0"/>
    <x v="0"/>
  </r>
  <r>
    <s v="E202602028"/>
    <x v="2"/>
    <x v="0"/>
    <x v="0"/>
    <s v="Contabilidade"/>
    <n v="9.1999999999999993"/>
    <n v="87.1"/>
    <x v="0"/>
    <x v="2"/>
  </r>
  <r>
    <s v="E202602004"/>
    <x v="2"/>
    <x v="1"/>
    <x v="0"/>
    <s v="Estatistica"/>
    <n v="9.1999999999999993"/>
    <n v="66.599999999999994"/>
    <x v="0"/>
    <x v="0"/>
  </r>
  <r>
    <s v="E202603030"/>
    <x v="2"/>
    <x v="1"/>
    <x v="2"/>
    <s v="Programacao"/>
    <n v="9.1999999999999993"/>
    <n v="89"/>
    <x v="0"/>
    <x v="2"/>
  </r>
  <r>
    <s v="E202401041"/>
    <x v="0"/>
    <x v="0"/>
    <x v="1"/>
    <s v="Matematica"/>
    <n v="9.3000000000000007"/>
    <n v="54"/>
    <x v="0"/>
    <x v="0"/>
  </r>
  <r>
    <s v="E202401059"/>
    <x v="0"/>
    <x v="0"/>
    <x v="1"/>
    <s v="Redes"/>
    <n v="9.3000000000000007"/>
    <n v="84.4"/>
    <x v="0"/>
    <x v="2"/>
  </r>
  <r>
    <s v="E202402016"/>
    <x v="0"/>
    <x v="0"/>
    <x v="0"/>
    <s v="Marketing"/>
    <n v="9.3000000000000007"/>
    <n v="74.5"/>
    <x v="0"/>
    <x v="0"/>
  </r>
  <r>
    <s v="E202402029"/>
    <x v="0"/>
    <x v="0"/>
    <x v="0"/>
    <s v="Marketing"/>
    <n v="9.3000000000000007"/>
    <n v="67"/>
    <x v="0"/>
    <x v="0"/>
  </r>
  <r>
    <s v="E202403014"/>
    <x v="0"/>
    <x v="0"/>
    <x v="2"/>
    <s v="Bases de Dados"/>
    <n v="9.3000000000000007"/>
    <n v="48.9"/>
    <x v="0"/>
    <x v="1"/>
  </r>
  <r>
    <s v="E202403030"/>
    <x v="0"/>
    <x v="0"/>
    <x v="2"/>
    <s v="Programacao"/>
    <n v="9.3000000000000007"/>
    <n v="70.400000000000006"/>
    <x v="0"/>
    <x v="0"/>
  </r>
  <r>
    <s v="E202403035"/>
    <x v="0"/>
    <x v="0"/>
    <x v="2"/>
    <s v="Programacao"/>
    <n v="9.3000000000000007"/>
    <n v="92.7"/>
    <x v="0"/>
    <x v="2"/>
  </r>
  <r>
    <s v="E202402032"/>
    <x v="0"/>
    <x v="1"/>
    <x v="0"/>
    <s v="Contabilidade"/>
    <n v="9.3000000000000007"/>
    <n v="66.8"/>
    <x v="0"/>
    <x v="0"/>
  </r>
  <r>
    <s v="E202403023"/>
    <x v="0"/>
    <x v="1"/>
    <x v="2"/>
    <s v="Bases de Dados"/>
    <n v="9.3000000000000007"/>
    <n v="60.6"/>
    <x v="0"/>
    <x v="0"/>
  </r>
  <r>
    <s v="E202403034"/>
    <x v="0"/>
    <x v="1"/>
    <x v="2"/>
    <s v="Bases de Dados"/>
    <n v="9.3000000000000007"/>
    <n v="87.4"/>
    <x v="0"/>
    <x v="2"/>
  </r>
  <r>
    <s v="E202403040"/>
    <x v="0"/>
    <x v="1"/>
    <x v="2"/>
    <s v="Redes"/>
    <n v="9.3000000000000007"/>
    <n v="65"/>
    <x v="0"/>
    <x v="0"/>
  </r>
  <r>
    <s v="E202403049"/>
    <x v="0"/>
    <x v="1"/>
    <x v="2"/>
    <s v="Programacao"/>
    <n v="9.3000000000000007"/>
    <n v="45.6"/>
    <x v="0"/>
    <x v="1"/>
  </r>
  <r>
    <s v="E202501050"/>
    <x v="1"/>
    <x v="0"/>
    <x v="1"/>
    <s v="Redes"/>
    <n v="9.3000000000000007"/>
    <n v="80.400000000000006"/>
    <x v="0"/>
    <x v="2"/>
  </r>
  <r>
    <s v="E202502012"/>
    <x v="1"/>
    <x v="0"/>
    <x v="0"/>
    <s v="Estatistica"/>
    <n v="9.3000000000000007"/>
    <n v="66.7"/>
    <x v="0"/>
    <x v="0"/>
  </r>
  <r>
    <s v="E202502047"/>
    <x v="1"/>
    <x v="0"/>
    <x v="0"/>
    <s v="Marketing"/>
    <n v="9.3000000000000007"/>
    <n v="70.099999999999994"/>
    <x v="0"/>
    <x v="0"/>
  </r>
  <r>
    <s v="E202503012"/>
    <x v="1"/>
    <x v="0"/>
    <x v="2"/>
    <s v="Bases de Dados"/>
    <n v="9.3000000000000007"/>
    <n v="45.8"/>
    <x v="0"/>
    <x v="1"/>
  </r>
  <r>
    <s v="E202503060"/>
    <x v="1"/>
    <x v="0"/>
    <x v="2"/>
    <s v="Redes"/>
    <n v="9.3000000000000007"/>
    <n v="95"/>
    <x v="0"/>
    <x v="2"/>
  </r>
  <r>
    <s v="E202501010"/>
    <x v="1"/>
    <x v="1"/>
    <x v="1"/>
    <s v="Sinais"/>
    <n v="9.3000000000000007"/>
    <n v="54.3"/>
    <x v="0"/>
    <x v="0"/>
  </r>
  <r>
    <s v="E202501024"/>
    <x v="1"/>
    <x v="1"/>
    <x v="1"/>
    <s v="Sinais"/>
    <n v="9.3000000000000007"/>
    <n v="71.900000000000006"/>
    <x v="0"/>
    <x v="0"/>
  </r>
  <r>
    <s v="E202501026"/>
    <x v="1"/>
    <x v="1"/>
    <x v="1"/>
    <s v="Redes"/>
    <n v="9.3000000000000007"/>
    <n v="86.8"/>
    <x v="0"/>
    <x v="2"/>
  </r>
  <r>
    <s v="E202502027"/>
    <x v="1"/>
    <x v="1"/>
    <x v="0"/>
    <s v="Marketing"/>
    <n v="9.3000000000000007"/>
    <n v="92"/>
    <x v="0"/>
    <x v="2"/>
  </r>
  <r>
    <s v="E202503029"/>
    <x v="1"/>
    <x v="1"/>
    <x v="2"/>
    <s v="Programacao"/>
    <n v="9.3000000000000007"/>
    <n v="68.7"/>
    <x v="0"/>
    <x v="0"/>
  </r>
  <r>
    <s v="E202503041"/>
    <x v="1"/>
    <x v="1"/>
    <x v="2"/>
    <s v="Bases de Dados"/>
    <n v="9.3000000000000007"/>
    <n v="84.9"/>
    <x v="0"/>
    <x v="2"/>
  </r>
  <r>
    <s v="E202601045"/>
    <x v="2"/>
    <x v="0"/>
    <x v="1"/>
    <s v="Redes"/>
    <n v="9.3000000000000007"/>
    <n v="57.6"/>
    <x v="0"/>
    <x v="0"/>
  </r>
  <r>
    <s v="E202601058"/>
    <x v="2"/>
    <x v="0"/>
    <x v="1"/>
    <s v="Sinais"/>
    <n v="9.3000000000000007"/>
    <n v="77.2"/>
    <x v="0"/>
    <x v="2"/>
  </r>
  <r>
    <s v="E202602003"/>
    <x v="2"/>
    <x v="0"/>
    <x v="0"/>
    <s v="Marketing"/>
    <n v="9.3000000000000007"/>
    <n v="48.3"/>
    <x v="0"/>
    <x v="1"/>
  </r>
  <r>
    <s v="E202602017"/>
    <x v="2"/>
    <x v="0"/>
    <x v="0"/>
    <s v="Estatistica"/>
    <n v="9.3000000000000007"/>
    <n v="68.7"/>
    <x v="0"/>
    <x v="0"/>
  </r>
  <r>
    <s v="E202602025"/>
    <x v="2"/>
    <x v="0"/>
    <x v="0"/>
    <s v="Marketing"/>
    <n v="9.3000000000000007"/>
    <n v="91.3"/>
    <x v="0"/>
    <x v="2"/>
  </r>
  <r>
    <s v="E202602047"/>
    <x v="2"/>
    <x v="0"/>
    <x v="0"/>
    <s v="Estatistica"/>
    <n v="9.3000000000000007"/>
    <n v="56.2"/>
    <x v="0"/>
    <x v="0"/>
  </r>
  <r>
    <s v="E202603024"/>
    <x v="2"/>
    <x v="0"/>
    <x v="2"/>
    <s v="Bases de Dados"/>
    <n v="9.3000000000000007"/>
    <n v="60.4"/>
    <x v="0"/>
    <x v="0"/>
  </r>
  <r>
    <s v="E202603046"/>
    <x v="2"/>
    <x v="0"/>
    <x v="2"/>
    <s v="Programacao"/>
    <n v="9.3000000000000007"/>
    <n v="48.5"/>
    <x v="0"/>
    <x v="1"/>
  </r>
  <r>
    <s v="E202601030"/>
    <x v="2"/>
    <x v="1"/>
    <x v="1"/>
    <s v="Redes"/>
    <n v="9.3000000000000007"/>
    <n v="75"/>
    <x v="0"/>
    <x v="2"/>
  </r>
  <r>
    <s v="E202602031"/>
    <x v="2"/>
    <x v="1"/>
    <x v="0"/>
    <s v="Estatistica"/>
    <n v="9.3000000000000007"/>
    <n v="49.1"/>
    <x v="0"/>
    <x v="1"/>
  </r>
  <r>
    <s v="E202602032"/>
    <x v="2"/>
    <x v="1"/>
    <x v="0"/>
    <s v="Marketing"/>
    <n v="9.3000000000000007"/>
    <n v="73.5"/>
    <x v="0"/>
    <x v="0"/>
  </r>
  <r>
    <s v="E202602055"/>
    <x v="2"/>
    <x v="1"/>
    <x v="0"/>
    <s v="Estatistica"/>
    <n v="9.3000000000000007"/>
    <n v="76.599999999999994"/>
    <x v="0"/>
    <x v="2"/>
  </r>
  <r>
    <s v="E202602059"/>
    <x v="2"/>
    <x v="1"/>
    <x v="0"/>
    <s v="Estatistica"/>
    <n v="9.3000000000000007"/>
    <n v="93.5"/>
    <x v="0"/>
    <x v="2"/>
  </r>
  <r>
    <s v="E202603019"/>
    <x v="2"/>
    <x v="1"/>
    <x v="2"/>
    <s v="Bases de Dados"/>
    <n v="9.3000000000000007"/>
    <n v="46.2"/>
    <x v="0"/>
    <x v="1"/>
  </r>
  <r>
    <s v="E202603044"/>
    <x v="2"/>
    <x v="1"/>
    <x v="2"/>
    <s v="Bases de Dados"/>
    <n v="9.3000000000000007"/>
    <n v="64.2"/>
    <x v="0"/>
    <x v="0"/>
  </r>
  <r>
    <s v="E202401013"/>
    <x v="0"/>
    <x v="0"/>
    <x v="1"/>
    <s v="Sinais"/>
    <n v="9.4"/>
    <n v="45.5"/>
    <x v="0"/>
    <x v="1"/>
  </r>
  <r>
    <s v="E202401034"/>
    <x v="0"/>
    <x v="0"/>
    <x v="1"/>
    <s v="Matematica"/>
    <n v="9.4"/>
    <n v="48.3"/>
    <x v="0"/>
    <x v="1"/>
  </r>
  <r>
    <s v="E202401037"/>
    <x v="0"/>
    <x v="0"/>
    <x v="1"/>
    <s v="Redes"/>
    <n v="9.4"/>
    <n v="87.5"/>
    <x v="0"/>
    <x v="2"/>
  </r>
  <r>
    <s v="E202402052"/>
    <x v="0"/>
    <x v="0"/>
    <x v="0"/>
    <s v="Estatistica"/>
    <n v="9.4"/>
    <n v="45.3"/>
    <x v="0"/>
    <x v="1"/>
  </r>
  <r>
    <s v="E202401018"/>
    <x v="0"/>
    <x v="1"/>
    <x v="1"/>
    <s v="Redes"/>
    <n v="9.4"/>
    <n v="55"/>
    <x v="0"/>
    <x v="0"/>
  </r>
  <r>
    <s v="E202402005"/>
    <x v="0"/>
    <x v="1"/>
    <x v="0"/>
    <s v="Estatistica"/>
    <n v="9.4"/>
    <n v="67.3"/>
    <x v="0"/>
    <x v="0"/>
  </r>
  <r>
    <s v="E202402010"/>
    <x v="0"/>
    <x v="1"/>
    <x v="0"/>
    <s v="Estatistica"/>
    <n v="9.4"/>
    <n v="66.3"/>
    <x v="0"/>
    <x v="0"/>
  </r>
  <r>
    <s v="E202402020"/>
    <x v="0"/>
    <x v="1"/>
    <x v="0"/>
    <s v="Marketing"/>
    <n v="9.4"/>
    <n v="82.5"/>
    <x v="0"/>
    <x v="2"/>
  </r>
  <r>
    <s v="E202402045"/>
    <x v="0"/>
    <x v="1"/>
    <x v="0"/>
    <s v="Marketing"/>
    <n v="9.4"/>
    <n v="86.1"/>
    <x v="0"/>
    <x v="2"/>
  </r>
  <r>
    <s v="E202402047"/>
    <x v="0"/>
    <x v="1"/>
    <x v="0"/>
    <s v="Estatistica"/>
    <n v="9.4"/>
    <n v="77.400000000000006"/>
    <x v="0"/>
    <x v="2"/>
  </r>
  <r>
    <s v="E202403025"/>
    <x v="0"/>
    <x v="1"/>
    <x v="2"/>
    <s v="Redes"/>
    <n v="9.4"/>
    <n v="48.2"/>
    <x v="0"/>
    <x v="1"/>
  </r>
  <r>
    <s v="E202403028"/>
    <x v="0"/>
    <x v="1"/>
    <x v="2"/>
    <s v="Bases de Dados"/>
    <n v="9.4"/>
    <n v="45.9"/>
    <x v="0"/>
    <x v="1"/>
  </r>
  <r>
    <s v="E202501055"/>
    <x v="1"/>
    <x v="0"/>
    <x v="1"/>
    <s v="Redes"/>
    <n v="9.4"/>
    <n v="69.7"/>
    <x v="0"/>
    <x v="0"/>
  </r>
  <r>
    <s v="E202502005"/>
    <x v="1"/>
    <x v="0"/>
    <x v="0"/>
    <s v="Contabilidade"/>
    <n v="9.4"/>
    <n v="46.2"/>
    <x v="0"/>
    <x v="1"/>
  </r>
  <r>
    <s v="E202502019"/>
    <x v="1"/>
    <x v="0"/>
    <x v="0"/>
    <s v="Marketing"/>
    <n v="9.4"/>
    <n v="97.3"/>
    <x v="0"/>
    <x v="2"/>
  </r>
  <r>
    <s v="E202503017"/>
    <x v="1"/>
    <x v="0"/>
    <x v="2"/>
    <s v="Redes"/>
    <n v="9.4"/>
    <n v="55.4"/>
    <x v="0"/>
    <x v="0"/>
  </r>
  <r>
    <s v="E202503019"/>
    <x v="1"/>
    <x v="0"/>
    <x v="2"/>
    <s v="Programacao"/>
    <n v="9.4"/>
    <n v="46.7"/>
    <x v="0"/>
    <x v="1"/>
  </r>
  <r>
    <s v="E202503032"/>
    <x v="1"/>
    <x v="0"/>
    <x v="2"/>
    <s v="Redes"/>
    <n v="9.4"/>
    <n v="63.8"/>
    <x v="0"/>
    <x v="0"/>
  </r>
  <r>
    <s v="E202503053"/>
    <x v="1"/>
    <x v="0"/>
    <x v="2"/>
    <s v="Redes"/>
    <n v="9.4"/>
    <n v="68.2"/>
    <x v="0"/>
    <x v="0"/>
  </r>
  <r>
    <s v="E202501043"/>
    <x v="1"/>
    <x v="1"/>
    <x v="1"/>
    <s v="Matematica"/>
    <n v="9.4"/>
    <n v="47.3"/>
    <x v="0"/>
    <x v="1"/>
  </r>
  <r>
    <s v="E202501055"/>
    <x v="1"/>
    <x v="1"/>
    <x v="1"/>
    <s v="Matematica"/>
    <n v="9.4"/>
    <n v="61.2"/>
    <x v="0"/>
    <x v="0"/>
  </r>
  <r>
    <s v="E202603003"/>
    <x v="2"/>
    <x v="0"/>
    <x v="2"/>
    <s v="Bases de Dados"/>
    <n v="9.4"/>
    <n v="82.8"/>
    <x v="0"/>
    <x v="2"/>
  </r>
  <r>
    <s v="E202603032"/>
    <x v="2"/>
    <x v="0"/>
    <x v="2"/>
    <s v="Programacao"/>
    <n v="9.4"/>
    <n v="77.599999999999994"/>
    <x v="0"/>
    <x v="2"/>
  </r>
  <r>
    <s v="E202603048"/>
    <x v="2"/>
    <x v="0"/>
    <x v="2"/>
    <s v="Redes"/>
    <n v="9.4"/>
    <n v="62.1"/>
    <x v="0"/>
    <x v="0"/>
  </r>
  <r>
    <s v="E202601020"/>
    <x v="2"/>
    <x v="1"/>
    <x v="1"/>
    <s v="Sinais"/>
    <n v="9.4"/>
    <n v="52.4"/>
    <x v="0"/>
    <x v="0"/>
  </r>
  <r>
    <s v="E202602033"/>
    <x v="2"/>
    <x v="1"/>
    <x v="0"/>
    <s v="Marketing"/>
    <n v="9.4"/>
    <n v="48.7"/>
    <x v="0"/>
    <x v="1"/>
  </r>
  <r>
    <s v="E202602051"/>
    <x v="2"/>
    <x v="1"/>
    <x v="0"/>
    <s v="Contabilidade"/>
    <n v="9.4"/>
    <n v="84.2"/>
    <x v="0"/>
    <x v="2"/>
  </r>
  <r>
    <s v="E202602053"/>
    <x v="2"/>
    <x v="1"/>
    <x v="0"/>
    <s v="Contabilidade"/>
    <n v="9.4"/>
    <n v="53.7"/>
    <x v="0"/>
    <x v="0"/>
  </r>
  <r>
    <s v="E202603022"/>
    <x v="2"/>
    <x v="1"/>
    <x v="2"/>
    <s v="Bases de Dados"/>
    <n v="9.4"/>
    <n v="70.099999999999994"/>
    <x v="0"/>
    <x v="0"/>
  </r>
  <r>
    <s v="E202603048"/>
    <x v="2"/>
    <x v="1"/>
    <x v="2"/>
    <s v="Bases de Dados"/>
    <n v="9.4"/>
    <n v="63.6"/>
    <x v="0"/>
    <x v="0"/>
  </r>
  <r>
    <s v="E202402039"/>
    <x v="0"/>
    <x v="0"/>
    <x v="0"/>
    <s v="Contabilidade"/>
    <n v="9.5"/>
    <n v="90.6"/>
    <x v="0"/>
    <x v="2"/>
  </r>
  <r>
    <s v="E202402044"/>
    <x v="0"/>
    <x v="0"/>
    <x v="0"/>
    <s v="Contabilidade"/>
    <n v="9.5"/>
    <n v="83"/>
    <x v="0"/>
    <x v="2"/>
  </r>
  <r>
    <s v="E202403027"/>
    <x v="0"/>
    <x v="0"/>
    <x v="2"/>
    <s v="Programacao"/>
    <n v="9.5"/>
    <n v="65.099999999999994"/>
    <x v="0"/>
    <x v="0"/>
  </r>
  <r>
    <s v="E202403031"/>
    <x v="0"/>
    <x v="0"/>
    <x v="2"/>
    <s v="Redes"/>
    <n v="9.5"/>
    <n v="69.400000000000006"/>
    <x v="0"/>
    <x v="0"/>
  </r>
  <r>
    <s v="E202403049"/>
    <x v="0"/>
    <x v="0"/>
    <x v="2"/>
    <s v="Programacao"/>
    <n v="9.5"/>
    <n v="72.5"/>
    <x v="0"/>
    <x v="0"/>
  </r>
  <r>
    <s v="E202402022"/>
    <x v="0"/>
    <x v="1"/>
    <x v="0"/>
    <s v="Estatistica"/>
    <n v="9.5"/>
    <n v="91.3"/>
    <x v="0"/>
    <x v="2"/>
  </r>
  <r>
    <s v="E202402032"/>
    <x v="0"/>
    <x v="1"/>
    <x v="0"/>
    <s v="Estatistica"/>
    <n v="9.5"/>
    <n v="48.8"/>
    <x v="0"/>
    <x v="1"/>
  </r>
  <r>
    <s v="E202403035"/>
    <x v="0"/>
    <x v="1"/>
    <x v="2"/>
    <s v="Bases de Dados"/>
    <n v="9.5"/>
    <n v="48.9"/>
    <x v="0"/>
    <x v="1"/>
  </r>
  <r>
    <s v="E202403051"/>
    <x v="0"/>
    <x v="1"/>
    <x v="2"/>
    <s v="Redes"/>
    <n v="9.5"/>
    <n v="69.3"/>
    <x v="0"/>
    <x v="0"/>
  </r>
  <r>
    <s v="E202403060"/>
    <x v="0"/>
    <x v="1"/>
    <x v="2"/>
    <s v="Bases de Dados"/>
    <n v="9.5"/>
    <n v="88.6"/>
    <x v="0"/>
    <x v="2"/>
  </r>
  <r>
    <s v="E202501013"/>
    <x v="1"/>
    <x v="0"/>
    <x v="1"/>
    <s v="Sinais"/>
    <n v="9.5"/>
    <n v="70.7"/>
    <x v="0"/>
    <x v="0"/>
  </r>
  <r>
    <s v="E202501024"/>
    <x v="1"/>
    <x v="0"/>
    <x v="1"/>
    <s v="Redes"/>
    <n v="9.5"/>
    <n v="45.4"/>
    <x v="0"/>
    <x v="1"/>
  </r>
  <r>
    <s v="E202501037"/>
    <x v="1"/>
    <x v="0"/>
    <x v="1"/>
    <s v="Redes"/>
    <n v="9.5"/>
    <n v="64.3"/>
    <x v="0"/>
    <x v="0"/>
  </r>
  <r>
    <s v="E202501044"/>
    <x v="1"/>
    <x v="0"/>
    <x v="1"/>
    <s v="Sinais"/>
    <n v="9.5"/>
    <n v="91.6"/>
    <x v="0"/>
    <x v="2"/>
  </r>
  <r>
    <s v="E202502029"/>
    <x v="1"/>
    <x v="0"/>
    <x v="0"/>
    <s v="Estatistica"/>
    <n v="9.5"/>
    <n v="57.3"/>
    <x v="0"/>
    <x v="0"/>
  </r>
  <r>
    <s v="E202503018"/>
    <x v="1"/>
    <x v="0"/>
    <x v="2"/>
    <s v="Redes"/>
    <n v="9.5"/>
    <n v="57.7"/>
    <x v="0"/>
    <x v="0"/>
  </r>
  <r>
    <s v="E202503034"/>
    <x v="1"/>
    <x v="0"/>
    <x v="2"/>
    <s v="Programacao"/>
    <n v="9.5"/>
    <n v="83.7"/>
    <x v="0"/>
    <x v="2"/>
  </r>
  <r>
    <s v="E202502021"/>
    <x v="1"/>
    <x v="1"/>
    <x v="0"/>
    <s v="Marketing"/>
    <n v="9.5"/>
    <n v="91.7"/>
    <x v="0"/>
    <x v="2"/>
  </r>
  <r>
    <s v="E202503003"/>
    <x v="1"/>
    <x v="1"/>
    <x v="2"/>
    <s v="Redes"/>
    <n v="9.5"/>
    <n v="67.2"/>
    <x v="0"/>
    <x v="0"/>
  </r>
  <r>
    <s v="E202503016"/>
    <x v="1"/>
    <x v="1"/>
    <x v="2"/>
    <s v="Redes"/>
    <n v="9.5"/>
    <n v="64.5"/>
    <x v="0"/>
    <x v="0"/>
  </r>
  <r>
    <s v="E202503036"/>
    <x v="1"/>
    <x v="1"/>
    <x v="2"/>
    <s v="Programacao"/>
    <n v="9.5"/>
    <n v="95.7"/>
    <x v="0"/>
    <x v="2"/>
  </r>
  <r>
    <s v="E202503057"/>
    <x v="1"/>
    <x v="1"/>
    <x v="2"/>
    <s v="Programacao"/>
    <n v="9.5"/>
    <n v="63.5"/>
    <x v="0"/>
    <x v="0"/>
  </r>
  <r>
    <s v="E202601031"/>
    <x v="2"/>
    <x v="0"/>
    <x v="1"/>
    <s v="Sinais"/>
    <n v="9.5"/>
    <n v="66.099999999999994"/>
    <x v="0"/>
    <x v="0"/>
  </r>
  <r>
    <s v="E202602015"/>
    <x v="2"/>
    <x v="0"/>
    <x v="0"/>
    <s v="Contabilidade"/>
    <n v="9.5"/>
    <n v="98"/>
    <x v="0"/>
    <x v="2"/>
  </r>
  <r>
    <s v="E202602022"/>
    <x v="2"/>
    <x v="0"/>
    <x v="0"/>
    <s v="Estatistica"/>
    <n v="9.5"/>
    <n v="83.2"/>
    <x v="0"/>
    <x v="2"/>
  </r>
  <r>
    <s v="E202603055"/>
    <x v="2"/>
    <x v="0"/>
    <x v="2"/>
    <s v="Redes"/>
    <n v="9.5"/>
    <n v="56.3"/>
    <x v="0"/>
    <x v="0"/>
  </r>
  <r>
    <s v="E202601001"/>
    <x v="2"/>
    <x v="1"/>
    <x v="1"/>
    <s v="Matematica"/>
    <n v="9.5"/>
    <n v="88.2"/>
    <x v="0"/>
    <x v="2"/>
  </r>
  <r>
    <s v="E202601009"/>
    <x v="2"/>
    <x v="1"/>
    <x v="1"/>
    <s v="Matematica"/>
    <n v="9.5"/>
    <n v="65.8"/>
    <x v="0"/>
    <x v="0"/>
  </r>
  <r>
    <s v="E202601013"/>
    <x v="2"/>
    <x v="1"/>
    <x v="1"/>
    <s v="Redes"/>
    <n v="9.5"/>
    <n v="52"/>
    <x v="0"/>
    <x v="0"/>
  </r>
  <r>
    <s v="E202601029"/>
    <x v="2"/>
    <x v="1"/>
    <x v="1"/>
    <s v="Matematica"/>
    <n v="9.5"/>
    <n v="45.8"/>
    <x v="0"/>
    <x v="1"/>
  </r>
  <r>
    <s v="E202602052"/>
    <x v="2"/>
    <x v="1"/>
    <x v="0"/>
    <s v="Marketing"/>
    <n v="9.5"/>
    <n v="94.7"/>
    <x v="0"/>
    <x v="2"/>
  </r>
  <r>
    <s v="E202602058"/>
    <x v="2"/>
    <x v="1"/>
    <x v="0"/>
    <s v="Contabilidade"/>
    <n v="9.5"/>
    <n v="87.5"/>
    <x v="0"/>
    <x v="2"/>
  </r>
  <r>
    <s v="E202603006"/>
    <x v="2"/>
    <x v="1"/>
    <x v="2"/>
    <s v="Bases de Dados"/>
    <n v="9.5"/>
    <n v="45.9"/>
    <x v="0"/>
    <x v="1"/>
  </r>
  <r>
    <s v="E202603016"/>
    <x v="2"/>
    <x v="1"/>
    <x v="2"/>
    <s v="Bases de Dados"/>
    <n v="9.5"/>
    <n v="57.5"/>
    <x v="0"/>
    <x v="0"/>
  </r>
  <r>
    <s v="E202603017"/>
    <x v="2"/>
    <x v="1"/>
    <x v="2"/>
    <s v="Redes"/>
    <n v="9.5"/>
    <n v="74.599999999999994"/>
    <x v="0"/>
    <x v="0"/>
  </r>
  <r>
    <s v="E202603033"/>
    <x v="2"/>
    <x v="1"/>
    <x v="2"/>
    <s v="Redes"/>
    <n v="9.5"/>
    <n v="85.2"/>
    <x v="0"/>
    <x v="2"/>
  </r>
  <r>
    <s v="E202402018"/>
    <x v="0"/>
    <x v="0"/>
    <x v="0"/>
    <s v="Marketing"/>
    <n v="9.6"/>
    <n v="71.8"/>
    <x v="0"/>
    <x v="0"/>
  </r>
  <r>
    <s v="E202402057"/>
    <x v="0"/>
    <x v="0"/>
    <x v="0"/>
    <s v="Estatistica"/>
    <n v="9.6"/>
    <n v="45.7"/>
    <x v="0"/>
    <x v="1"/>
  </r>
  <r>
    <s v="E202403055"/>
    <x v="0"/>
    <x v="0"/>
    <x v="2"/>
    <s v="Bases de Dados"/>
    <n v="9.6"/>
    <n v="65.400000000000006"/>
    <x v="0"/>
    <x v="0"/>
  </r>
  <r>
    <s v="E202402017"/>
    <x v="0"/>
    <x v="1"/>
    <x v="0"/>
    <s v="Estatistica"/>
    <n v="9.6"/>
    <n v="75.900000000000006"/>
    <x v="0"/>
    <x v="2"/>
  </r>
  <r>
    <s v="E202403052"/>
    <x v="0"/>
    <x v="1"/>
    <x v="2"/>
    <s v="Redes"/>
    <n v="9.6"/>
    <n v="59.7"/>
    <x v="0"/>
    <x v="0"/>
  </r>
  <r>
    <s v="E202501043"/>
    <x v="1"/>
    <x v="0"/>
    <x v="1"/>
    <s v="Sinais"/>
    <n v="9.6"/>
    <n v="81.099999999999994"/>
    <x v="0"/>
    <x v="2"/>
  </r>
  <r>
    <s v="E202502017"/>
    <x v="1"/>
    <x v="0"/>
    <x v="0"/>
    <s v="Estatistica"/>
    <n v="9.6"/>
    <n v="87.5"/>
    <x v="0"/>
    <x v="2"/>
  </r>
  <r>
    <s v="E202502041"/>
    <x v="1"/>
    <x v="0"/>
    <x v="0"/>
    <s v="Contabilidade"/>
    <n v="9.6"/>
    <n v="68"/>
    <x v="0"/>
    <x v="0"/>
  </r>
  <r>
    <s v="E202502044"/>
    <x v="1"/>
    <x v="0"/>
    <x v="0"/>
    <s v="Contabilidade"/>
    <n v="9.6"/>
    <n v="86.7"/>
    <x v="0"/>
    <x v="2"/>
  </r>
  <r>
    <s v="E202502048"/>
    <x v="1"/>
    <x v="0"/>
    <x v="0"/>
    <s v="Contabilidade"/>
    <n v="9.6"/>
    <n v="92.1"/>
    <x v="0"/>
    <x v="2"/>
  </r>
  <r>
    <s v="E202502050"/>
    <x v="1"/>
    <x v="0"/>
    <x v="0"/>
    <s v="Marketing"/>
    <n v="9.6"/>
    <n v="65.7"/>
    <x v="0"/>
    <x v="0"/>
  </r>
  <r>
    <s v="E202502058"/>
    <x v="1"/>
    <x v="0"/>
    <x v="0"/>
    <s v="Marketing"/>
    <n v="9.6"/>
    <n v="63.9"/>
    <x v="0"/>
    <x v="0"/>
  </r>
  <r>
    <s v="E202503001"/>
    <x v="1"/>
    <x v="0"/>
    <x v="2"/>
    <s v="Redes"/>
    <n v="9.6"/>
    <n v="58.8"/>
    <x v="0"/>
    <x v="0"/>
  </r>
  <r>
    <s v="E202501007"/>
    <x v="1"/>
    <x v="1"/>
    <x v="1"/>
    <s v="Matematica"/>
    <n v="9.6"/>
    <n v="81.5"/>
    <x v="0"/>
    <x v="2"/>
  </r>
  <r>
    <s v="E202502060"/>
    <x v="1"/>
    <x v="1"/>
    <x v="0"/>
    <s v="Marketing"/>
    <n v="9.6"/>
    <n v="76.5"/>
    <x v="0"/>
    <x v="2"/>
  </r>
  <r>
    <s v="E202503003"/>
    <x v="1"/>
    <x v="1"/>
    <x v="2"/>
    <s v="Programacao"/>
    <n v="9.6"/>
    <n v="72.2"/>
    <x v="0"/>
    <x v="0"/>
  </r>
  <r>
    <s v="E202503012"/>
    <x v="1"/>
    <x v="1"/>
    <x v="2"/>
    <s v="Bases de Dados"/>
    <n v="9.6"/>
    <n v="61.2"/>
    <x v="0"/>
    <x v="0"/>
  </r>
  <r>
    <s v="E202503013"/>
    <x v="1"/>
    <x v="1"/>
    <x v="2"/>
    <s v="Programacao"/>
    <n v="9.6"/>
    <n v="86.8"/>
    <x v="0"/>
    <x v="2"/>
  </r>
  <r>
    <s v="E202503033"/>
    <x v="1"/>
    <x v="1"/>
    <x v="2"/>
    <s v="Redes"/>
    <n v="9.6"/>
    <n v="88.5"/>
    <x v="0"/>
    <x v="2"/>
  </r>
  <r>
    <s v="E202602035"/>
    <x v="2"/>
    <x v="0"/>
    <x v="0"/>
    <s v="Contabilidade"/>
    <n v="9.6"/>
    <n v="61.2"/>
    <x v="0"/>
    <x v="0"/>
  </r>
  <r>
    <s v="E202602055"/>
    <x v="2"/>
    <x v="0"/>
    <x v="0"/>
    <s v="Marketing"/>
    <n v="9.6"/>
    <n v="58.3"/>
    <x v="0"/>
    <x v="0"/>
  </r>
  <r>
    <s v="E202603051"/>
    <x v="2"/>
    <x v="0"/>
    <x v="2"/>
    <s v="Programacao"/>
    <n v="9.6"/>
    <n v="84.4"/>
    <x v="0"/>
    <x v="2"/>
  </r>
  <r>
    <s v="E202601044"/>
    <x v="2"/>
    <x v="1"/>
    <x v="1"/>
    <s v="Matematica"/>
    <n v="9.6"/>
    <n v="49.7"/>
    <x v="0"/>
    <x v="1"/>
  </r>
  <r>
    <s v="E202602017"/>
    <x v="2"/>
    <x v="1"/>
    <x v="0"/>
    <s v="Marketing"/>
    <n v="9.6"/>
    <n v="74"/>
    <x v="0"/>
    <x v="0"/>
  </r>
  <r>
    <s v="E202602027"/>
    <x v="2"/>
    <x v="1"/>
    <x v="0"/>
    <s v="Contabilidade"/>
    <n v="9.6"/>
    <n v="63.8"/>
    <x v="0"/>
    <x v="0"/>
  </r>
  <r>
    <s v="E202602044"/>
    <x v="2"/>
    <x v="1"/>
    <x v="0"/>
    <s v="Contabilidade"/>
    <n v="9.6"/>
    <n v="77.400000000000006"/>
    <x v="0"/>
    <x v="2"/>
  </r>
  <r>
    <s v="E202602050"/>
    <x v="2"/>
    <x v="1"/>
    <x v="0"/>
    <s v="Marketing"/>
    <n v="9.6"/>
    <n v="56.8"/>
    <x v="0"/>
    <x v="0"/>
  </r>
  <r>
    <s v="E202603043"/>
    <x v="2"/>
    <x v="1"/>
    <x v="2"/>
    <s v="Redes"/>
    <n v="9.6"/>
    <n v="68.599999999999994"/>
    <x v="0"/>
    <x v="0"/>
  </r>
  <r>
    <s v="E202603047"/>
    <x v="2"/>
    <x v="1"/>
    <x v="2"/>
    <s v="Redes"/>
    <n v="9.6"/>
    <n v="83.2"/>
    <x v="0"/>
    <x v="2"/>
  </r>
  <r>
    <s v="E202603055"/>
    <x v="2"/>
    <x v="1"/>
    <x v="2"/>
    <s v="Redes"/>
    <n v="9.6"/>
    <n v="72.3"/>
    <x v="0"/>
    <x v="0"/>
  </r>
  <r>
    <s v="E202401032"/>
    <x v="0"/>
    <x v="0"/>
    <x v="1"/>
    <s v="Sinais"/>
    <n v="9.6999999999999993"/>
    <n v="57.9"/>
    <x v="0"/>
    <x v="0"/>
  </r>
  <r>
    <s v="E202402023"/>
    <x v="0"/>
    <x v="0"/>
    <x v="0"/>
    <s v="Marketing"/>
    <n v="9.6999999999999993"/>
    <n v="97.3"/>
    <x v="0"/>
    <x v="2"/>
  </r>
  <r>
    <s v="E202402045"/>
    <x v="0"/>
    <x v="0"/>
    <x v="0"/>
    <s v="Contabilidade"/>
    <n v="9.6999999999999993"/>
    <n v="97.3"/>
    <x v="0"/>
    <x v="2"/>
  </r>
  <r>
    <s v="E202403015"/>
    <x v="0"/>
    <x v="0"/>
    <x v="2"/>
    <s v="Bases de Dados"/>
    <n v="9.6999999999999993"/>
    <n v="65.099999999999994"/>
    <x v="0"/>
    <x v="0"/>
  </r>
  <r>
    <s v="E202401037"/>
    <x v="0"/>
    <x v="1"/>
    <x v="1"/>
    <s v="Redes"/>
    <n v="9.6999999999999993"/>
    <n v="85.5"/>
    <x v="0"/>
    <x v="2"/>
  </r>
  <r>
    <s v="E202401040"/>
    <x v="0"/>
    <x v="1"/>
    <x v="1"/>
    <s v="Matematica"/>
    <n v="9.6999999999999993"/>
    <n v="89.6"/>
    <x v="0"/>
    <x v="2"/>
  </r>
  <r>
    <s v="E202402032"/>
    <x v="0"/>
    <x v="1"/>
    <x v="0"/>
    <s v="Marketing"/>
    <n v="9.6999999999999993"/>
    <n v="87.5"/>
    <x v="0"/>
    <x v="2"/>
  </r>
  <r>
    <s v="E202402058"/>
    <x v="0"/>
    <x v="1"/>
    <x v="0"/>
    <s v="Contabilidade"/>
    <n v="9.6999999999999993"/>
    <n v="78.5"/>
    <x v="0"/>
    <x v="2"/>
  </r>
  <r>
    <s v="E202501030"/>
    <x v="1"/>
    <x v="0"/>
    <x v="1"/>
    <s v="Redes"/>
    <n v="9.6999999999999993"/>
    <n v="54.8"/>
    <x v="0"/>
    <x v="0"/>
  </r>
  <r>
    <s v="E202501036"/>
    <x v="1"/>
    <x v="0"/>
    <x v="1"/>
    <s v="Sinais"/>
    <n v="9.6999999999999993"/>
    <n v="66.400000000000006"/>
    <x v="0"/>
    <x v="0"/>
  </r>
  <r>
    <s v="E202501060"/>
    <x v="1"/>
    <x v="0"/>
    <x v="1"/>
    <s v="Sinais"/>
    <n v="9.6999999999999993"/>
    <n v="76.099999999999994"/>
    <x v="0"/>
    <x v="2"/>
  </r>
  <r>
    <s v="E202502035"/>
    <x v="1"/>
    <x v="0"/>
    <x v="0"/>
    <s v="Estatistica"/>
    <n v="9.6999999999999993"/>
    <n v="53.1"/>
    <x v="0"/>
    <x v="0"/>
  </r>
  <r>
    <s v="E202503023"/>
    <x v="1"/>
    <x v="0"/>
    <x v="2"/>
    <s v="Programacao"/>
    <n v="9.6999999999999993"/>
    <n v="82.7"/>
    <x v="0"/>
    <x v="2"/>
  </r>
  <r>
    <s v="E202503028"/>
    <x v="1"/>
    <x v="0"/>
    <x v="2"/>
    <s v="Redes"/>
    <n v="9.6999999999999993"/>
    <n v="88.6"/>
    <x v="0"/>
    <x v="2"/>
  </r>
  <r>
    <s v="E202503041"/>
    <x v="1"/>
    <x v="0"/>
    <x v="2"/>
    <s v="Programacao"/>
    <n v="9.6999999999999993"/>
    <n v="64"/>
    <x v="0"/>
    <x v="0"/>
  </r>
  <r>
    <s v="E202503059"/>
    <x v="1"/>
    <x v="0"/>
    <x v="2"/>
    <s v="Redes"/>
    <n v="9.6999999999999993"/>
    <n v="68.400000000000006"/>
    <x v="0"/>
    <x v="0"/>
  </r>
  <r>
    <s v="E202501014"/>
    <x v="1"/>
    <x v="1"/>
    <x v="1"/>
    <s v="Redes"/>
    <n v="9.6999999999999993"/>
    <n v="53.4"/>
    <x v="0"/>
    <x v="0"/>
  </r>
  <r>
    <s v="E202503009"/>
    <x v="1"/>
    <x v="1"/>
    <x v="2"/>
    <s v="Bases de Dados"/>
    <n v="9.6999999999999993"/>
    <n v="69.2"/>
    <x v="0"/>
    <x v="0"/>
  </r>
  <r>
    <s v="E202503014"/>
    <x v="1"/>
    <x v="1"/>
    <x v="2"/>
    <s v="Redes"/>
    <n v="9.6999999999999993"/>
    <n v="90.2"/>
    <x v="0"/>
    <x v="2"/>
  </r>
  <r>
    <s v="E202601007"/>
    <x v="2"/>
    <x v="0"/>
    <x v="1"/>
    <s v="Sinais"/>
    <n v="9.6999999999999993"/>
    <n v="49.6"/>
    <x v="0"/>
    <x v="1"/>
  </r>
  <r>
    <s v="E202601048"/>
    <x v="2"/>
    <x v="0"/>
    <x v="1"/>
    <s v="Redes"/>
    <n v="9.6999999999999993"/>
    <n v="61.4"/>
    <x v="0"/>
    <x v="0"/>
  </r>
  <r>
    <s v="E202602048"/>
    <x v="2"/>
    <x v="0"/>
    <x v="0"/>
    <s v="Contabilidade"/>
    <n v="9.6999999999999993"/>
    <n v="96.5"/>
    <x v="0"/>
    <x v="2"/>
  </r>
  <r>
    <s v="E202602048"/>
    <x v="2"/>
    <x v="0"/>
    <x v="0"/>
    <s v="Estatistica"/>
    <n v="9.6999999999999993"/>
    <n v="72.599999999999994"/>
    <x v="0"/>
    <x v="0"/>
  </r>
  <r>
    <s v="E202603004"/>
    <x v="2"/>
    <x v="0"/>
    <x v="2"/>
    <s v="Redes"/>
    <n v="9.6999999999999993"/>
    <n v="75.3"/>
    <x v="0"/>
    <x v="2"/>
  </r>
  <r>
    <s v="E202603020"/>
    <x v="2"/>
    <x v="0"/>
    <x v="2"/>
    <s v="Programacao"/>
    <n v="9.6999999999999993"/>
    <n v="51.1"/>
    <x v="0"/>
    <x v="0"/>
  </r>
  <r>
    <s v="E202601004"/>
    <x v="2"/>
    <x v="1"/>
    <x v="1"/>
    <s v="Sinais"/>
    <n v="9.6999999999999993"/>
    <n v="73.7"/>
    <x v="0"/>
    <x v="0"/>
  </r>
  <r>
    <s v="E202601006"/>
    <x v="2"/>
    <x v="1"/>
    <x v="1"/>
    <s v="Sinais"/>
    <n v="9.6999999999999993"/>
    <n v="84.4"/>
    <x v="0"/>
    <x v="2"/>
  </r>
  <r>
    <s v="E202601024"/>
    <x v="2"/>
    <x v="1"/>
    <x v="1"/>
    <s v="Matematica"/>
    <n v="9.6999999999999993"/>
    <n v="54.9"/>
    <x v="0"/>
    <x v="0"/>
  </r>
  <r>
    <s v="E202601031"/>
    <x v="2"/>
    <x v="1"/>
    <x v="1"/>
    <s v="Matematica"/>
    <n v="9.6999999999999993"/>
    <n v="59.6"/>
    <x v="0"/>
    <x v="0"/>
  </r>
  <r>
    <s v="E202601034"/>
    <x v="2"/>
    <x v="1"/>
    <x v="1"/>
    <s v="Matematica"/>
    <n v="9.6999999999999993"/>
    <n v="71.8"/>
    <x v="0"/>
    <x v="0"/>
  </r>
  <r>
    <s v="E202602041"/>
    <x v="2"/>
    <x v="1"/>
    <x v="0"/>
    <s v="Contabilidade"/>
    <n v="9.6999999999999993"/>
    <n v="67.900000000000006"/>
    <x v="0"/>
    <x v="0"/>
  </r>
  <r>
    <s v="E202603022"/>
    <x v="2"/>
    <x v="1"/>
    <x v="2"/>
    <s v="Redes"/>
    <n v="9.6999999999999993"/>
    <n v="59"/>
    <x v="0"/>
    <x v="0"/>
  </r>
  <r>
    <s v="E202603024"/>
    <x v="2"/>
    <x v="1"/>
    <x v="2"/>
    <s v="Bases de Dados"/>
    <n v="9.6999999999999993"/>
    <n v="96.7"/>
    <x v="0"/>
    <x v="2"/>
  </r>
  <r>
    <s v="E202603041"/>
    <x v="2"/>
    <x v="1"/>
    <x v="2"/>
    <s v="Bases de Dados"/>
    <n v="9.6999999999999993"/>
    <n v="61.9"/>
    <x v="0"/>
    <x v="0"/>
  </r>
  <r>
    <s v="E202401054"/>
    <x v="0"/>
    <x v="1"/>
    <x v="1"/>
    <s v="Redes"/>
    <n v="9.8000000000000007"/>
    <n v="93.3"/>
    <x v="0"/>
    <x v="2"/>
  </r>
  <r>
    <s v="E202401058"/>
    <x v="0"/>
    <x v="1"/>
    <x v="1"/>
    <s v="Redes"/>
    <n v="9.8000000000000007"/>
    <n v="58.4"/>
    <x v="0"/>
    <x v="0"/>
  </r>
  <r>
    <s v="E202402006"/>
    <x v="0"/>
    <x v="1"/>
    <x v="0"/>
    <s v="Contabilidade"/>
    <n v="9.8000000000000007"/>
    <n v="67.099999999999994"/>
    <x v="0"/>
    <x v="0"/>
  </r>
  <r>
    <s v="E202402024"/>
    <x v="0"/>
    <x v="1"/>
    <x v="0"/>
    <s v="Contabilidade"/>
    <n v="9.8000000000000007"/>
    <n v="77.8"/>
    <x v="0"/>
    <x v="2"/>
  </r>
  <r>
    <s v="E202402035"/>
    <x v="0"/>
    <x v="1"/>
    <x v="0"/>
    <s v="Estatistica"/>
    <n v="9.8000000000000007"/>
    <n v="61.9"/>
    <x v="0"/>
    <x v="0"/>
  </r>
  <r>
    <s v="E202402057"/>
    <x v="0"/>
    <x v="1"/>
    <x v="0"/>
    <s v="Contabilidade"/>
    <n v="9.8000000000000007"/>
    <n v="75.3"/>
    <x v="0"/>
    <x v="2"/>
  </r>
  <r>
    <s v="E202402060"/>
    <x v="0"/>
    <x v="1"/>
    <x v="0"/>
    <s v="Estatistica"/>
    <n v="9.8000000000000007"/>
    <n v="67.8"/>
    <x v="0"/>
    <x v="0"/>
  </r>
  <r>
    <s v="E202501006"/>
    <x v="1"/>
    <x v="0"/>
    <x v="1"/>
    <s v="Redes"/>
    <n v="9.8000000000000007"/>
    <n v="49"/>
    <x v="0"/>
    <x v="1"/>
  </r>
  <r>
    <s v="E202501023"/>
    <x v="1"/>
    <x v="0"/>
    <x v="1"/>
    <s v="Sinais"/>
    <n v="9.8000000000000007"/>
    <n v="45.1"/>
    <x v="0"/>
    <x v="1"/>
  </r>
  <r>
    <s v="E202501031"/>
    <x v="1"/>
    <x v="0"/>
    <x v="1"/>
    <s v="Matematica"/>
    <n v="9.8000000000000007"/>
    <n v="91.9"/>
    <x v="0"/>
    <x v="2"/>
  </r>
  <r>
    <s v="E202502029"/>
    <x v="1"/>
    <x v="0"/>
    <x v="0"/>
    <s v="Marketing"/>
    <n v="9.8000000000000007"/>
    <n v="61.5"/>
    <x v="0"/>
    <x v="0"/>
  </r>
  <r>
    <s v="E202503052"/>
    <x v="1"/>
    <x v="0"/>
    <x v="2"/>
    <s v="Programacao"/>
    <n v="9.8000000000000007"/>
    <n v="83.2"/>
    <x v="0"/>
    <x v="2"/>
  </r>
  <r>
    <s v="E202501001"/>
    <x v="1"/>
    <x v="1"/>
    <x v="1"/>
    <s v="Sinais"/>
    <n v="9.8000000000000007"/>
    <n v="74.400000000000006"/>
    <x v="0"/>
    <x v="0"/>
  </r>
  <r>
    <s v="E202601022"/>
    <x v="2"/>
    <x v="0"/>
    <x v="1"/>
    <s v="Matematica"/>
    <n v="9.8000000000000007"/>
    <n v="68.599999999999994"/>
    <x v="0"/>
    <x v="0"/>
  </r>
  <r>
    <s v="E202601056"/>
    <x v="2"/>
    <x v="0"/>
    <x v="1"/>
    <s v="Matematica"/>
    <n v="9.8000000000000007"/>
    <n v="63.5"/>
    <x v="0"/>
    <x v="0"/>
  </r>
  <r>
    <s v="E202601060"/>
    <x v="2"/>
    <x v="0"/>
    <x v="1"/>
    <s v="Sinais"/>
    <n v="9.8000000000000007"/>
    <n v="56"/>
    <x v="0"/>
    <x v="0"/>
  </r>
  <r>
    <s v="E202602001"/>
    <x v="2"/>
    <x v="0"/>
    <x v="0"/>
    <s v="Marketing"/>
    <n v="9.8000000000000007"/>
    <n v="61.8"/>
    <x v="0"/>
    <x v="0"/>
  </r>
  <r>
    <s v="E202602021"/>
    <x v="2"/>
    <x v="0"/>
    <x v="0"/>
    <s v="Contabilidade"/>
    <n v="9.8000000000000007"/>
    <n v="59"/>
    <x v="0"/>
    <x v="0"/>
  </r>
  <r>
    <s v="E202602024"/>
    <x v="2"/>
    <x v="0"/>
    <x v="0"/>
    <s v="Estatistica"/>
    <n v="9.8000000000000007"/>
    <n v="49.4"/>
    <x v="0"/>
    <x v="1"/>
  </r>
  <r>
    <s v="E202602038"/>
    <x v="2"/>
    <x v="0"/>
    <x v="0"/>
    <s v="Estatistica"/>
    <n v="9.8000000000000007"/>
    <n v="61"/>
    <x v="0"/>
    <x v="0"/>
  </r>
  <r>
    <s v="E202602054"/>
    <x v="2"/>
    <x v="0"/>
    <x v="0"/>
    <s v="Marketing"/>
    <n v="9.8000000000000007"/>
    <n v="77.3"/>
    <x v="0"/>
    <x v="2"/>
  </r>
  <r>
    <s v="E202603010"/>
    <x v="2"/>
    <x v="0"/>
    <x v="2"/>
    <s v="Redes"/>
    <n v="9.8000000000000007"/>
    <n v="55.1"/>
    <x v="0"/>
    <x v="0"/>
  </r>
  <r>
    <s v="E202603026"/>
    <x v="2"/>
    <x v="0"/>
    <x v="2"/>
    <s v="Programacao"/>
    <n v="9.8000000000000007"/>
    <n v="55.2"/>
    <x v="0"/>
    <x v="0"/>
  </r>
  <r>
    <s v="E202601011"/>
    <x v="2"/>
    <x v="1"/>
    <x v="1"/>
    <s v="Matematica"/>
    <n v="9.8000000000000007"/>
    <n v="61.9"/>
    <x v="0"/>
    <x v="0"/>
  </r>
  <r>
    <s v="E202601021"/>
    <x v="2"/>
    <x v="1"/>
    <x v="1"/>
    <s v="Redes"/>
    <n v="9.8000000000000007"/>
    <n v="63.6"/>
    <x v="0"/>
    <x v="0"/>
  </r>
  <r>
    <s v="E202601029"/>
    <x v="2"/>
    <x v="1"/>
    <x v="1"/>
    <s v="Sinais"/>
    <n v="9.8000000000000007"/>
    <n v="98.5"/>
    <x v="0"/>
    <x v="2"/>
  </r>
  <r>
    <s v="E202601044"/>
    <x v="2"/>
    <x v="1"/>
    <x v="1"/>
    <s v="Redes"/>
    <n v="9.8000000000000007"/>
    <n v="57.1"/>
    <x v="0"/>
    <x v="0"/>
  </r>
  <r>
    <s v="E202603010"/>
    <x v="2"/>
    <x v="1"/>
    <x v="2"/>
    <s v="Bases de Dados"/>
    <n v="9.8000000000000007"/>
    <n v="72.7"/>
    <x v="0"/>
    <x v="0"/>
  </r>
  <r>
    <s v="E202603018"/>
    <x v="2"/>
    <x v="1"/>
    <x v="2"/>
    <s v="Bases de Dados"/>
    <n v="9.8000000000000007"/>
    <n v="71.900000000000006"/>
    <x v="0"/>
    <x v="0"/>
  </r>
  <r>
    <s v="E202603056"/>
    <x v="2"/>
    <x v="1"/>
    <x v="2"/>
    <s v="Programacao"/>
    <n v="9.8000000000000007"/>
    <n v="91.1"/>
    <x v="0"/>
    <x v="2"/>
  </r>
  <r>
    <s v="E202603060"/>
    <x v="2"/>
    <x v="1"/>
    <x v="2"/>
    <s v="Bases de Dados"/>
    <n v="9.8000000000000007"/>
    <n v="91.7"/>
    <x v="0"/>
    <x v="2"/>
  </r>
  <r>
    <s v="E202401047"/>
    <x v="0"/>
    <x v="0"/>
    <x v="1"/>
    <s v="Redes"/>
    <n v="9.9"/>
    <n v="58.3"/>
    <x v="0"/>
    <x v="0"/>
  </r>
  <r>
    <s v="E202402012"/>
    <x v="0"/>
    <x v="0"/>
    <x v="0"/>
    <s v="Marketing"/>
    <n v="9.9"/>
    <n v="53.4"/>
    <x v="0"/>
    <x v="0"/>
  </r>
  <r>
    <s v="E202402021"/>
    <x v="0"/>
    <x v="0"/>
    <x v="0"/>
    <s v="Contabilidade"/>
    <n v="9.9"/>
    <n v="84"/>
    <x v="0"/>
    <x v="2"/>
  </r>
  <r>
    <s v="E202402028"/>
    <x v="0"/>
    <x v="0"/>
    <x v="0"/>
    <s v="Estatistica"/>
    <n v="9.9"/>
    <n v="77.2"/>
    <x v="0"/>
    <x v="2"/>
  </r>
  <r>
    <s v="E202402036"/>
    <x v="0"/>
    <x v="0"/>
    <x v="0"/>
    <s v="Marketing"/>
    <n v="9.9"/>
    <n v="58.4"/>
    <x v="0"/>
    <x v="0"/>
  </r>
  <r>
    <s v="E202402056"/>
    <x v="0"/>
    <x v="0"/>
    <x v="0"/>
    <s v="Estatistica"/>
    <n v="9.9"/>
    <n v="96"/>
    <x v="0"/>
    <x v="2"/>
  </r>
  <r>
    <s v="E202403011"/>
    <x v="0"/>
    <x v="0"/>
    <x v="2"/>
    <s v="Programacao"/>
    <n v="9.9"/>
    <n v="74.3"/>
    <x v="0"/>
    <x v="0"/>
  </r>
  <r>
    <s v="E202403019"/>
    <x v="0"/>
    <x v="0"/>
    <x v="2"/>
    <s v="Bases de Dados"/>
    <n v="9.9"/>
    <n v="49"/>
    <x v="0"/>
    <x v="1"/>
  </r>
  <r>
    <s v="E202403051"/>
    <x v="0"/>
    <x v="0"/>
    <x v="2"/>
    <s v="Redes"/>
    <n v="9.9"/>
    <n v="85.5"/>
    <x v="0"/>
    <x v="2"/>
  </r>
  <r>
    <s v="E202401017"/>
    <x v="0"/>
    <x v="1"/>
    <x v="1"/>
    <s v="Matematica"/>
    <n v="9.9"/>
    <n v="59.7"/>
    <x v="0"/>
    <x v="0"/>
  </r>
  <r>
    <s v="E202401023"/>
    <x v="0"/>
    <x v="1"/>
    <x v="1"/>
    <s v="Matematica"/>
    <n v="9.9"/>
    <n v="98.7"/>
    <x v="0"/>
    <x v="2"/>
  </r>
  <r>
    <s v="E202401028"/>
    <x v="0"/>
    <x v="1"/>
    <x v="1"/>
    <s v="Sinais"/>
    <n v="9.9"/>
    <n v="47.6"/>
    <x v="0"/>
    <x v="1"/>
  </r>
  <r>
    <s v="E202402057"/>
    <x v="0"/>
    <x v="1"/>
    <x v="0"/>
    <s v="Marketing"/>
    <n v="9.9"/>
    <n v="56"/>
    <x v="0"/>
    <x v="0"/>
  </r>
  <r>
    <s v="E202403038"/>
    <x v="0"/>
    <x v="1"/>
    <x v="2"/>
    <s v="Bases de Dados"/>
    <n v="9.9"/>
    <n v="45.5"/>
    <x v="0"/>
    <x v="1"/>
  </r>
  <r>
    <s v="E202403041"/>
    <x v="0"/>
    <x v="1"/>
    <x v="2"/>
    <s v="Redes"/>
    <n v="9.9"/>
    <n v="89.9"/>
    <x v="0"/>
    <x v="2"/>
  </r>
  <r>
    <s v="E202403054"/>
    <x v="0"/>
    <x v="1"/>
    <x v="2"/>
    <s v="Redes"/>
    <n v="9.9"/>
    <n v="71.900000000000006"/>
    <x v="0"/>
    <x v="0"/>
  </r>
  <r>
    <s v="E202501024"/>
    <x v="1"/>
    <x v="0"/>
    <x v="1"/>
    <s v="Matematica"/>
    <n v="9.9"/>
    <n v="56.7"/>
    <x v="0"/>
    <x v="0"/>
  </r>
  <r>
    <s v="E202501031"/>
    <x v="1"/>
    <x v="0"/>
    <x v="1"/>
    <s v="Sinais"/>
    <n v="9.9"/>
    <n v="60.3"/>
    <x v="0"/>
    <x v="0"/>
  </r>
  <r>
    <s v="E202501032"/>
    <x v="1"/>
    <x v="0"/>
    <x v="1"/>
    <s v="Sinais"/>
    <n v="9.9"/>
    <n v="90.2"/>
    <x v="0"/>
    <x v="2"/>
  </r>
  <r>
    <s v="E202501059"/>
    <x v="1"/>
    <x v="0"/>
    <x v="1"/>
    <s v="Sinais"/>
    <n v="9.9"/>
    <n v="77.7"/>
    <x v="0"/>
    <x v="2"/>
  </r>
  <r>
    <s v="E202502039"/>
    <x v="1"/>
    <x v="0"/>
    <x v="0"/>
    <s v="Contabilidade"/>
    <n v="9.9"/>
    <n v="96.8"/>
    <x v="0"/>
    <x v="2"/>
  </r>
  <r>
    <s v="E202503015"/>
    <x v="1"/>
    <x v="0"/>
    <x v="2"/>
    <s v="Redes"/>
    <n v="9.9"/>
    <n v="66.5"/>
    <x v="0"/>
    <x v="0"/>
  </r>
  <r>
    <s v="E202501006"/>
    <x v="1"/>
    <x v="1"/>
    <x v="1"/>
    <s v="Matematica"/>
    <n v="9.9"/>
    <n v="82.9"/>
    <x v="0"/>
    <x v="2"/>
  </r>
  <r>
    <s v="E202502008"/>
    <x v="1"/>
    <x v="1"/>
    <x v="0"/>
    <s v="Estatistica"/>
    <n v="9.9"/>
    <n v="48.9"/>
    <x v="0"/>
    <x v="1"/>
  </r>
  <r>
    <s v="E202502009"/>
    <x v="1"/>
    <x v="1"/>
    <x v="0"/>
    <s v="Contabilidade"/>
    <n v="9.9"/>
    <n v="63"/>
    <x v="0"/>
    <x v="0"/>
  </r>
  <r>
    <s v="E202503005"/>
    <x v="1"/>
    <x v="1"/>
    <x v="2"/>
    <s v="Redes"/>
    <n v="9.9"/>
    <n v="56.9"/>
    <x v="0"/>
    <x v="0"/>
  </r>
  <r>
    <s v="E202503009"/>
    <x v="1"/>
    <x v="1"/>
    <x v="2"/>
    <s v="Redes"/>
    <n v="9.9"/>
    <n v="95.3"/>
    <x v="0"/>
    <x v="2"/>
  </r>
  <r>
    <s v="E202503029"/>
    <x v="1"/>
    <x v="1"/>
    <x v="2"/>
    <s v="Bases de Dados"/>
    <n v="9.9"/>
    <n v="96.8"/>
    <x v="0"/>
    <x v="2"/>
  </r>
  <r>
    <s v="E202601004"/>
    <x v="2"/>
    <x v="0"/>
    <x v="1"/>
    <s v="Matematica"/>
    <n v="9.9"/>
    <n v="76.599999999999994"/>
    <x v="0"/>
    <x v="2"/>
  </r>
  <r>
    <s v="E202601025"/>
    <x v="2"/>
    <x v="0"/>
    <x v="1"/>
    <s v="Redes"/>
    <n v="9.9"/>
    <n v="56.2"/>
    <x v="0"/>
    <x v="0"/>
  </r>
  <r>
    <s v="E202601035"/>
    <x v="2"/>
    <x v="0"/>
    <x v="1"/>
    <s v="Matematica"/>
    <n v="9.9"/>
    <n v="73.900000000000006"/>
    <x v="0"/>
    <x v="0"/>
  </r>
  <r>
    <s v="E202601040"/>
    <x v="2"/>
    <x v="0"/>
    <x v="1"/>
    <s v="Sinais"/>
    <n v="9.9"/>
    <n v="68.7"/>
    <x v="0"/>
    <x v="0"/>
  </r>
  <r>
    <s v="E202601054"/>
    <x v="2"/>
    <x v="0"/>
    <x v="1"/>
    <s v="Sinais"/>
    <n v="9.9"/>
    <n v="58.2"/>
    <x v="0"/>
    <x v="0"/>
  </r>
  <r>
    <s v="E202602014"/>
    <x v="2"/>
    <x v="0"/>
    <x v="0"/>
    <s v="Estatistica"/>
    <n v="9.9"/>
    <n v="47.2"/>
    <x v="0"/>
    <x v="1"/>
  </r>
  <r>
    <s v="E202602037"/>
    <x v="2"/>
    <x v="0"/>
    <x v="0"/>
    <s v="Marketing"/>
    <n v="9.9"/>
    <n v="46.3"/>
    <x v="0"/>
    <x v="1"/>
  </r>
  <r>
    <s v="E202603022"/>
    <x v="2"/>
    <x v="0"/>
    <x v="2"/>
    <s v="Programacao"/>
    <n v="9.9"/>
    <n v="58.9"/>
    <x v="0"/>
    <x v="0"/>
  </r>
  <r>
    <s v="E202603037"/>
    <x v="2"/>
    <x v="0"/>
    <x v="2"/>
    <s v="Bases de Dados"/>
    <n v="9.9"/>
    <n v="92.7"/>
    <x v="0"/>
    <x v="2"/>
  </r>
  <r>
    <s v="E202603038"/>
    <x v="2"/>
    <x v="0"/>
    <x v="2"/>
    <s v="Programacao"/>
    <n v="9.9"/>
    <n v="54.6"/>
    <x v="0"/>
    <x v="0"/>
  </r>
  <r>
    <s v="E202603060"/>
    <x v="2"/>
    <x v="0"/>
    <x v="2"/>
    <s v="Bases de Dados"/>
    <n v="9.9"/>
    <n v="78.2"/>
    <x v="0"/>
    <x v="2"/>
  </r>
  <r>
    <s v="E202601035"/>
    <x v="2"/>
    <x v="1"/>
    <x v="1"/>
    <s v="Redes"/>
    <n v="9.9"/>
    <n v="76.8"/>
    <x v="0"/>
    <x v="2"/>
  </r>
  <r>
    <s v="E202601056"/>
    <x v="2"/>
    <x v="1"/>
    <x v="1"/>
    <s v="Matematica"/>
    <n v="9.9"/>
    <n v="98.8"/>
    <x v="0"/>
    <x v="2"/>
  </r>
  <r>
    <s v="E202602022"/>
    <x v="2"/>
    <x v="1"/>
    <x v="0"/>
    <s v="Estatistica"/>
    <n v="9.9"/>
    <n v="62.7"/>
    <x v="0"/>
    <x v="0"/>
  </r>
  <r>
    <s v="E202603001"/>
    <x v="2"/>
    <x v="1"/>
    <x v="2"/>
    <s v="Bases de Dados"/>
    <n v="9.9"/>
    <n v="45.9"/>
    <x v="0"/>
    <x v="1"/>
  </r>
  <r>
    <s v="E202603023"/>
    <x v="2"/>
    <x v="1"/>
    <x v="2"/>
    <s v="Bases de Dados"/>
    <n v="9.9"/>
    <n v="74.900000000000006"/>
    <x v="0"/>
    <x v="0"/>
  </r>
  <r>
    <s v="E202603033"/>
    <x v="2"/>
    <x v="1"/>
    <x v="2"/>
    <s v="Programacao"/>
    <n v="9.9"/>
    <n v="48.9"/>
    <x v="0"/>
    <x v="1"/>
  </r>
  <r>
    <s v="E202603038"/>
    <x v="2"/>
    <x v="1"/>
    <x v="2"/>
    <s v="Bases de Dados"/>
    <n v="9.9"/>
    <n v="85.9"/>
    <x v="0"/>
    <x v="2"/>
  </r>
  <r>
    <s v="E202401053"/>
    <x v="0"/>
    <x v="0"/>
    <x v="1"/>
    <s v="Sinais"/>
    <n v="10"/>
    <n v="86.8"/>
    <x v="1"/>
    <x v="2"/>
  </r>
  <r>
    <s v="E202402006"/>
    <x v="0"/>
    <x v="0"/>
    <x v="0"/>
    <s v="Contabilidade"/>
    <n v="10"/>
    <n v="79.900000000000006"/>
    <x v="1"/>
    <x v="2"/>
  </r>
  <r>
    <s v="E202402008"/>
    <x v="0"/>
    <x v="0"/>
    <x v="0"/>
    <s v="Contabilidade"/>
    <n v="10"/>
    <n v="48.6"/>
    <x v="1"/>
    <x v="1"/>
  </r>
  <r>
    <s v="E202402017"/>
    <x v="0"/>
    <x v="0"/>
    <x v="0"/>
    <s v="Marketing"/>
    <n v="10"/>
    <n v="74.7"/>
    <x v="1"/>
    <x v="0"/>
  </r>
  <r>
    <s v="E202402020"/>
    <x v="0"/>
    <x v="0"/>
    <x v="0"/>
    <s v="Estatistica"/>
    <n v="10"/>
    <n v="68.7"/>
    <x v="1"/>
    <x v="0"/>
  </r>
  <r>
    <s v="E202402025"/>
    <x v="0"/>
    <x v="0"/>
    <x v="0"/>
    <s v="Contabilidade"/>
    <n v="10"/>
    <n v="67.8"/>
    <x v="1"/>
    <x v="0"/>
  </r>
  <r>
    <s v="E202402037"/>
    <x v="0"/>
    <x v="0"/>
    <x v="0"/>
    <s v="Marketing"/>
    <n v="10"/>
    <n v="68.7"/>
    <x v="1"/>
    <x v="0"/>
  </r>
  <r>
    <s v="E202402054"/>
    <x v="0"/>
    <x v="0"/>
    <x v="0"/>
    <s v="Marketing"/>
    <n v="10"/>
    <n v="76.2"/>
    <x v="1"/>
    <x v="2"/>
  </r>
  <r>
    <s v="E202401055"/>
    <x v="0"/>
    <x v="1"/>
    <x v="1"/>
    <s v="Sinais"/>
    <n v="10"/>
    <n v="94.5"/>
    <x v="1"/>
    <x v="2"/>
  </r>
  <r>
    <s v="E202402018"/>
    <x v="0"/>
    <x v="1"/>
    <x v="0"/>
    <s v="Estatistica"/>
    <n v="10"/>
    <n v="54.2"/>
    <x v="1"/>
    <x v="0"/>
  </r>
  <r>
    <s v="E202402026"/>
    <x v="0"/>
    <x v="1"/>
    <x v="0"/>
    <s v="Marketing"/>
    <n v="10"/>
    <n v="66.8"/>
    <x v="1"/>
    <x v="0"/>
  </r>
  <r>
    <s v="E202402041"/>
    <x v="0"/>
    <x v="1"/>
    <x v="0"/>
    <s v="Marketing"/>
    <n v="10"/>
    <n v="92.6"/>
    <x v="1"/>
    <x v="2"/>
  </r>
  <r>
    <s v="E202402044"/>
    <x v="0"/>
    <x v="1"/>
    <x v="0"/>
    <s v="Estatistica"/>
    <n v="10"/>
    <n v="69.2"/>
    <x v="1"/>
    <x v="0"/>
  </r>
  <r>
    <s v="E202403050"/>
    <x v="0"/>
    <x v="1"/>
    <x v="2"/>
    <s v="Redes"/>
    <n v="10"/>
    <n v="72.2"/>
    <x v="1"/>
    <x v="0"/>
  </r>
  <r>
    <s v="E202501011"/>
    <x v="1"/>
    <x v="0"/>
    <x v="1"/>
    <s v="Redes"/>
    <n v="10"/>
    <n v="45.2"/>
    <x v="1"/>
    <x v="1"/>
  </r>
  <r>
    <s v="E202501030"/>
    <x v="1"/>
    <x v="0"/>
    <x v="1"/>
    <s v="Sinais"/>
    <n v="10"/>
    <n v="55.8"/>
    <x v="1"/>
    <x v="0"/>
  </r>
  <r>
    <s v="E202502029"/>
    <x v="1"/>
    <x v="0"/>
    <x v="0"/>
    <s v="Contabilidade"/>
    <n v="10"/>
    <n v="81"/>
    <x v="1"/>
    <x v="2"/>
  </r>
  <r>
    <s v="E202502035"/>
    <x v="1"/>
    <x v="0"/>
    <x v="0"/>
    <s v="Contabilidade"/>
    <n v="10"/>
    <n v="67.400000000000006"/>
    <x v="1"/>
    <x v="0"/>
  </r>
  <r>
    <s v="E202503023"/>
    <x v="1"/>
    <x v="0"/>
    <x v="2"/>
    <s v="Redes"/>
    <n v="10"/>
    <n v="58.2"/>
    <x v="1"/>
    <x v="0"/>
  </r>
  <r>
    <s v="E202503030"/>
    <x v="1"/>
    <x v="0"/>
    <x v="2"/>
    <s v="Bases de Dados"/>
    <n v="10"/>
    <n v="53.8"/>
    <x v="1"/>
    <x v="0"/>
  </r>
  <r>
    <s v="E202503037"/>
    <x v="1"/>
    <x v="0"/>
    <x v="2"/>
    <s v="Bases de Dados"/>
    <n v="10"/>
    <n v="50.1"/>
    <x v="1"/>
    <x v="0"/>
  </r>
  <r>
    <s v="E202501058"/>
    <x v="1"/>
    <x v="1"/>
    <x v="1"/>
    <s v="Matematica"/>
    <n v="10"/>
    <n v="92.8"/>
    <x v="1"/>
    <x v="2"/>
  </r>
  <r>
    <s v="E202502022"/>
    <x v="1"/>
    <x v="1"/>
    <x v="0"/>
    <s v="Contabilidade"/>
    <n v="10"/>
    <n v="59.2"/>
    <x v="1"/>
    <x v="0"/>
  </r>
  <r>
    <s v="E202502059"/>
    <x v="1"/>
    <x v="1"/>
    <x v="0"/>
    <s v="Estatistica"/>
    <n v="10"/>
    <n v="91.7"/>
    <x v="1"/>
    <x v="2"/>
  </r>
  <r>
    <s v="E202503037"/>
    <x v="1"/>
    <x v="1"/>
    <x v="2"/>
    <s v="Redes"/>
    <n v="10"/>
    <n v="80.7"/>
    <x v="1"/>
    <x v="2"/>
  </r>
  <r>
    <s v="E202601030"/>
    <x v="2"/>
    <x v="0"/>
    <x v="1"/>
    <s v="Sinais"/>
    <n v="10"/>
    <n v="82.9"/>
    <x v="1"/>
    <x v="2"/>
  </r>
  <r>
    <s v="E202601038"/>
    <x v="2"/>
    <x v="0"/>
    <x v="1"/>
    <s v="Matematica"/>
    <n v="10"/>
    <n v="83"/>
    <x v="1"/>
    <x v="2"/>
  </r>
  <r>
    <s v="E202601040"/>
    <x v="2"/>
    <x v="0"/>
    <x v="1"/>
    <s v="Matematica"/>
    <n v="10"/>
    <n v="59.9"/>
    <x v="1"/>
    <x v="0"/>
  </r>
  <r>
    <s v="E202603024"/>
    <x v="2"/>
    <x v="0"/>
    <x v="2"/>
    <s v="Programacao"/>
    <n v="10"/>
    <n v="87.7"/>
    <x v="1"/>
    <x v="2"/>
  </r>
  <r>
    <s v="E202603060"/>
    <x v="2"/>
    <x v="0"/>
    <x v="2"/>
    <s v="Programacao"/>
    <n v="10"/>
    <n v="85.3"/>
    <x v="1"/>
    <x v="2"/>
  </r>
  <r>
    <s v="E202601018"/>
    <x v="2"/>
    <x v="1"/>
    <x v="1"/>
    <s v="Matematica"/>
    <n v="10"/>
    <n v="90.2"/>
    <x v="1"/>
    <x v="2"/>
  </r>
  <r>
    <s v="E202602053"/>
    <x v="2"/>
    <x v="1"/>
    <x v="0"/>
    <s v="Marketing"/>
    <n v="10"/>
    <n v="60.4"/>
    <x v="1"/>
    <x v="0"/>
  </r>
  <r>
    <s v="E202603045"/>
    <x v="2"/>
    <x v="1"/>
    <x v="2"/>
    <s v="Redes"/>
    <n v="10"/>
    <n v="46"/>
    <x v="1"/>
    <x v="1"/>
  </r>
  <r>
    <s v="E202401034"/>
    <x v="0"/>
    <x v="0"/>
    <x v="1"/>
    <s v="Sinais"/>
    <n v="10.1"/>
    <n v="84.3"/>
    <x v="1"/>
    <x v="2"/>
  </r>
  <r>
    <s v="E202401039"/>
    <x v="0"/>
    <x v="0"/>
    <x v="1"/>
    <s v="Matematica"/>
    <n v="10.1"/>
    <n v="79.3"/>
    <x v="1"/>
    <x v="2"/>
  </r>
  <r>
    <s v="E202402053"/>
    <x v="0"/>
    <x v="0"/>
    <x v="0"/>
    <s v="Estatistica"/>
    <n v="10.1"/>
    <n v="83.6"/>
    <x v="1"/>
    <x v="2"/>
  </r>
  <r>
    <s v="E202403022"/>
    <x v="0"/>
    <x v="0"/>
    <x v="2"/>
    <s v="Programacao"/>
    <n v="10.1"/>
    <n v="73.599999999999994"/>
    <x v="1"/>
    <x v="0"/>
  </r>
  <r>
    <s v="E202403035"/>
    <x v="0"/>
    <x v="0"/>
    <x v="2"/>
    <s v="Redes"/>
    <n v="10.1"/>
    <n v="77.5"/>
    <x v="1"/>
    <x v="2"/>
  </r>
  <r>
    <s v="E202401048"/>
    <x v="0"/>
    <x v="1"/>
    <x v="1"/>
    <s v="Matematica"/>
    <n v="10.1"/>
    <n v="95.3"/>
    <x v="1"/>
    <x v="2"/>
  </r>
  <r>
    <s v="E202402055"/>
    <x v="0"/>
    <x v="1"/>
    <x v="0"/>
    <s v="Contabilidade"/>
    <n v="10.1"/>
    <n v="63.2"/>
    <x v="1"/>
    <x v="0"/>
  </r>
  <r>
    <s v="E202403005"/>
    <x v="0"/>
    <x v="1"/>
    <x v="2"/>
    <s v="Bases de Dados"/>
    <n v="10.1"/>
    <n v="91.9"/>
    <x v="1"/>
    <x v="2"/>
  </r>
  <r>
    <s v="E202403041"/>
    <x v="0"/>
    <x v="1"/>
    <x v="2"/>
    <s v="Bases de Dados"/>
    <n v="10.1"/>
    <n v="64.900000000000006"/>
    <x v="1"/>
    <x v="0"/>
  </r>
  <r>
    <s v="E202502013"/>
    <x v="1"/>
    <x v="0"/>
    <x v="0"/>
    <s v="Contabilidade"/>
    <n v="10.1"/>
    <n v="55.3"/>
    <x v="1"/>
    <x v="0"/>
  </r>
  <r>
    <s v="E202502045"/>
    <x v="1"/>
    <x v="0"/>
    <x v="0"/>
    <s v="Marketing"/>
    <n v="10.1"/>
    <n v="73.7"/>
    <x v="1"/>
    <x v="0"/>
  </r>
  <r>
    <s v="E202503042"/>
    <x v="1"/>
    <x v="0"/>
    <x v="2"/>
    <s v="Bases de Dados"/>
    <n v="10.1"/>
    <n v="61"/>
    <x v="1"/>
    <x v="0"/>
  </r>
  <r>
    <s v="E202501015"/>
    <x v="1"/>
    <x v="1"/>
    <x v="1"/>
    <s v="Matematica"/>
    <n v="10.1"/>
    <n v="94.7"/>
    <x v="1"/>
    <x v="2"/>
  </r>
  <r>
    <s v="E202501022"/>
    <x v="1"/>
    <x v="1"/>
    <x v="1"/>
    <s v="Redes"/>
    <n v="10.1"/>
    <n v="73.599999999999994"/>
    <x v="1"/>
    <x v="0"/>
  </r>
  <r>
    <s v="E202501057"/>
    <x v="1"/>
    <x v="1"/>
    <x v="1"/>
    <s v="Matematica"/>
    <n v="10.1"/>
    <n v="90.4"/>
    <x v="1"/>
    <x v="2"/>
  </r>
  <r>
    <s v="E202502001"/>
    <x v="1"/>
    <x v="1"/>
    <x v="0"/>
    <s v="Marketing"/>
    <n v="10.1"/>
    <n v="95.1"/>
    <x v="1"/>
    <x v="2"/>
  </r>
  <r>
    <s v="E202503034"/>
    <x v="1"/>
    <x v="1"/>
    <x v="2"/>
    <s v="Programacao"/>
    <n v="10.1"/>
    <n v="95.5"/>
    <x v="1"/>
    <x v="2"/>
  </r>
  <r>
    <s v="E202601032"/>
    <x v="2"/>
    <x v="0"/>
    <x v="1"/>
    <s v="Redes"/>
    <n v="10.1"/>
    <n v="51.8"/>
    <x v="1"/>
    <x v="0"/>
  </r>
  <r>
    <s v="E202602010"/>
    <x v="2"/>
    <x v="0"/>
    <x v="0"/>
    <s v="Marketing"/>
    <n v="10.1"/>
    <n v="71.7"/>
    <x v="1"/>
    <x v="0"/>
  </r>
  <r>
    <s v="E202603008"/>
    <x v="2"/>
    <x v="0"/>
    <x v="2"/>
    <s v="Programacao"/>
    <n v="10.1"/>
    <n v="61.8"/>
    <x v="1"/>
    <x v="0"/>
  </r>
  <r>
    <s v="E202603023"/>
    <x v="2"/>
    <x v="0"/>
    <x v="2"/>
    <s v="Redes"/>
    <n v="10.1"/>
    <n v="56.5"/>
    <x v="1"/>
    <x v="0"/>
  </r>
  <r>
    <s v="E202603051"/>
    <x v="2"/>
    <x v="0"/>
    <x v="2"/>
    <s v="Redes"/>
    <n v="10.1"/>
    <n v="74.2"/>
    <x v="1"/>
    <x v="0"/>
  </r>
  <r>
    <s v="E202603055"/>
    <x v="2"/>
    <x v="0"/>
    <x v="2"/>
    <s v="Programacao"/>
    <n v="10.1"/>
    <n v="69.3"/>
    <x v="1"/>
    <x v="0"/>
  </r>
  <r>
    <s v="E202601033"/>
    <x v="2"/>
    <x v="1"/>
    <x v="1"/>
    <s v="Redes"/>
    <n v="10.1"/>
    <n v="78.599999999999994"/>
    <x v="1"/>
    <x v="2"/>
  </r>
  <r>
    <s v="E202602031"/>
    <x v="2"/>
    <x v="1"/>
    <x v="0"/>
    <s v="Contabilidade"/>
    <n v="10.1"/>
    <n v="75.8"/>
    <x v="1"/>
    <x v="2"/>
  </r>
  <r>
    <s v="E202401018"/>
    <x v="0"/>
    <x v="0"/>
    <x v="1"/>
    <s v="Sinais"/>
    <n v="10.199999999999999"/>
    <n v="82.1"/>
    <x v="1"/>
    <x v="2"/>
  </r>
  <r>
    <s v="E202402023"/>
    <x v="0"/>
    <x v="0"/>
    <x v="0"/>
    <s v="Estatistica"/>
    <n v="10.199999999999999"/>
    <n v="93.7"/>
    <x v="1"/>
    <x v="2"/>
  </r>
  <r>
    <s v="E202402035"/>
    <x v="0"/>
    <x v="0"/>
    <x v="0"/>
    <s v="Contabilidade"/>
    <n v="10.199999999999999"/>
    <n v="84.9"/>
    <x v="1"/>
    <x v="2"/>
  </r>
  <r>
    <s v="E202401032"/>
    <x v="0"/>
    <x v="1"/>
    <x v="1"/>
    <s v="Redes"/>
    <n v="10.199999999999999"/>
    <n v="76.900000000000006"/>
    <x v="1"/>
    <x v="2"/>
  </r>
  <r>
    <s v="E202403001"/>
    <x v="0"/>
    <x v="1"/>
    <x v="2"/>
    <s v="Bases de Dados"/>
    <n v="10.199999999999999"/>
    <n v="94.5"/>
    <x v="1"/>
    <x v="2"/>
  </r>
  <r>
    <s v="E202501016"/>
    <x v="1"/>
    <x v="0"/>
    <x v="1"/>
    <s v="Sinais"/>
    <n v="10.199999999999999"/>
    <n v="80.099999999999994"/>
    <x v="1"/>
    <x v="2"/>
  </r>
  <r>
    <s v="E202501026"/>
    <x v="1"/>
    <x v="0"/>
    <x v="1"/>
    <s v="Matematica"/>
    <n v="10.199999999999999"/>
    <n v="79.3"/>
    <x v="1"/>
    <x v="2"/>
  </r>
  <r>
    <s v="E202501027"/>
    <x v="1"/>
    <x v="0"/>
    <x v="1"/>
    <s v="Sinais"/>
    <n v="10.199999999999999"/>
    <n v="54"/>
    <x v="1"/>
    <x v="0"/>
  </r>
  <r>
    <s v="E202502038"/>
    <x v="1"/>
    <x v="0"/>
    <x v="0"/>
    <s v="Estatistica"/>
    <n v="10.199999999999999"/>
    <n v="81.3"/>
    <x v="1"/>
    <x v="2"/>
  </r>
  <r>
    <s v="E202502039"/>
    <x v="1"/>
    <x v="0"/>
    <x v="0"/>
    <s v="Marketing"/>
    <n v="10.199999999999999"/>
    <n v="87.7"/>
    <x v="1"/>
    <x v="2"/>
  </r>
  <r>
    <s v="E202503004"/>
    <x v="1"/>
    <x v="0"/>
    <x v="2"/>
    <s v="Redes"/>
    <n v="10.199999999999999"/>
    <n v="48.8"/>
    <x v="1"/>
    <x v="1"/>
  </r>
  <r>
    <s v="E202503038"/>
    <x v="1"/>
    <x v="0"/>
    <x v="2"/>
    <s v="Bases de Dados"/>
    <n v="10.199999999999999"/>
    <n v="72.3"/>
    <x v="1"/>
    <x v="0"/>
  </r>
  <r>
    <s v="E202501014"/>
    <x v="1"/>
    <x v="1"/>
    <x v="1"/>
    <s v="Sinais"/>
    <n v="10.199999999999999"/>
    <n v="73.599999999999994"/>
    <x v="1"/>
    <x v="0"/>
  </r>
  <r>
    <s v="E202502005"/>
    <x v="1"/>
    <x v="1"/>
    <x v="0"/>
    <s v="Contabilidade"/>
    <n v="10.199999999999999"/>
    <n v="98.1"/>
    <x v="1"/>
    <x v="2"/>
  </r>
  <r>
    <s v="E202503002"/>
    <x v="1"/>
    <x v="1"/>
    <x v="2"/>
    <s v="Bases de Dados"/>
    <n v="10.199999999999999"/>
    <n v="64"/>
    <x v="1"/>
    <x v="0"/>
  </r>
  <r>
    <s v="E202503014"/>
    <x v="1"/>
    <x v="1"/>
    <x v="2"/>
    <s v="Programacao"/>
    <n v="10.199999999999999"/>
    <n v="49.6"/>
    <x v="1"/>
    <x v="1"/>
  </r>
  <r>
    <s v="E202503035"/>
    <x v="1"/>
    <x v="1"/>
    <x v="2"/>
    <s v="Redes"/>
    <n v="10.199999999999999"/>
    <n v="63.3"/>
    <x v="1"/>
    <x v="0"/>
  </r>
  <r>
    <s v="E202503052"/>
    <x v="1"/>
    <x v="1"/>
    <x v="2"/>
    <s v="Bases de Dados"/>
    <n v="10.199999999999999"/>
    <n v="54.6"/>
    <x v="1"/>
    <x v="0"/>
  </r>
  <r>
    <s v="E202602008"/>
    <x v="2"/>
    <x v="0"/>
    <x v="0"/>
    <s v="Contabilidade"/>
    <n v="10.199999999999999"/>
    <n v="52"/>
    <x v="1"/>
    <x v="0"/>
  </r>
  <r>
    <s v="E202602054"/>
    <x v="2"/>
    <x v="0"/>
    <x v="0"/>
    <s v="Contabilidade"/>
    <n v="10.199999999999999"/>
    <n v="62"/>
    <x v="1"/>
    <x v="0"/>
  </r>
  <r>
    <s v="E202602058"/>
    <x v="2"/>
    <x v="0"/>
    <x v="0"/>
    <s v="Estatistica"/>
    <n v="10.199999999999999"/>
    <n v="51.1"/>
    <x v="1"/>
    <x v="0"/>
  </r>
  <r>
    <s v="E202603010"/>
    <x v="2"/>
    <x v="0"/>
    <x v="2"/>
    <s v="Programacao"/>
    <n v="10.199999999999999"/>
    <n v="86.5"/>
    <x v="1"/>
    <x v="2"/>
  </r>
  <r>
    <s v="E202603020"/>
    <x v="2"/>
    <x v="0"/>
    <x v="2"/>
    <s v="Bases de Dados"/>
    <n v="10.199999999999999"/>
    <n v="70"/>
    <x v="1"/>
    <x v="0"/>
  </r>
  <r>
    <s v="E202602021"/>
    <x v="2"/>
    <x v="1"/>
    <x v="0"/>
    <s v="Estatistica"/>
    <n v="10.199999999999999"/>
    <n v="72.7"/>
    <x v="1"/>
    <x v="0"/>
  </r>
  <r>
    <s v="E202602042"/>
    <x v="2"/>
    <x v="1"/>
    <x v="0"/>
    <s v="Contabilidade"/>
    <n v="10.199999999999999"/>
    <n v="82.2"/>
    <x v="1"/>
    <x v="2"/>
  </r>
  <r>
    <s v="E202603037"/>
    <x v="2"/>
    <x v="1"/>
    <x v="2"/>
    <s v="Programacao"/>
    <n v="10.199999999999999"/>
    <n v="83.7"/>
    <x v="1"/>
    <x v="2"/>
  </r>
  <r>
    <s v="E202401049"/>
    <x v="0"/>
    <x v="0"/>
    <x v="1"/>
    <s v="Sinais"/>
    <n v="10.3"/>
    <n v="57.4"/>
    <x v="1"/>
    <x v="0"/>
  </r>
  <r>
    <s v="E202402006"/>
    <x v="0"/>
    <x v="0"/>
    <x v="0"/>
    <s v="Estatistica"/>
    <n v="10.3"/>
    <n v="70.5"/>
    <x v="1"/>
    <x v="0"/>
  </r>
  <r>
    <s v="E202402042"/>
    <x v="0"/>
    <x v="0"/>
    <x v="0"/>
    <s v="Estatistica"/>
    <n v="10.3"/>
    <n v="96.3"/>
    <x v="1"/>
    <x v="2"/>
  </r>
  <r>
    <s v="E202403021"/>
    <x v="0"/>
    <x v="0"/>
    <x v="2"/>
    <s v="Programacao"/>
    <n v="10.3"/>
    <n v="59.3"/>
    <x v="1"/>
    <x v="0"/>
  </r>
  <r>
    <s v="E202403022"/>
    <x v="0"/>
    <x v="0"/>
    <x v="2"/>
    <s v="Redes"/>
    <n v="10.3"/>
    <n v="45.6"/>
    <x v="1"/>
    <x v="1"/>
  </r>
  <r>
    <s v="E202403043"/>
    <x v="0"/>
    <x v="0"/>
    <x v="2"/>
    <s v="Programacao"/>
    <n v="10.3"/>
    <n v="56.1"/>
    <x v="1"/>
    <x v="0"/>
  </r>
  <r>
    <s v="E202401029"/>
    <x v="0"/>
    <x v="1"/>
    <x v="1"/>
    <s v="Sinais"/>
    <n v="10.3"/>
    <n v="68.5"/>
    <x v="1"/>
    <x v="0"/>
  </r>
  <r>
    <s v="E202401039"/>
    <x v="0"/>
    <x v="1"/>
    <x v="1"/>
    <s v="Matematica"/>
    <n v="10.3"/>
    <n v="88.6"/>
    <x v="1"/>
    <x v="2"/>
  </r>
  <r>
    <s v="E202402001"/>
    <x v="0"/>
    <x v="1"/>
    <x v="0"/>
    <s v="Marketing"/>
    <n v="10.3"/>
    <n v="79.900000000000006"/>
    <x v="1"/>
    <x v="2"/>
  </r>
  <r>
    <s v="E202402008"/>
    <x v="0"/>
    <x v="1"/>
    <x v="0"/>
    <s v="Marketing"/>
    <n v="10.3"/>
    <n v="81.400000000000006"/>
    <x v="1"/>
    <x v="2"/>
  </r>
  <r>
    <s v="E202403030"/>
    <x v="0"/>
    <x v="1"/>
    <x v="2"/>
    <s v="Programacao"/>
    <n v="10.3"/>
    <n v="82.4"/>
    <x v="1"/>
    <x v="2"/>
  </r>
  <r>
    <s v="E202501022"/>
    <x v="1"/>
    <x v="0"/>
    <x v="1"/>
    <s v="Matematica"/>
    <n v="10.3"/>
    <n v="60.6"/>
    <x v="1"/>
    <x v="0"/>
  </r>
  <r>
    <s v="E202502041"/>
    <x v="1"/>
    <x v="0"/>
    <x v="0"/>
    <s v="Marketing"/>
    <n v="10.3"/>
    <n v="86.3"/>
    <x v="1"/>
    <x v="2"/>
  </r>
  <r>
    <s v="E202502046"/>
    <x v="1"/>
    <x v="0"/>
    <x v="0"/>
    <s v="Contabilidade"/>
    <n v="10.3"/>
    <n v="50"/>
    <x v="1"/>
    <x v="0"/>
  </r>
  <r>
    <s v="E202502055"/>
    <x v="1"/>
    <x v="0"/>
    <x v="0"/>
    <s v="Marketing"/>
    <n v="10.3"/>
    <n v="62.6"/>
    <x v="1"/>
    <x v="0"/>
  </r>
  <r>
    <s v="E202502058"/>
    <x v="1"/>
    <x v="0"/>
    <x v="0"/>
    <s v="Estatistica"/>
    <n v="10.3"/>
    <n v="75.8"/>
    <x v="1"/>
    <x v="2"/>
  </r>
  <r>
    <s v="E202502059"/>
    <x v="1"/>
    <x v="0"/>
    <x v="0"/>
    <s v="Estatistica"/>
    <n v="10.3"/>
    <n v="72.900000000000006"/>
    <x v="1"/>
    <x v="0"/>
  </r>
  <r>
    <s v="E202503013"/>
    <x v="1"/>
    <x v="0"/>
    <x v="2"/>
    <s v="Programacao"/>
    <n v="10.3"/>
    <n v="72.7"/>
    <x v="1"/>
    <x v="0"/>
  </r>
  <r>
    <s v="E202503021"/>
    <x v="1"/>
    <x v="0"/>
    <x v="2"/>
    <s v="Bases de Dados"/>
    <n v="10.3"/>
    <n v="68.7"/>
    <x v="1"/>
    <x v="0"/>
  </r>
  <r>
    <s v="E202503032"/>
    <x v="1"/>
    <x v="0"/>
    <x v="2"/>
    <s v="Bases de Dados"/>
    <n v="10.3"/>
    <n v="65.099999999999994"/>
    <x v="1"/>
    <x v="0"/>
  </r>
  <r>
    <s v="E202503048"/>
    <x v="1"/>
    <x v="0"/>
    <x v="2"/>
    <s v="Bases de Dados"/>
    <n v="10.3"/>
    <n v="88.5"/>
    <x v="1"/>
    <x v="2"/>
  </r>
  <r>
    <s v="E202503057"/>
    <x v="1"/>
    <x v="0"/>
    <x v="2"/>
    <s v="Redes"/>
    <n v="10.3"/>
    <n v="51.2"/>
    <x v="1"/>
    <x v="0"/>
  </r>
  <r>
    <s v="E202501028"/>
    <x v="1"/>
    <x v="1"/>
    <x v="1"/>
    <s v="Matematica"/>
    <n v="10.3"/>
    <n v="93"/>
    <x v="1"/>
    <x v="2"/>
  </r>
  <r>
    <s v="E202502004"/>
    <x v="1"/>
    <x v="1"/>
    <x v="0"/>
    <s v="Estatistica"/>
    <n v="10.3"/>
    <n v="58.1"/>
    <x v="1"/>
    <x v="0"/>
  </r>
  <r>
    <s v="E202502005"/>
    <x v="1"/>
    <x v="1"/>
    <x v="0"/>
    <s v="Marketing"/>
    <n v="10.3"/>
    <n v="65.2"/>
    <x v="1"/>
    <x v="0"/>
  </r>
  <r>
    <s v="E202502032"/>
    <x v="1"/>
    <x v="1"/>
    <x v="0"/>
    <s v="Marketing"/>
    <n v="10.3"/>
    <n v="70"/>
    <x v="1"/>
    <x v="0"/>
  </r>
  <r>
    <s v="E202502034"/>
    <x v="1"/>
    <x v="1"/>
    <x v="0"/>
    <s v="Estatistica"/>
    <n v="10.3"/>
    <n v="99"/>
    <x v="1"/>
    <x v="2"/>
  </r>
  <r>
    <s v="E202502055"/>
    <x v="1"/>
    <x v="1"/>
    <x v="0"/>
    <s v="Marketing"/>
    <n v="10.3"/>
    <n v="78"/>
    <x v="1"/>
    <x v="2"/>
  </r>
  <r>
    <s v="E202503024"/>
    <x v="1"/>
    <x v="1"/>
    <x v="2"/>
    <s v="Bases de Dados"/>
    <n v="10.3"/>
    <n v="49.2"/>
    <x v="1"/>
    <x v="1"/>
  </r>
  <r>
    <s v="E202503036"/>
    <x v="1"/>
    <x v="1"/>
    <x v="2"/>
    <s v="Bases de Dados"/>
    <n v="10.3"/>
    <n v="87.5"/>
    <x v="1"/>
    <x v="2"/>
  </r>
  <r>
    <s v="E202503043"/>
    <x v="1"/>
    <x v="1"/>
    <x v="2"/>
    <s v="Redes"/>
    <n v="10.3"/>
    <n v="85"/>
    <x v="1"/>
    <x v="2"/>
  </r>
  <r>
    <s v="E202503060"/>
    <x v="1"/>
    <x v="1"/>
    <x v="2"/>
    <s v="Programacao"/>
    <n v="10.3"/>
    <n v="75"/>
    <x v="1"/>
    <x v="2"/>
  </r>
  <r>
    <s v="E202601019"/>
    <x v="2"/>
    <x v="0"/>
    <x v="1"/>
    <s v="Sinais"/>
    <n v="10.3"/>
    <n v="49"/>
    <x v="1"/>
    <x v="1"/>
  </r>
  <r>
    <s v="E202601020"/>
    <x v="2"/>
    <x v="0"/>
    <x v="1"/>
    <s v="Redes"/>
    <n v="10.3"/>
    <n v="62.8"/>
    <x v="1"/>
    <x v="0"/>
  </r>
  <r>
    <s v="E202602059"/>
    <x v="2"/>
    <x v="0"/>
    <x v="0"/>
    <s v="Contabilidade"/>
    <n v="10.3"/>
    <n v="63"/>
    <x v="1"/>
    <x v="0"/>
  </r>
  <r>
    <s v="E202603016"/>
    <x v="2"/>
    <x v="0"/>
    <x v="2"/>
    <s v="Redes"/>
    <n v="10.3"/>
    <n v="75.099999999999994"/>
    <x v="1"/>
    <x v="2"/>
  </r>
  <r>
    <s v="E202603021"/>
    <x v="2"/>
    <x v="0"/>
    <x v="2"/>
    <s v="Bases de Dados"/>
    <n v="10.3"/>
    <n v="98.5"/>
    <x v="1"/>
    <x v="2"/>
  </r>
  <r>
    <s v="E202601009"/>
    <x v="2"/>
    <x v="1"/>
    <x v="1"/>
    <s v="Sinais"/>
    <n v="10.3"/>
    <n v="80.7"/>
    <x v="1"/>
    <x v="2"/>
  </r>
  <r>
    <s v="E202601030"/>
    <x v="2"/>
    <x v="1"/>
    <x v="1"/>
    <s v="Matematica"/>
    <n v="10.3"/>
    <n v="58.7"/>
    <x v="1"/>
    <x v="0"/>
  </r>
  <r>
    <s v="E202602043"/>
    <x v="2"/>
    <x v="1"/>
    <x v="0"/>
    <s v="Contabilidade"/>
    <n v="10.3"/>
    <n v="45.7"/>
    <x v="1"/>
    <x v="1"/>
  </r>
  <r>
    <s v="E202603001"/>
    <x v="2"/>
    <x v="1"/>
    <x v="2"/>
    <s v="Programacao"/>
    <n v="10.3"/>
    <n v="60.6"/>
    <x v="1"/>
    <x v="0"/>
  </r>
  <r>
    <s v="E202603053"/>
    <x v="2"/>
    <x v="1"/>
    <x v="2"/>
    <s v="Programacao"/>
    <n v="10.3"/>
    <n v="67.900000000000006"/>
    <x v="1"/>
    <x v="0"/>
  </r>
  <r>
    <s v="E202401003"/>
    <x v="0"/>
    <x v="0"/>
    <x v="1"/>
    <s v="Sinais"/>
    <n v="10.4"/>
    <n v="85.2"/>
    <x v="1"/>
    <x v="2"/>
  </r>
  <r>
    <s v="E202401019"/>
    <x v="0"/>
    <x v="0"/>
    <x v="1"/>
    <s v="Sinais"/>
    <n v="10.4"/>
    <n v="81.2"/>
    <x v="1"/>
    <x v="2"/>
  </r>
  <r>
    <s v="E202402022"/>
    <x v="0"/>
    <x v="0"/>
    <x v="0"/>
    <s v="Marketing"/>
    <n v="10.4"/>
    <n v="86.9"/>
    <x v="1"/>
    <x v="2"/>
  </r>
  <r>
    <s v="E202403019"/>
    <x v="0"/>
    <x v="0"/>
    <x v="2"/>
    <s v="Programacao"/>
    <n v="10.4"/>
    <n v="99.4"/>
    <x v="1"/>
    <x v="2"/>
  </r>
  <r>
    <s v="E202403037"/>
    <x v="0"/>
    <x v="0"/>
    <x v="2"/>
    <s v="Bases de Dados"/>
    <n v="10.4"/>
    <n v="72.400000000000006"/>
    <x v="1"/>
    <x v="0"/>
  </r>
  <r>
    <s v="E202401009"/>
    <x v="0"/>
    <x v="1"/>
    <x v="1"/>
    <s v="Sinais"/>
    <n v="10.4"/>
    <n v="64.400000000000006"/>
    <x v="1"/>
    <x v="0"/>
  </r>
  <r>
    <s v="E202401035"/>
    <x v="0"/>
    <x v="1"/>
    <x v="1"/>
    <s v="Redes"/>
    <n v="10.4"/>
    <n v="67.900000000000006"/>
    <x v="1"/>
    <x v="0"/>
  </r>
  <r>
    <s v="E202401036"/>
    <x v="0"/>
    <x v="1"/>
    <x v="1"/>
    <s v="Matematica"/>
    <n v="10.4"/>
    <n v="97.5"/>
    <x v="1"/>
    <x v="2"/>
  </r>
  <r>
    <s v="E202402019"/>
    <x v="0"/>
    <x v="1"/>
    <x v="0"/>
    <s v="Contabilidade"/>
    <n v="10.4"/>
    <n v="59.5"/>
    <x v="1"/>
    <x v="0"/>
  </r>
  <r>
    <s v="E202403001"/>
    <x v="0"/>
    <x v="1"/>
    <x v="2"/>
    <s v="Programacao"/>
    <n v="10.4"/>
    <n v="51.4"/>
    <x v="1"/>
    <x v="0"/>
  </r>
  <r>
    <s v="E202501037"/>
    <x v="1"/>
    <x v="0"/>
    <x v="1"/>
    <s v="Sinais"/>
    <n v="10.4"/>
    <n v="45.3"/>
    <x v="1"/>
    <x v="1"/>
  </r>
  <r>
    <s v="E202501048"/>
    <x v="1"/>
    <x v="0"/>
    <x v="1"/>
    <s v="Redes"/>
    <n v="10.4"/>
    <n v="46.2"/>
    <x v="1"/>
    <x v="1"/>
  </r>
  <r>
    <s v="E202502030"/>
    <x v="1"/>
    <x v="0"/>
    <x v="0"/>
    <s v="Estatistica"/>
    <n v="10.4"/>
    <n v="63.7"/>
    <x v="1"/>
    <x v="0"/>
  </r>
  <r>
    <s v="E202503010"/>
    <x v="1"/>
    <x v="0"/>
    <x v="2"/>
    <s v="Programacao"/>
    <n v="10.4"/>
    <n v="53.2"/>
    <x v="1"/>
    <x v="0"/>
  </r>
  <r>
    <s v="E202501020"/>
    <x v="1"/>
    <x v="1"/>
    <x v="1"/>
    <s v="Sinais"/>
    <n v="10.4"/>
    <n v="65.2"/>
    <x v="1"/>
    <x v="0"/>
  </r>
  <r>
    <s v="E202501036"/>
    <x v="1"/>
    <x v="1"/>
    <x v="1"/>
    <s v="Sinais"/>
    <n v="10.4"/>
    <n v="81.599999999999994"/>
    <x v="1"/>
    <x v="2"/>
  </r>
  <r>
    <s v="E202501055"/>
    <x v="1"/>
    <x v="1"/>
    <x v="1"/>
    <s v="Redes"/>
    <n v="10.4"/>
    <n v="82.9"/>
    <x v="1"/>
    <x v="2"/>
  </r>
  <r>
    <s v="E202502024"/>
    <x v="1"/>
    <x v="1"/>
    <x v="0"/>
    <s v="Contabilidade"/>
    <n v="10.4"/>
    <n v="52.3"/>
    <x v="1"/>
    <x v="0"/>
  </r>
  <r>
    <s v="E202503032"/>
    <x v="1"/>
    <x v="1"/>
    <x v="2"/>
    <s v="Redes"/>
    <n v="10.4"/>
    <n v="79.5"/>
    <x v="1"/>
    <x v="2"/>
  </r>
  <r>
    <s v="E202503047"/>
    <x v="1"/>
    <x v="1"/>
    <x v="2"/>
    <s v="Programacao"/>
    <n v="10.4"/>
    <n v="63.8"/>
    <x v="1"/>
    <x v="0"/>
  </r>
  <r>
    <s v="E202503051"/>
    <x v="1"/>
    <x v="1"/>
    <x v="2"/>
    <s v="Bases de Dados"/>
    <n v="10.4"/>
    <n v="57.1"/>
    <x v="1"/>
    <x v="0"/>
  </r>
  <r>
    <s v="E202601014"/>
    <x v="2"/>
    <x v="0"/>
    <x v="1"/>
    <s v="Redes"/>
    <n v="10.4"/>
    <n v="64.3"/>
    <x v="1"/>
    <x v="0"/>
  </r>
  <r>
    <s v="E202601033"/>
    <x v="2"/>
    <x v="0"/>
    <x v="1"/>
    <s v="Sinais"/>
    <n v="10.4"/>
    <n v="71.2"/>
    <x v="1"/>
    <x v="0"/>
  </r>
  <r>
    <s v="E202601038"/>
    <x v="2"/>
    <x v="0"/>
    <x v="1"/>
    <s v="Redes"/>
    <n v="10.4"/>
    <n v="52.6"/>
    <x v="1"/>
    <x v="0"/>
  </r>
  <r>
    <s v="E202601052"/>
    <x v="2"/>
    <x v="0"/>
    <x v="1"/>
    <s v="Matematica"/>
    <n v="10.4"/>
    <n v="88.2"/>
    <x v="1"/>
    <x v="2"/>
  </r>
  <r>
    <s v="E202602002"/>
    <x v="2"/>
    <x v="0"/>
    <x v="0"/>
    <s v="Contabilidade"/>
    <n v="10.4"/>
    <n v="54.7"/>
    <x v="1"/>
    <x v="0"/>
  </r>
  <r>
    <s v="E202603054"/>
    <x v="2"/>
    <x v="0"/>
    <x v="2"/>
    <s v="Bases de Dados"/>
    <n v="10.4"/>
    <n v="68.599999999999994"/>
    <x v="1"/>
    <x v="0"/>
  </r>
  <r>
    <s v="E202601039"/>
    <x v="2"/>
    <x v="1"/>
    <x v="1"/>
    <s v="Matematica"/>
    <n v="10.4"/>
    <n v="92.1"/>
    <x v="1"/>
    <x v="2"/>
  </r>
  <r>
    <s v="E202603028"/>
    <x v="2"/>
    <x v="1"/>
    <x v="2"/>
    <s v="Redes"/>
    <n v="10.4"/>
    <n v="83.2"/>
    <x v="1"/>
    <x v="2"/>
  </r>
  <r>
    <s v="E202603046"/>
    <x v="2"/>
    <x v="1"/>
    <x v="2"/>
    <s v="Redes"/>
    <n v="10.4"/>
    <n v="97.9"/>
    <x v="1"/>
    <x v="2"/>
  </r>
  <r>
    <s v="E202401009"/>
    <x v="0"/>
    <x v="0"/>
    <x v="1"/>
    <s v="Sinais"/>
    <n v="10.5"/>
    <n v="93.1"/>
    <x v="1"/>
    <x v="2"/>
  </r>
  <r>
    <s v="E202402005"/>
    <x v="0"/>
    <x v="0"/>
    <x v="0"/>
    <s v="Contabilidade"/>
    <n v="10.5"/>
    <n v="73"/>
    <x v="1"/>
    <x v="0"/>
  </r>
  <r>
    <s v="E202402013"/>
    <x v="0"/>
    <x v="0"/>
    <x v="0"/>
    <s v="Estatistica"/>
    <n v="10.5"/>
    <n v="66.2"/>
    <x v="1"/>
    <x v="0"/>
  </r>
  <r>
    <s v="E202402048"/>
    <x v="0"/>
    <x v="0"/>
    <x v="0"/>
    <s v="Marketing"/>
    <n v="10.5"/>
    <n v="88"/>
    <x v="1"/>
    <x v="2"/>
  </r>
  <r>
    <s v="E202402051"/>
    <x v="0"/>
    <x v="0"/>
    <x v="0"/>
    <s v="Estatistica"/>
    <n v="10.5"/>
    <n v="90.4"/>
    <x v="1"/>
    <x v="2"/>
  </r>
  <r>
    <s v="E202403012"/>
    <x v="0"/>
    <x v="0"/>
    <x v="2"/>
    <s v="Programacao"/>
    <n v="10.5"/>
    <n v="73.5"/>
    <x v="1"/>
    <x v="0"/>
  </r>
  <r>
    <s v="E202401016"/>
    <x v="0"/>
    <x v="1"/>
    <x v="1"/>
    <s v="Redes"/>
    <n v="10.5"/>
    <n v="66.8"/>
    <x v="1"/>
    <x v="0"/>
  </r>
  <r>
    <s v="E202401024"/>
    <x v="0"/>
    <x v="1"/>
    <x v="1"/>
    <s v="Matematica"/>
    <n v="10.5"/>
    <n v="81.900000000000006"/>
    <x v="1"/>
    <x v="2"/>
  </r>
  <r>
    <s v="E202401052"/>
    <x v="0"/>
    <x v="1"/>
    <x v="1"/>
    <s v="Matematica"/>
    <n v="10.5"/>
    <n v="60.3"/>
    <x v="1"/>
    <x v="0"/>
  </r>
  <r>
    <s v="E202401053"/>
    <x v="0"/>
    <x v="1"/>
    <x v="1"/>
    <s v="Redes"/>
    <n v="10.5"/>
    <n v="55.5"/>
    <x v="1"/>
    <x v="0"/>
  </r>
  <r>
    <s v="E202401058"/>
    <x v="0"/>
    <x v="1"/>
    <x v="1"/>
    <s v="Sinais"/>
    <n v="10.5"/>
    <n v="75.400000000000006"/>
    <x v="1"/>
    <x v="2"/>
  </r>
  <r>
    <s v="E202402002"/>
    <x v="0"/>
    <x v="1"/>
    <x v="0"/>
    <s v="Estatistica"/>
    <n v="10.5"/>
    <n v="79.2"/>
    <x v="1"/>
    <x v="2"/>
  </r>
  <r>
    <s v="E202402019"/>
    <x v="0"/>
    <x v="1"/>
    <x v="0"/>
    <s v="Estatistica"/>
    <n v="10.5"/>
    <n v="76.5"/>
    <x v="1"/>
    <x v="2"/>
  </r>
  <r>
    <s v="E202402029"/>
    <x v="0"/>
    <x v="1"/>
    <x v="0"/>
    <s v="Estatistica"/>
    <n v="10.5"/>
    <n v="99.7"/>
    <x v="1"/>
    <x v="2"/>
  </r>
  <r>
    <s v="E202402038"/>
    <x v="0"/>
    <x v="1"/>
    <x v="0"/>
    <s v="Contabilidade"/>
    <n v="10.5"/>
    <n v="56.6"/>
    <x v="1"/>
    <x v="0"/>
  </r>
  <r>
    <s v="E202402049"/>
    <x v="0"/>
    <x v="1"/>
    <x v="0"/>
    <s v="Contabilidade"/>
    <n v="10.5"/>
    <n v="71"/>
    <x v="1"/>
    <x v="0"/>
  </r>
  <r>
    <s v="E202403007"/>
    <x v="0"/>
    <x v="1"/>
    <x v="2"/>
    <s v="Programacao"/>
    <n v="10.5"/>
    <n v="91.4"/>
    <x v="1"/>
    <x v="2"/>
  </r>
  <r>
    <s v="E202501011"/>
    <x v="1"/>
    <x v="0"/>
    <x v="1"/>
    <s v="Sinais"/>
    <n v="10.5"/>
    <n v="79.099999999999994"/>
    <x v="1"/>
    <x v="2"/>
  </r>
  <r>
    <s v="E202501058"/>
    <x v="1"/>
    <x v="0"/>
    <x v="1"/>
    <s v="Sinais"/>
    <n v="10.5"/>
    <n v="56.6"/>
    <x v="1"/>
    <x v="0"/>
  </r>
  <r>
    <s v="E202501059"/>
    <x v="1"/>
    <x v="0"/>
    <x v="1"/>
    <s v="Redes"/>
    <n v="10.5"/>
    <n v="81.2"/>
    <x v="1"/>
    <x v="2"/>
  </r>
  <r>
    <s v="E202502019"/>
    <x v="1"/>
    <x v="0"/>
    <x v="0"/>
    <s v="Contabilidade"/>
    <n v="10.5"/>
    <n v="51.8"/>
    <x v="1"/>
    <x v="0"/>
  </r>
  <r>
    <s v="E202502032"/>
    <x v="1"/>
    <x v="0"/>
    <x v="0"/>
    <s v="Marketing"/>
    <n v="10.5"/>
    <n v="99"/>
    <x v="1"/>
    <x v="2"/>
  </r>
  <r>
    <s v="E202502036"/>
    <x v="1"/>
    <x v="0"/>
    <x v="0"/>
    <s v="Marketing"/>
    <n v="10.5"/>
    <n v="90.6"/>
    <x v="1"/>
    <x v="2"/>
  </r>
  <r>
    <s v="E202502043"/>
    <x v="1"/>
    <x v="0"/>
    <x v="0"/>
    <s v="Marketing"/>
    <n v="10.5"/>
    <n v="84.7"/>
    <x v="1"/>
    <x v="2"/>
  </r>
  <r>
    <s v="E202503006"/>
    <x v="1"/>
    <x v="0"/>
    <x v="2"/>
    <s v="Bases de Dados"/>
    <n v="10.5"/>
    <n v="79.599999999999994"/>
    <x v="1"/>
    <x v="2"/>
  </r>
  <r>
    <s v="E202503029"/>
    <x v="1"/>
    <x v="0"/>
    <x v="2"/>
    <s v="Redes"/>
    <n v="10.5"/>
    <n v="88.3"/>
    <x v="1"/>
    <x v="2"/>
  </r>
  <r>
    <s v="E202501041"/>
    <x v="1"/>
    <x v="1"/>
    <x v="1"/>
    <s v="Matematica"/>
    <n v="10.5"/>
    <n v="63.4"/>
    <x v="1"/>
    <x v="0"/>
  </r>
  <r>
    <s v="E202502002"/>
    <x v="1"/>
    <x v="1"/>
    <x v="0"/>
    <s v="Marketing"/>
    <n v="10.5"/>
    <n v="86.4"/>
    <x v="1"/>
    <x v="2"/>
  </r>
  <r>
    <s v="E202503019"/>
    <x v="1"/>
    <x v="1"/>
    <x v="2"/>
    <s v="Redes"/>
    <n v="10.5"/>
    <n v="86.4"/>
    <x v="1"/>
    <x v="2"/>
  </r>
  <r>
    <s v="E202503055"/>
    <x v="1"/>
    <x v="1"/>
    <x v="2"/>
    <s v="Bases de Dados"/>
    <n v="10.5"/>
    <n v="84.1"/>
    <x v="1"/>
    <x v="2"/>
  </r>
  <r>
    <s v="E202601012"/>
    <x v="2"/>
    <x v="0"/>
    <x v="1"/>
    <s v="Sinais"/>
    <n v="10.5"/>
    <n v="91.6"/>
    <x v="1"/>
    <x v="2"/>
  </r>
  <r>
    <s v="E202602046"/>
    <x v="2"/>
    <x v="0"/>
    <x v="0"/>
    <s v="Estatistica"/>
    <n v="10.5"/>
    <n v="68.8"/>
    <x v="1"/>
    <x v="0"/>
  </r>
  <r>
    <s v="E202602054"/>
    <x v="2"/>
    <x v="0"/>
    <x v="0"/>
    <s v="Estatistica"/>
    <n v="10.5"/>
    <n v="89.4"/>
    <x v="1"/>
    <x v="2"/>
  </r>
  <r>
    <s v="E202603002"/>
    <x v="2"/>
    <x v="0"/>
    <x v="2"/>
    <s v="Bases de Dados"/>
    <n v="10.5"/>
    <n v="57"/>
    <x v="1"/>
    <x v="0"/>
  </r>
  <r>
    <s v="E202603046"/>
    <x v="2"/>
    <x v="0"/>
    <x v="2"/>
    <s v="Bases de Dados"/>
    <n v="10.5"/>
    <n v="54.2"/>
    <x v="1"/>
    <x v="0"/>
  </r>
  <r>
    <s v="E202601025"/>
    <x v="2"/>
    <x v="1"/>
    <x v="1"/>
    <s v="Matematica"/>
    <n v="10.5"/>
    <n v="83"/>
    <x v="1"/>
    <x v="2"/>
  </r>
  <r>
    <s v="E202601027"/>
    <x v="2"/>
    <x v="1"/>
    <x v="1"/>
    <s v="Matematica"/>
    <n v="10.5"/>
    <n v="74.599999999999994"/>
    <x v="1"/>
    <x v="0"/>
  </r>
  <r>
    <s v="E202601055"/>
    <x v="2"/>
    <x v="1"/>
    <x v="1"/>
    <s v="Redes"/>
    <n v="10.5"/>
    <n v="63.2"/>
    <x v="1"/>
    <x v="0"/>
  </r>
  <r>
    <s v="E202603020"/>
    <x v="2"/>
    <x v="1"/>
    <x v="2"/>
    <s v="Programacao"/>
    <n v="10.5"/>
    <n v="75.7"/>
    <x v="1"/>
    <x v="2"/>
  </r>
  <r>
    <s v="E202603044"/>
    <x v="2"/>
    <x v="1"/>
    <x v="2"/>
    <s v="Programacao"/>
    <n v="10.5"/>
    <n v="73"/>
    <x v="1"/>
    <x v="0"/>
  </r>
  <r>
    <s v="E202401002"/>
    <x v="0"/>
    <x v="0"/>
    <x v="1"/>
    <s v="Sinais"/>
    <n v="10.6"/>
    <n v="64.2"/>
    <x v="1"/>
    <x v="0"/>
  </r>
  <r>
    <s v="E202401032"/>
    <x v="0"/>
    <x v="0"/>
    <x v="1"/>
    <s v="Redes"/>
    <n v="10.6"/>
    <n v="95"/>
    <x v="1"/>
    <x v="2"/>
  </r>
  <r>
    <s v="E202401038"/>
    <x v="0"/>
    <x v="0"/>
    <x v="1"/>
    <s v="Sinais"/>
    <n v="10.6"/>
    <n v="48.8"/>
    <x v="1"/>
    <x v="1"/>
  </r>
  <r>
    <s v="E202401044"/>
    <x v="0"/>
    <x v="0"/>
    <x v="1"/>
    <s v="Redes"/>
    <n v="10.6"/>
    <n v="80.599999999999994"/>
    <x v="1"/>
    <x v="2"/>
  </r>
  <r>
    <s v="E202401051"/>
    <x v="0"/>
    <x v="0"/>
    <x v="1"/>
    <s v="Sinais"/>
    <n v="10.6"/>
    <n v="52.9"/>
    <x v="1"/>
    <x v="0"/>
  </r>
  <r>
    <s v="E202401059"/>
    <x v="0"/>
    <x v="0"/>
    <x v="1"/>
    <s v="Matematica"/>
    <n v="10.6"/>
    <n v="91.7"/>
    <x v="1"/>
    <x v="2"/>
  </r>
  <r>
    <s v="E202401059"/>
    <x v="0"/>
    <x v="0"/>
    <x v="1"/>
    <s v="Sinais"/>
    <n v="10.6"/>
    <n v="46.5"/>
    <x v="1"/>
    <x v="1"/>
  </r>
  <r>
    <s v="E202403038"/>
    <x v="0"/>
    <x v="0"/>
    <x v="2"/>
    <s v="Redes"/>
    <n v="10.6"/>
    <n v="53"/>
    <x v="1"/>
    <x v="0"/>
  </r>
  <r>
    <s v="E202403047"/>
    <x v="0"/>
    <x v="0"/>
    <x v="2"/>
    <s v="Programacao"/>
    <n v="10.6"/>
    <n v="56.1"/>
    <x v="1"/>
    <x v="0"/>
  </r>
  <r>
    <s v="E202401003"/>
    <x v="0"/>
    <x v="1"/>
    <x v="1"/>
    <s v="Sinais"/>
    <n v="10.6"/>
    <n v="95.3"/>
    <x v="1"/>
    <x v="2"/>
  </r>
  <r>
    <s v="E202401028"/>
    <x v="0"/>
    <x v="1"/>
    <x v="1"/>
    <s v="Redes"/>
    <n v="10.6"/>
    <n v="58.8"/>
    <x v="1"/>
    <x v="0"/>
  </r>
  <r>
    <s v="E202401045"/>
    <x v="0"/>
    <x v="1"/>
    <x v="1"/>
    <s v="Sinais"/>
    <n v="10.6"/>
    <n v="57.6"/>
    <x v="1"/>
    <x v="0"/>
  </r>
  <r>
    <s v="E202401046"/>
    <x v="0"/>
    <x v="1"/>
    <x v="1"/>
    <s v="Matematica"/>
    <n v="10.6"/>
    <n v="63.5"/>
    <x v="1"/>
    <x v="0"/>
  </r>
  <r>
    <s v="E202402023"/>
    <x v="0"/>
    <x v="1"/>
    <x v="0"/>
    <s v="Estatistica"/>
    <n v="10.6"/>
    <n v="91.4"/>
    <x v="1"/>
    <x v="2"/>
  </r>
  <r>
    <s v="E202402054"/>
    <x v="0"/>
    <x v="1"/>
    <x v="0"/>
    <s v="Marketing"/>
    <n v="10.6"/>
    <n v="74.5"/>
    <x v="1"/>
    <x v="0"/>
  </r>
  <r>
    <s v="E202403029"/>
    <x v="0"/>
    <x v="1"/>
    <x v="2"/>
    <s v="Redes"/>
    <n v="10.6"/>
    <n v="50"/>
    <x v="1"/>
    <x v="0"/>
  </r>
  <r>
    <s v="E202501012"/>
    <x v="1"/>
    <x v="0"/>
    <x v="1"/>
    <s v="Redes"/>
    <n v="10.6"/>
    <n v="91.1"/>
    <x v="1"/>
    <x v="2"/>
  </r>
  <r>
    <s v="E202501015"/>
    <x v="1"/>
    <x v="0"/>
    <x v="1"/>
    <s v="Sinais"/>
    <n v="10.6"/>
    <n v="89.3"/>
    <x v="1"/>
    <x v="2"/>
  </r>
  <r>
    <s v="E202501045"/>
    <x v="1"/>
    <x v="0"/>
    <x v="1"/>
    <s v="Matematica"/>
    <n v="10.6"/>
    <n v="83.8"/>
    <x v="1"/>
    <x v="2"/>
  </r>
  <r>
    <s v="E202501056"/>
    <x v="1"/>
    <x v="0"/>
    <x v="1"/>
    <s v="Sinais"/>
    <n v="10.6"/>
    <n v="81.3"/>
    <x v="1"/>
    <x v="2"/>
  </r>
  <r>
    <s v="E202503035"/>
    <x v="1"/>
    <x v="0"/>
    <x v="2"/>
    <s v="Programacao"/>
    <n v="10.6"/>
    <n v="68"/>
    <x v="1"/>
    <x v="0"/>
  </r>
  <r>
    <s v="E202503045"/>
    <x v="1"/>
    <x v="0"/>
    <x v="2"/>
    <s v="Programacao"/>
    <n v="10.6"/>
    <n v="97.3"/>
    <x v="1"/>
    <x v="2"/>
  </r>
  <r>
    <s v="E202501017"/>
    <x v="1"/>
    <x v="1"/>
    <x v="1"/>
    <s v="Sinais"/>
    <n v="10.6"/>
    <n v="60.4"/>
    <x v="1"/>
    <x v="0"/>
  </r>
  <r>
    <s v="E202501044"/>
    <x v="1"/>
    <x v="1"/>
    <x v="1"/>
    <s v="Sinais"/>
    <n v="10.6"/>
    <n v="91.3"/>
    <x v="1"/>
    <x v="2"/>
  </r>
  <r>
    <s v="E202501047"/>
    <x v="1"/>
    <x v="1"/>
    <x v="1"/>
    <s v="Matematica"/>
    <n v="10.6"/>
    <n v="93.4"/>
    <x v="1"/>
    <x v="2"/>
  </r>
  <r>
    <s v="E202501050"/>
    <x v="1"/>
    <x v="1"/>
    <x v="1"/>
    <s v="Redes"/>
    <n v="10.6"/>
    <n v="75.7"/>
    <x v="1"/>
    <x v="2"/>
  </r>
  <r>
    <s v="E202501051"/>
    <x v="1"/>
    <x v="1"/>
    <x v="1"/>
    <s v="Redes"/>
    <n v="10.6"/>
    <n v="77.900000000000006"/>
    <x v="1"/>
    <x v="2"/>
  </r>
  <r>
    <s v="E202601006"/>
    <x v="2"/>
    <x v="0"/>
    <x v="1"/>
    <s v="Sinais"/>
    <n v="10.6"/>
    <n v="60"/>
    <x v="1"/>
    <x v="0"/>
  </r>
  <r>
    <s v="E202601018"/>
    <x v="2"/>
    <x v="0"/>
    <x v="1"/>
    <s v="Sinais"/>
    <n v="10.6"/>
    <n v="57.5"/>
    <x v="1"/>
    <x v="0"/>
  </r>
  <r>
    <s v="E202602009"/>
    <x v="2"/>
    <x v="0"/>
    <x v="0"/>
    <s v="Marketing"/>
    <n v="10.6"/>
    <n v="50.8"/>
    <x v="1"/>
    <x v="0"/>
  </r>
  <r>
    <s v="E202602020"/>
    <x v="2"/>
    <x v="0"/>
    <x v="0"/>
    <s v="Marketing"/>
    <n v="10.6"/>
    <n v="45.8"/>
    <x v="1"/>
    <x v="1"/>
  </r>
  <r>
    <s v="E202601002"/>
    <x v="2"/>
    <x v="1"/>
    <x v="1"/>
    <s v="Sinais"/>
    <n v="10.6"/>
    <n v="89.1"/>
    <x v="1"/>
    <x v="2"/>
  </r>
  <r>
    <s v="E202601015"/>
    <x v="2"/>
    <x v="1"/>
    <x v="1"/>
    <s v="Matematica"/>
    <n v="10.6"/>
    <n v="68.7"/>
    <x v="1"/>
    <x v="0"/>
  </r>
  <r>
    <s v="E202601025"/>
    <x v="2"/>
    <x v="1"/>
    <x v="1"/>
    <s v="Sinais"/>
    <n v="10.6"/>
    <n v="53"/>
    <x v="1"/>
    <x v="0"/>
  </r>
  <r>
    <s v="E202601046"/>
    <x v="2"/>
    <x v="1"/>
    <x v="1"/>
    <s v="Matematica"/>
    <n v="10.6"/>
    <n v="93.6"/>
    <x v="1"/>
    <x v="2"/>
  </r>
  <r>
    <s v="E202602009"/>
    <x v="2"/>
    <x v="1"/>
    <x v="0"/>
    <s v="Marketing"/>
    <n v="10.6"/>
    <n v="69.099999999999994"/>
    <x v="1"/>
    <x v="0"/>
  </r>
  <r>
    <s v="E202602039"/>
    <x v="2"/>
    <x v="1"/>
    <x v="0"/>
    <s v="Estatistica"/>
    <n v="10.6"/>
    <n v="65.400000000000006"/>
    <x v="1"/>
    <x v="0"/>
  </r>
  <r>
    <s v="E202602059"/>
    <x v="2"/>
    <x v="1"/>
    <x v="0"/>
    <s v="Contabilidade"/>
    <n v="10.6"/>
    <n v="84.1"/>
    <x v="1"/>
    <x v="2"/>
  </r>
  <r>
    <s v="E202603013"/>
    <x v="2"/>
    <x v="1"/>
    <x v="2"/>
    <s v="Programacao"/>
    <n v="10.6"/>
    <n v="74.099999999999994"/>
    <x v="1"/>
    <x v="0"/>
  </r>
  <r>
    <s v="E202603015"/>
    <x v="2"/>
    <x v="1"/>
    <x v="2"/>
    <s v="Redes"/>
    <n v="10.6"/>
    <n v="49.2"/>
    <x v="1"/>
    <x v="1"/>
  </r>
  <r>
    <s v="E202603040"/>
    <x v="2"/>
    <x v="1"/>
    <x v="2"/>
    <s v="Programacao"/>
    <n v="10.6"/>
    <n v="49.6"/>
    <x v="1"/>
    <x v="1"/>
  </r>
  <r>
    <s v="E202401005"/>
    <x v="0"/>
    <x v="0"/>
    <x v="1"/>
    <s v="Redes"/>
    <n v="10.7"/>
    <n v="82.1"/>
    <x v="1"/>
    <x v="2"/>
  </r>
  <r>
    <s v="E202402032"/>
    <x v="0"/>
    <x v="0"/>
    <x v="0"/>
    <s v="Marketing"/>
    <n v="10.7"/>
    <n v="70"/>
    <x v="1"/>
    <x v="0"/>
  </r>
  <r>
    <s v="E202402047"/>
    <x v="0"/>
    <x v="0"/>
    <x v="0"/>
    <s v="Marketing"/>
    <n v="10.7"/>
    <n v="67.8"/>
    <x v="1"/>
    <x v="0"/>
  </r>
  <r>
    <s v="E202403026"/>
    <x v="0"/>
    <x v="0"/>
    <x v="2"/>
    <s v="Bases de Dados"/>
    <n v="10.7"/>
    <n v="77.3"/>
    <x v="1"/>
    <x v="2"/>
  </r>
  <r>
    <s v="E202403045"/>
    <x v="0"/>
    <x v="0"/>
    <x v="2"/>
    <s v="Bases de Dados"/>
    <n v="10.7"/>
    <n v="64.900000000000006"/>
    <x v="1"/>
    <x v="0"/>
  </r>
  <r>
    <s v="E202401010"/>
    <x v="0"/>
    <x v="1"/>
    <x v="1"/>
    <s v="Redes"/>
    <n v="10.7"/>
    <n v="88.7"/>
    <x v="1"/>
    <x v="2"/>
  </r>
  <r>
    <s v="E202401011"/>
    <x v="0"/>
    <x v="1"/>
    <x v="1"/>
    <s v="Redes"/>
    <n v="10.7"/>
    <n v="54.3"/>
    <x v="1"/>
    <x v="0"/>
  </r>
  <r>
    <s v="E202401024"/>
    <x v="0"/>
    <x v="1"/>
    <x v="1"/>
    <s v="Sinais"/>
    <n v="10.7"/>
    <n v="46.1"/>
    <x v="1"/>
    <x v="1"/>
  </r>
  <r>
    <s v="E202402012"/>
    <x v="0"/>
    <x v="1"/>
    <x v="0"/>
    <s v="Marketing"/>
    <n v="10.7"/>
    <n v="62.2"/>
    <x v="1"/>
    <x v="0"/>
  </r>
  <r>
    <s v="E202403015"/>
    <x v="0"/>
    <x v="1"/>
    <x v="2"/>
    <s v="Bases de Dados"/>
    <n v="10.7"/>
    <n v="83.4"/>
    <x v="1"/>
    <x v="2"/>
  </r>
  <r>
    <s v="E202403020"/>
    <x v="0"/>
    <x v="1"/>
    <x v="2"/>
    <s v="Redes"/>
    <n v="10.7"/>
    <n v="55"/>
    <x v="1"/>
    <x v="0"/>
  </r>
  <r>
    <s v="E202403024"/>
    <x v="0"/>
    <x v="1"/>
    <x v="2"/>
    <s v="Bases de Dados"/>
    <n v="10.7"/>
    <n v="55.1"/>
    <x v="1"/>
    <x v="0"/>
  </r>
  <r>
    <s v="E202403037"/>
    <x v="0"/>
    <x v="1"/>
    <x v="2"/>
    <s v="Redes"/>
    <n v="10.7"/>
    <n v="46.5"/>
    <x v="1"/>
    <x v="1"/>
  </r>
  <r>
    <s v="E202501043"/>
    <x v="1"/>
    <x v="0"/>
    <x v="1"/>
    <s v="Matematica"/>
    <n v="10.7"/>
    <n v="99.8"/>
    <x v="1"/>
    <x v="2"/>
  </r>
  <r>
    <s v="E202502009"/>
    <x v="1"/>
    <x v="0"/>
    <x v="0"/>
    <s v="Contabilidade"/>
    <n v="10.7"/>
    <n v="97.4"/>
    <x v="1"/>
    <x v="2"/>
  </r>
  <r>
    <s v="E202503014"/>
    <x v="1"/>
    <x v="0"/>
    <x v="2"/>
    <s v="Programacao"/>
    <n v="10.7"/>
    <n v="79"/>
    <x v="1"/>
    <x v="2"/>
  </r>
  <r>
    <s v="E202502029"/>
    <x v="1"/>
    <x v="1"/>
    <x v="0"/>
    <s v="Marketing"/>
    <n v="10.7"/>
    <n v="62.2"/>
    <x v="1"/>
    <x v="0"/>
  </r>
  <r>
    <s v="E202502040"/>
    <x v="1"/>
    <x v="1"/>
    <x v="0"/>
    <s v="Marketing"/>
    <n v="10.7"/>
    <n v="83.4"/>
    <x v="1"/>
    <x v="2"/>
  </r>
  <r>
    <s v="E202502059"/>
    <x v="1"/>
    <x v="1"/>
    <x v="0"/>
    <s v="Marketing"/>
    <n v="10.7"/>
    <n v="68.8"/>
    <x v="1"/>
    <x v="0"/>
  </r>
  <r>
    <s v="E202502060"/>
    <x v="1"/>
    <x v="1"/>
    <x v="0"/>
    <s v="Contabilidade"/>
    <n v="10.7"/>
    <n v="60.1"/>
    <x v="1"/>
    <x v="0"/>
  </r>
  <r>
    <s v="E202601014"/>
    <x v="2"/>
    <x v="0"/>
    <x v="1"/>
    <s v="Matematica"/>
    <n v="10.7"/>
    <n v="60.3"/>
    <x v="1"/>
    <x v="0"/>
  </r>
  <r>
    <s v="E202601021"/>
    <x v="2"/>
    <x v="0"/>
    <x v="1"/>
    <s v="Redes"/>
    <n v="10.7"/>
    <n v="76.5"/>
    <x v="1"/>
    <x v="2"/>
  </r>
  <r>
    <s v="E202601057"/>
    <x v="2"/>
    <x v="0"/>
    <x v="1"/>
    <s v="Sinais"/>
    <n v="10.7"/>
    <n v="59.6"/>
    <x v="1"/>
    <x v="0"/>
  </r>
  <r>
    <s v="E202602013"/>
    <x v="2"/>
    <x v="0"/>
    <x v="0"/>
    <s v="Estatistica"/>
    <n v="10.7"/>
    <n v="65.3"/>
    <x v="1"/>
    <x v="0"/>
  </r>
  <r>
    <s v="E202603045"/>
    <x v="2"/>
    <x v="0"/>
    <x v="2"/>
    <s v="Redes"/>
    <n v="10.7"/>
    <n v="78"/>
    <x v="1"/>
    <x v="2"/>
  </r>
  <r>
    <s v="E202603048"/>
    <x v="2"/>
    <x v="0"/>
    <x v="2"/>
    <s v="Bases de Dados"/>
    <n v="10.7"/>
    <n v="53.9"/>
    <x v="1"/>
    <x v="0"/>
  </r>
  <r>
    <s v="E202601042"/>
    <x v="2"/>
    <x v="1"/>
    <x v="1"/>
    <s v="Matematica"/>
    <n v="10.7"/>
    <n v="58.2"/>
    <x v="1"/>
    <x v="0"/>
  </r>
  <r>
    <s v="E202601055"/>
    <x v="2"/>
    <x v="1"/>
    <x v="1"/>
    <s v="Sinais"/>
    <n v="10.7"/>
    <n v="76.2"/>
    <x v="1"/>
    <x v="2"/>
  </r>
  <r>
    <s v="E202602004"/>
    <x v="2"/>
    <x v="1"/>
    <x v="0"/>
    <s v="Marketing"/>
    <n v="10.7"/>
    <n v="45.6"/>
    <x v="1"/>
    <x v="1"/>
  </r>
  <r>
    <s v="E202602022"/>
    <x v="2"/>
    <x v="1"/>
    <x v="0"/>
    <s v="Contabilidade"/>
    <n v="10.7"/>
    <n v="82"/>
    <x v="1"/>
    <x v="2"/>
  </r>
  <r>
    <s v="E202603014"/>
    <x v="2"/>
    <x v="1"/>
    <x v="2"/>
    <s v="Redes"/>
    <n v="10.7"/>
    <n v="51.5"/>
    <x v="1"/>
    <x v="0"/>
  </r>
  <r>
    <s v="E202603037"/>
    <x v="2"/>
    <x v="1"/>
    <x v="2"/>
    <s v="Bases de Dados"/>
    <n v="10.7"/>
    <n v="83.9"/>
    <x v="1"/>
    <x v="2"/>
  </r>
  <r>
    <s v="E202401022"/>
    <x v="0"/>
    <x v="0"/>
    <x v="1"/>
    <s v="Redes"/>
    <n v="10.8"/>
    <n v="80.7"/>
    <x v="1"/>
    <x v="2"/>
  </r>
  <r>
    <s v="E202401031"/>
    <x v="0"/>
    <x v="0"/>
    <x v="1"/>
    <s v="Matematica"/>
    <n v="10.8"/>
    <n v="94.7"/>
    <x v="1"/>
    <x v="2"/>
  </r>
  <r>
    <s v="E202402014"/>
    <x v="0"/>
    <x v="0"/>
    <x v="0"/>
    <s v="Contabilidade"/>
    <n v="10.8"/>
    <n v="73.099999999999994"/>
    <x v="1"/>
    <x v="0"/>
  </r>
  <r>
    <s v="E202402033"/>
    <x v="0"/>
    <x v="0"/>
    <x v="0"/>
    <s v="Estatistica"/>
    <n v="10.8"/>
    <n v="81.8"/>
    <x v="1"/>
    <x v="2"/>
  </r>
  <r>
    <s v="E202402034"/>
    <x v="0"/>
    <x v="0"/>
    <x v="0"/>
    <s v="Estatistica"/>
    <n v="10.8"/>
    <n v="81.599999999999994"/>
    <x v="1"/>
    <x v="2"/>
  </r>
  <r>
    <s v="E202402050"/>
    <x v="0"/>
    <x v="0"/>
    <x v="0"/>
    <s v="Contabilidade"/>
    <n v="10.8"/>
    <n v="55.6"/>
    <x v="1"/>
    <x v="0"/>
  </r>
  <r>
    <s v="E202403030"/>
    <x v="0"/>
    <x v="0"/>
    <x v="2"/>
    <s v="Redes"/>
    <n v="10.8"/>
    <n v="73.900000000000006"/>
    <x v="1"/>
    <x v="0"/>
  </r>
  <r>
    <s v="E202403032"/>
    <x v="0"/>
    <x v="0"/>
    <x v="2"/>
    <s v="Programacao"/>
    <n v="10.8"/>
    <n v="52.3"/>
    <x v="1"/>
    <x v="0"/>
  </r>
  <r>
    <s v="E202403039"/>
    <x v="0"/>
    <x v="0"/>
    <x v="2"/>
    <s v="Programacao"/>
    <n v="10.8"/>
    <n v="63.5"/>
    <x v="1"/>
    <x v="0"/>
  </r>
  <r>
    <s v="E202401035"/>
    <x v="0"/>
    <x v="1"/>
    <x v="1"/>
    <s v="Sinais"/>
    <n v="10.8"/>
    <n v="84.3"/>
    <x v="1"/>
    <x v="2"/>
  </r>
  <r>
    <s v="E202401057"/>
    <x v="0"/>
    <x v="1"/>
    <x v="1"/>
    <s v="Redes"/>
    <n v="10.8"/>
    <n v="49.4"/>
    <x v="1"/>
    <x v="1"/>
  </r>
  <r>
    <s v="E202401060"/>
    <x v="0"/>
    <x v="1"/>
    <x v="1"/>
    <s v="Sinais"/>
    <n v="10.8"/>
    <n v="56.5"/>
    <x v="1"/>
    <x v="0"/>
  </r>
  <r>
    <s v="E202402052"/>
    <x v="0"/>
    <x v="1"/>
    <x v="0"/>
    <s v="Marketing"/>
    <n v="10.8"/>
    <n v="61.6"/>
    <x v="1"/>
    <x v="0"/>
  </r>
  <r>
    <s v="E202403019"/>
    <x v="0"/>
    <x v="1"/>
    <x v="2"/>
    <s v="Redes"/>
    <n v="10.8"/>
    <n v="89.6"/>
    <x v="1"/>
    <x v="2"/>
  </r>
  <r>
    <s v="E202403021"/>
    <x v="0"/>
    <x v="1"/>
    <x v="2"/>
    <s v="Redes"/>
    <n v="10.8"/>
    <n v="81.099999999999994"/>
    <x v="1"/>
    <x v="2"/>
  </r>
  <r>
    <s v="E202403053"/>
    <x v="0"/>
    <x v="1"/>
    <x v="2"/>
    <s v="Bases de Dados"/>
    <n v="10.8"/>
    <n v="73.8"/>
    <x v="1"/>
    <x v="0"/>
  </r>
  <r>
    <s v="E202501016"/>
    <x v="1"/>
    <x v="0"/>
    <x v="1"/>
    <s v="Redes"/>
    <n v="10.8"/>
    <n v="62.4"/>
    <x v="1"/>
    <x v="0"/>
  </r>
  <r>
    <s v="E202502018"/>
    <x v="1"/>
    <x v="0"/>
    <x v="0"/>
    <s v="Estatistica"/>
    <n v="10.8"/>
    <n v="47.3"/>
    <x v="1"/>
    <x v="1"/>
  </r>
  <r>
    <s v="E202502028"/>
    <x v="1"/>
    <x v="0"/>
    <x v="0"/>
    <s v="Estatistica"/>
    <n v="10.8"/>
    <n v="68"/>
    <x v="1"/>
    <x v="0"/>
  </r>
  <r>
    <s v="E202502034"/>
    <x v="1"/>
    <x v="0"/>
    <x v="0"/>
    <s v="Contabilidade"/>
    <n v="10.8"/>
    <n v="79.3"/>
    <x v="1"/>
    <x v="2"/>
  </r>
  <r>
    <s v="E202502056"/>
    <x v="1"/>
    <x v="0"/>
    <x v="0"/>
    <s v="Estatistica"/>
    <n v="10.8"/>
    <n v="69.7"/>
    <x v="1"/>
    <x v="0"/>
  </r>
  <r>
    <s v="E202503031"/>
    <x v="1"/>
    <x v="0"/>
    <x v="2"/>
    <s v="Programacao"/>
    <n v="10.8"/>
    <n v="82.9"/>
    <x v="1"/>
    <x v="2"/>
  </r>
  <r>
    <s v="E202503033"/>
    <x v="1"/>
    <x v="0"/>
    <x v="2"/>
    <s v="Redes"/>
    <n v="10.8"/>
    <n v="67.599999999999994"/>
    <x v="1"/>
    <x v="0"/>
  </r>
  <r>
    <s v="E202503036"/>
    <x v="1"/>
    <x v="0"/>
    <x v="2"/>
    <s v="Programacao"/>
    <n v="10.8"/>
    <n v="48.5"/>
    <x v="1"/>
    <x v="1"/>
  </r>
  <r>
    <s v="E202501046"/>
    <x v="1"/>
    <x v="1"/>
    <x v="1"/>
    <s v="Sinais"/>
    <n v="10.8"/>
    <n v="55.5"/>
    <x v="1"/>
    <x v="0"/>
  </r>
  <r>
    <s v="E202501048"/>
    <x v="1"/>
    <x v="1"/>
    <x v="1"/>
    <s v="Sinais"/>
    <n v="10.8"/>
    <n v="79"/>
    <x v="1"/>
    <x v="2"/>
  </r>
  <r>
    <s v="E202502015"/>
    <x v="1"/>
    <x v="1"/>
    <x v="0"/>
    <s v="Marketing"/>
    <n v="10.8"/>
    <n v="75.3"/>
    <x v="1"/>
    <x v="2"/>
  </r>
  <r>
    <s v="E202502031"/>
    <x v="1"/>
    <x v="1"/>
    <x v="0"/>
    <s v="Estatistica"/>
    <n v="10.8"/>
    <n v="71.099999999999994"/>
    <x v="1"/>
    <x v="0"/>
  </r>
  <r>
    <s v="E202502044"/>
    <x v="1"/>
    <x v="1"/>
    <x v="0"/>
    <s v="Marketing"/>
    <n v="10.8"/>
    <n v="61.6"/>
    <x v="1"/>
    <x v="0"/>
  </r>
  <r>
    <s v="E202503030"/>
    <x v="1"/>
    <x v="1"/>
    <x v="2"/>
    <s v="Programacao"/>
    <n v="10.8"/>
    <n v="71.8"/>
    <x v="1"/>
    <x v="0"/>
  </r>
  <r>
    <s v="E202601044"/>
    <x v="2"/>
    <x v="0"/>
    <x v="1"/>
    <s v="Sinais"/>
    <n v="10.8"/>
    <n v="53.1"/>
    <x v="1"/>
    <x v="0"/>
  </r>
  <r>
    <s v="E202601045"/>
    <x v="2"/>
    <x v="0"/>
    <x v="1"/>
    <s v="Sinais"/>
    <n v="10.8"/>
    <n v="69.099999999999994"/>
    <x v="1"/>
    <x v="0"/>
  </r>
  <r>
    <s v="E202601047"/>
    <x v="2"/>
    <x v="0"/>
    <x v="1"/>
    <s v="Sinais"/>
    <n v="10.8"/>
    <n v="52.4"/>
    <x v="1"/>
    <x v="0"/>
  </r>
  <r>
    <s v="E202602005"/>
    <x v="2"/>
    <x v="0"/>
    <x v="0"/>
    <s v="Contabilidade"/>
    <n v="10.8"/>
    <n v="97.8"/>
    <x v="1"/>
    <x v="2"/>
  </r>
  <r>
    <s v="E202602018"/>
    <x v="2"/>
    <x v="0"/>
    <x v="0"/>
    <s v="Estatistica"/>
    <n v="10.8"/>
    <n v="49.1"/>
    <x v="1"/>
    <x v="1"/>
  </r>
  <r>
    <s v="E202602020"/>
    <x v="2"/>
    <x v="0"/>
    <x v="0"/>
    <s v="Estatistica"/>
    <n v="10.8"/>
    <n v="90.8"/>
    <x v="1"/>
    <x v="2"/>
  </r>
  <r>
    <s v="E202602043"/>
    <x v="2"/>
    <x v="0"/>
    <x v="0"/>
    <s v="Estatistica"/>
    <n v="10.8"/>
    <n v="56.2"/>
    <x v="1"/>
    <x v="0"/>
  </r>
  <r>
    <s v="E202602009"/>
    <x v="2"/>
    <x v="1"/>
    <x v="0"/>
    <s v="Estatistica"/>
    <n v="10.8"/>
    <n v="99.9"/>
    <x v="1"/>
    <x v="2"/>
  </r>
  <r>
    <s v="E202602037"/>
    <x v="2"/>
    <x v="1"/>
    <x v="0"/>
    <s v="Marketing"/>
    <n v="10.8"/>
    <n v="75.7"/>
    <x v="1"/>
    <x v="2"/>
  </r>
  <r>
    <s v="E202602052"/>
    <x v="2"/>
    <x v="1"/>
    <x v="0"/>
    <s v="Contabilidade"/>
    <n v="10.8"/>
    <n v="58.3"/>
    <x v="1"/>
    <x v="0"/>
  </r>
  <r>
    <s v="E202603032"/>
    <x v="2"/>
    <x v="1"/>
    <x v="2"/>
    <s v="Bases de Dados"/>
    <n v="10.8"/>
    <n v="81.599999999999994"/>
    <x v="1"/>
    <x v="2"/>
  </r>
  <r>
    <s v="E202603043"/>
    <x v="2"/>
    <x v="1"/>
    <x v="2"/>
    <s v="Bases de Dados"/>
    <n v="10.8"/>
    <n v="82.3"/>
    <x v="1"/>
    <x v="2"/>
  </r>
  <r>
    <s v="E202603047"/>
    <x v="2"/>
    <x v="1"/>
    <x v="2"/>
    <s v="Programacao"/>
    <n v="10.8"/>
    <n v="65.900000000000006"/>
    <x v="1"/>
    <x v="0"/>
  </r>
  <r>
    <s v="E202401021"/>
    <x v="0"/>
    <x v="0"/>
    <x v="1"/>
    <s v="Sinais"/>
    <n v="10.9"/>
    <n v="57.9"/>
    <x v="1"/>
    <x v="0"/>
  </r>
  <r>
    <s v="E202401025"/>
    <x v="0"/>
    <x v="0"/>
    <x v="1"/>
    <s v="Sinais"/>
    <n v="10.9"/>
    <n v="65.3"/>
    <x v="1"/>
    <x v="0"/>
  </r>
  <r>
    <s v="E202402034"/>
    <x v="0"/>
    <x v="1"/>
    <x v="0"/>
    <s v="Contabilidade"/>
    <n v="10.9"/>
    <n v="86.2"/>
    <x v="1"/>
    <x v="2"/>
  </r>
  <r>
    <s v="E202402036"/>
    <x v="0"/>
    <x v="1"/>
    <x v="0"/>
    <s v="Marketing"/>
    <n v="10.9"/>
    <n v="81.5"/>
    <x v="1"/>
    <x v="2"/>
  </r>
  <r>
    <s v="E202403015"/>
    <x v="0"/>
    <x v="1"/>
    <x v="2"/>
    <s v="Programacao"/>
    <n v="10.9"/>
    <n v="74.3"/>
    <x v="1"/>
    <x v="0"/>
  </r>
  <r>
    <s v="E202501039"/>
    <x v="1"/>
    <x v="0"/>
    <x v="1"/>
    <s v="Redes"/>
    <n v="10.9"/>
    <n v="46.2"/>
    <x v="1"/>
    <x v="1"/>
  </r>
  <r>
    <s v="E202502021"/>
    <x v="1"/>
    <x v="0"/>
    <x v="0"/>
    <s v="Marketing"/>
    <n v="10.9"/>
    <n v="52.2"/>
    <x v="1"/>
    <x v="0"/>
  </r>
  <r>
    <s v="E202502042"/>
    <x v="1"/>
    <x v="0"/>
    <x v="0"/>
    <s v="Marketing"/>
    <n v="10.9"/>
    <n v="62.9"/>
    <x v="1"/>
    <x v="0"/>
  </r>
  <r>
    <s v="E202503035"/>
    <x v="1"/>
    <x v="0"/>
    <x v="2"/>
    <s v="Redes"/>
    <n v="10.9"/>
    <n v="60.1"/>
    <x v="1"/>
    <x v="0"/>
  </r>
  <r>
    <s v="E202501034"/>
    <x v="1"/>
    <x v="1"/>
    <x v="1"/>
    <s v="Sinais"/>
    <n v="10.9"/>
    <n v="82.1"/>
    <x v="1"/>
    <x v="2"/>
  </r>
  <r>
    <s v="E202502045"/>
    <x v="1"/>
    <x v="1"/>
    <x v="0"/>
    <s v="Estatistica"/>
    <n v="10.9"/>
    <n v="63.6"/>
    <x v="1"/>
    <x v="0"/>
  </r>
  <r>
    <s v="E202503015"/>
    <x v="1"/>
    <x v="1"/>
    <x v="2"/>
    <s v="Redes"/>
    <n v="10.9"/>
    <n v="65.900000000000006"/>
    <x v="1"/>
    <x v="0"/>
  </r>
  <r>
    <s v="E202503027"/>
    <x v="1"/>
    <x v="1"/>
    <x v="2"/>
    <s v="Programacao"/>
    <n v="10.9"/>
    <n v="74.8"/>
    <x v="1"/>
    <x v="0"/>
  </r>
  <r>
    <s v="E202601019"/>
    <x v="2"/>
    <x v="0"/>
    <x v="1"/>
    <s v="Redes"/>
    <n v="10.9"/>
    <n v="80.7"/>
    <x v="1"/>
    <x v="2"/>
  </r>
  <r>
    <s v="E202601036"/>
    <x v="2"/>
    <x v="0"/>
    <x v="1"/>
    <s v="Redes"/>
    <n v="10.9"/>
    <n v="76.7"/>
    <x v="1"/>
    <x v="2"/>
  </r>
  <r>
    <s v="E202602005"/>
    <x v="2"/>
    <x v="0"/>
    <x v="0"/>
    <s v="Estatistica"/>
    <n v="10.9"/>
    <n v="99.7"/>
    <x v="1"/>
    <x v="2"/>
  </r>
  <r>
    <s v="E202603005"/>
    <x v="2"/>
    <x v="0"/>
    <x v="2"/>
    <s v="Bases de Dados"/>
    <n v="10.9"/>
    <n v="65.599999999999994"/>
    <x v="1"/>
    <x v="0"/>
  </r>
  <r>
    <s v="E202603026"/>
    <x v="2"/>
    <x v="0"/>
    <x v="2"/>
    <s v="Redes"/>
    <n v="10.9"/>
    <n v="74.599999999999994"/>
    <x v="1"/>
    <x v="0"/>
  </r>
  <r>
    <s v="E202603039"/>
    <x v="2"/>
    <x v="0"/>
    <x v="2"/>
    <s v="Redes"/>
    <n v="10.9"/>
    <n v="84.1"/>
    <x v="1"/>
    <x v="2"/>
  </r>
  <r>
    <s v="E202601007"/>
    <x v="2"/>
    <x v="1"/>
    <x v="1"/>
    <s v="Matematica"/>
    <n v="10.9"/>
    <n v="80.099999999999994"/>
    <x v="1"/>
    <x v="2"/>
  </r>
  <r>
    <s v="E202601024"/>
    <x v="2"/>
    <x v="1"/>
    <x v="1"/>
    <s v="Sinais"/>
    <n v="10.9"/>
    <n v="77.900000000000006"/>
    <x v="1"/>
    <x v="2"/>
  </r>
  <r>
    <s v="E202601041"/>
    <x v="2"/>
    <x v="1"/>
    <x v="1"/>
    <s v="Redes"/>
    <n v="10.9"/>
    <n v="98.3"/>
    <x v="1"/>
    <x v="2"/>
  </r>
  <r>
    <s v="E202601048"/>
    <x v="2"/>
    <x v="1"/>
    <x v="1"/>
    <s v="Redes"/>
    <n v="10.9"/>
    <n v="60"/>
    <x v="1"/>
    <x v="0"/>
  </r>
  <r>
    <s v="E202601051"/>
    <x v="2"/>
    <x v="1"/>
    <x v="1"/>
    <s v="Sinais"/>
    <n v="10.9"/>
    <n v="93.1"/>
    <x v="1"/>
    <x v="2"/>
  </r>
  <r>
    <s v="E202601056"/>
    <x v="2"/>
    <x v="1"/>
    <x v="1"/>
    <s v="Redes"/>
    <n v="10.9"/>
    <n v="66.3"/>
    <x v="1"/>
    <x v="0"/>
  </r>
  <r>
    <s v="E202602048"/>
    <x v="2"/>
    <x v="1"/>
    <x v="0"/>
    <s v="Estatistica"/>
    <n v="10.9"/>
    <n v="64.900000000000006"/>
    <x v="1"/>
    <x v="0"/>
  </r>
  <r>
    <s v="E202603018"/>
    <x v="2"/>
    <x v="1"/>
    <x v="2"/>
    <s v="Programacao"/>
    <n v="10.9"/>
    <n v="91.9"/>
    <x v="1"/>
    <x v="2"/>
  </r>
  <r>
    <s v="E202401004"/>
    <x v="0"/>
    <x v="0"/>
    <x v="1"/>
    <s v="Redes"/>
    <n v="11"/>
    <n v="68.900000000000006"/>
    <x v="1"/>
    <x v="0"/>
  </r>
  <r>
    <s v="E202401020"/>
    <x v="0"/>
    <x v="0"/>
    <x v="1"/>
    <s v="Redes"/>
    <n v="11"/>
    <n v="63.9"/>
    <x v="1"/>
    <x v="0"/>
  </r>
  <r>
    <s v="E202402018"/>
    <x v="0"/>
    <x v="0"/>
    <x v="0"/>
    <s v="Estatistica"/>
    <n v="11"/>
    <n v="97.6"/>
    <x v="1"/>
    <x v="2"/>
  </r>
  <r>
    <s v="E202402026"/>
    <x v="0"/>
    <x v="0"/>
    <x v="0"/>
    <s v="Contabilidade"/>
    <n v="11"/>
    <n v="78.599999999999994"/>
    <x v="1"/>
    <x v="2"/>
  </r>
  <r>
    <s v="E202402028"/>
    <x v="0"/>
    <x v="0"/>
    <x v="0"/>
    <s v="Contabilidade"/>
    <n v="11"/>
    <n v="65"/>
    <x v="1"/>
    <x v="0"/>
  </r>
  <r>
    <s v="E202402031"/>
    <x v="0"/>
    <x v="0"/>
    <x v="0"/>
    <s v="Contabilidade"/>
    <n v="11"/>
    <n v="78"/>
    <x v="1"/>
    <x v="2"/>
  </r>
  <r>
    <s v="E202403018"/>
    <x v="0"/>
    <x v="0"/>
    <x v="2"/>
    <s v="Bases de Dados"/>
    <n v="11"/>
    <n v="75.7"/>
    <x v="1"/>
    <x v="2"/>
  </r>
  <r>
    <s v="E202403024"/>
    <x v="0"/>
    <x v="0"/>
    <x v="2"/>
    <s v="Redes"/>
    <n v="11"/>
    <n v="55.9"/>
    <x v="1"/>
    <x v="0"/>
  </r>
  <r>
    <s v="E202402014"/>
    <x v="0"/>
    <x v="1"/>
    <x v="0"/>
    <s v="Contabilidade"/>
    <n v="11"/>
    <n v="58.3"/>
    <x v="1"/>
    <x v="0"/>
  </r>
  <r>
    <s v="E202402021"/>
    <x v="0"/>
    <x v="1"/>
    <x v="0"/>
    <s v="Marketing"/>
    <n v="11"/>
    <n v="54.9"/>
    <x v="1"/>
    <x v="0"/>
  </r>
  <r>
    <s v="E202402035"/>
    <x v="0"/>
    <x v="1"/>
    <x v="0"/>
    <s v="Marketing"/>
    <n v="11"/>
    <n v="91.1"/>
    <x v="1"/>
    <x v="2"/>
  </r>
  <r>
    <s v="E202402036"/>
    <x v="0"/>
    <x v="1"/>
    <x v="0"/>
    <s v="Estatistica"/>
    <n v="11"/>
    <n v="84.2"/>
    <x v="1"/>
    <x v="2"/>
  </r>
  <r>
    <s v="E202403026"/>
    <x v="0"/>
    <x v="1"/>
    <x v="2"/>
    <s v="Bases de Dados"/>
    <n v="11"/>
    <n v="54.5"/>
    <x v="1"/>
    <x v="0"/>
  </r>
  <r>
    <s v="E202403038"/>
    <x v="0"/>
    <x v="1"/>
    <x v="2"/>
    <s v="Redes"/>
    <n v="11"/>
    <n v="46.9"/>
    <x v="1"/>
    <x v="1"/>
  </r>
  <r>
    <s v="E202502003"/>
    <x v="1"/>
    <x v="0"/>
    <x v="0"/>
    <s v="Estatistica"/>
    <n v="11"/>
    <n v="95.6"/>
    <x v="1"/>
    <x v="2"/>
  </r>
  <r>
    <s v="E202502010"/>
    <x v="1"/>
    <x v="0"/>
    <x v="0"/>
    <s v="Estatistica"/>
    <n v="11"/>
    <n v="84.9"/>
    <x v="1"/>
    <x v="2"/>
  </r>
  <r>
    <s v="E202502053"/>
    <x v="1"/>
    <x v="0"/>
    <x v="0"/>
    <s v="Estatistica"/>
    <n v="11"/>
    <n v="86.9"/>
    <x v="1"/>
    <x v="2"/>
  </r>
  <r>
    <s v="E202503011"/>
    <x v="1"/>
    <x v="0"/>
    <x v="2"/>
    <s v="Programacao"/>
    <n v="11"/>
    <n v="99.7"/>
    <x v="1"/>
    <x v="2"/>
  </r>
  <r>
    <s v="E202503043"/>
    <x v="1"/>
    <x v="0"/>
    <x v="2"/>
    <s v="Programacao"/>
    <n v="11"/>
    <n v="93.1"/>
    <x v="1"/>
    <x v="2"/>
  </r>
  <r>
    <s v="E202503044"/>
    <x v="1"/>
    <x v="0"/>
    <x v="2"/>
    <s v="Bases de Dados"/>
    <n v="11"/>
    <n v="93"/>
    <x v="1"/>
    <x v="2"/>
  </r>
  <r>
    <s v="E202501031"/>
    <x v="1"/>
    <x v="1"/>
    <x v="1"/>
    <s v="Redes"/>
    <n v="11"/>
    <n v="78.3"/>
    <x v="1"/>
    <x v="2"/>
  </r>
  <r>
    <s v="E202502029"/>
    <x v="1"/>
    <x v="1"/>
    <x v="0"/>
    <s v="Contabilidade"/>
    <n v="11"/>
    <n v="71"/>
    <x v="1"/>
    <x v="0"/>
  </r>
  <r>
    <s v="E202502032"/>
    <x v="1"/>
    <x v="1"/>
    <x v="0"/>
    <s v="Estatistica"/>
    <n v="11"/>
    <n v="99.6"/>
    <x v="1"/>
    <x v="2"/>
  </r>
  <r>
    <s v="E202502037"/>
    <x v="1"/>
    <x v="1"/>
    <x v="0"/>
    <s v="Marketing"/>
    <n v="11"/>
    <n v="62.6"/>
    <x v="1"/>
    <x v="0"/>
  </r>
  <r>
    <s v="E202503025"/>
    <x v="1"/>
    <x v="1"/>
    <x v="2"/>
    <s v="Redes"/>
    <n v="11"/>
    <n v="55.2"/>
    <x v="1"/>
    <x v="0"/>
  </r>
  <r>
    <s v="E202503050"/>
    <x v="1"/>
    <x v="1"/>
    <x v="2"/>
    <s v="Programacao"/>
    <n v="11"/>
    <n v="97.3"/>
    <x v="1"/>
    <x v="2"/>
  </r>
  <r>
    <s v="E202601001"/>
    <x v="2"/>
    <x v="0"/>
    <x v="1"/>
    <s v="Sinais"/>
    <n v="11"/>
    <n v="71.400000000000006"/>
    <x v="1"/>
    <x v="0"/>
  </r>
  <r>
    <s v="E202601034"/>
    <x v="2"/>
    <x v="0"/>
    <x v="1"/>
    <s v="Redes"/>
    <n v="11"/>
    <n v="69.3"/>
    <x v="1"/>
    <x v="0"/>
  </r>
  <r>
    <s v="E202603033"/>
    <x v="2"/>
    <x v="0"/>
    <x v="2"/>
    <s v="Bases de Dados"/>
    <n v="11"/>
    <n v="66.3"/>
    <x v="1"/>
    <x v="0"/>
  </r>
  <r>
    <s v="E202603036"/>
    <x v="2"/>
    <x v="0"/>
    <x v="2"/>
    <s v="Redes"/>
    <n v="11"/>
    <n v="68.2"/>
    <x v="1"/>
    <x v="0"/>
  </r>
  <r>
    <s v="E202601025"/>
    <x v="2"/>
    <x v="1"/>
    <x v="1"/>
    <s v="Redes"/>
    <n v="11"/>
    <n v="49.3"/>
    <x v="1"/>
    <x v="1"/>
  </r>
  <r>
    <s v="E202601036"/>
    <x v="2"/>
    <x v="1"/>
    <x v="1"/>
    <s v="Matematica"/>
    <n v="11"/>
    <n v="71.7"/>
    <x v="1"/>
    <x v="0"/>
  </r>
  <r>
    <s v="E202602050"/>
    <x v="2"/>
    <x v="1"/>
    <x v="0"/>
    <s v="Contabilidade"/>
    <n v="11"/>
    <n v="83.4"/>
    <x v="1"/>
    <x v="2"/>
  </r>
  <r>
    <s v="E202602051"/>
    <x v="2"/>
    <x v="1"/>
    <x v="0"/>
    <s v="Marketing"/>
    <n v="11"/>
    <n v="81.5"/>
    <x v="1"/>
    <x v="2"/>
  </r>
  <r>
    <s v="E202603021"/>
    <x v="2"/>
    <x v="1"/>
    <x v="2"/>
    <s v="Bases de Dados"/>
    <n v="11"/>
    <n v="54.5"/>
    <x v="1"/>
    <x v="0"/>
  </r>
  <r>
    <s v="E202603025"/>
    <x v="2"/>
    <x v="1"/>
    <x v="2"/>
    <s v="Bases de Dados"/>
    <n v="11"/>
    <n v="74.8"/>
    <x v="1"/>
    <x v="0"/>
  </r>
  <r>
    <s v="E202603026"/>
    <x v="2"/>
    <x v="1"/>
    <x v="2"/>
    <s v="Programacao"/>
    <n v="11"/>
    <n v="69.099999999999994"/>
    <x v="1"/>
    <x v="0"/>
  </r>
  <r>
    <s v="E202401005"/>
    <x v="0"/>
    <x v="0"/>
    <x v="1"/>
    <s v="Sinais"/>
    <n v="11.1"/>
    <n v="67.599999999999994"/>
    <x v="1"/>
    <x v="0"/>
  </r>
  <r>
    <s v="E202401007"/>
    <x v="0"/>
    <x v="0"/>
    <x v="1"/>
    <s v="Sinais"/>
    <n v="11.1"/>
    <n v="65.2"/>
    <x v="1"/>
    <x v="0"/>
  </r>
  <r>
    <s v="E202402038"/>
    <x v="0"/>
    <x v="0"/>
    <x v="0"/>
    <s v="Marketing"/>
    <n v="11.1"/>
    <n v="57.1"/>
    <x v="1"/>
    <x v="0"/>
  </r>
  <r>
    <s v="E202402040"/>
    <x v="0"/>
    <x v="0"/>
    <x v="0"/>
    <s v="Contabilidade"/>
    <n v="11.1"/>
    <n v="53.7"/>
    <x v="1"/>
    <x v="0"/>
  </r>
  <r>
    <s v="E202403008"/>
    <x v="0"/>
    <x v="0"/>
    <x v="2"/>
    <s v="Programacao"/>
    <n v="11.1"/>
    <n v="87.7"/>
    <x v="1"/>
    <x v="2"/>
  </r>
  <r>
    <s v="E202403035"/>
    <x v="0"/>
    <x v="0"/>
    <x v="2"/>
    <s v="Bases de Dados"/>
    <n v="11.1"/>
    <n v="89.2"/>
    <x v="1"/>
    <x v="2"/>
  </r>
  <r>
    <s v="E202403044"/>
    <x v="0"/>
    <x v="0"/>
    <x v="2"/>
    <s v="Programacao"/>
    <n v="11.1"/>
    <n v="67.099999999999994"/>
    <x v="1"/>
    <x v="0"/>
  </r>
  <r>
    <s v="E202401005"/>
    <x v="0"/>
    <x v="1"/>
    <x v="1"/>
    <s v="Redes"/>
    <n v="11.1"/>
    <n v="64.5"/>
    <x v="1"/>
    <x v="0"/>
  </r>
  <r>
    <s v="E202401019"/>
    <x v="0"/>
    <x v="1"/>
    <x v="1"/>
    <s v="Matematica"/>
    <n v="11.1"/>
    <n v="63.9"/>
    <x v="1"/>
    <x v="0"/>
  </r>
  <r>
    <s v="E202401026"/>
    <x v="0"/>
    <x v="1"/>
    <x v="1"/>
    <s v="Matematica"/>
    <n v="11.1"/>
    <n v="64.099999999999994"/>
    <x v="1"/>
    <x v="0"/>
  </r>
  <r>
    <s v="E202401050"/>
    <x v="0"/>
    <x v="1"/>
    <x v="1"/>
    <s v="Redes"/>
    <n v="11.1"/>
    <n v="76.099999999999994"/>
    <x v="1"/>
    <x v="2"/>
  </r>
  <r>
    <s v="E202402037"/>
    <x v="0"/>
    <x v="1"/>
    <x v="0"/>
    <s v="Contabilidade"/>
    <n v="11.1"/>
    <n v="96.7"/>
    <x v="1"/>
    <x v="2"/>
  </r>
  <r>
    <s v="E202403009"/>
    <x v="0"/>
    <x v="1"/>
    <x v="2"/>
    <s v="Programacao"/>
    <n v="11.1"/>
    <n v="64.400000000000006"/>
    <x v="1"/>
    <x v="0"/>
  </r>
  <r>
    <s v="E202403057"/>
    <x v="0"/>
    <x v="1"/>
    <x v="2"/>
    <s v="Programacao"/>
    <n v="11.1"/>
    <n v="82.9"/>
    <x v="1"/>
    <x v="2"/>
  </r>
  <r>
    <s v="E202502023"/>
    <x v="1"/>
    <x v="0"/>
    <x v="0"/>
    <s v="Contabilidade"/>
    <n v="11.1"/>
    <n v="76.5"/>
    <x v="1"/>
    <x v="2"/>
  </r>
  <r>
    <s v="E202503022"/>
    <x v="1"/>
    <x v="0"/>
    <x v="2"/>
    <s v="Bases de Dados"/>
    <n v="11.1"/>
    <n v="53.5"/>
    <x v="1"/>
    <x v="0"/>
  </r>
  <r>
    <s v="E202501003"/>
    <x v="1"/>
    <x v="1"/>
    <x v="1"/>
    <s v="Matematica"/>
    <n v="11.1"/>
    <n v="87.7"/>
    <x v="1"/>
    <x v="2"/>
  </r>
  <r>
    <s v="E202501028"/>
    <x v="1"/>
    <x v="1"/>
    <x v="1"/>
    <s v="Sinais"/>
    <n v="11.1"/>
    <n v="47.6"/>
    <x v="1"/>
    <x v="1"/>
  </r>
  <r>
    <s v="E202502020"/>
    <x v="1"/>
    <x v="1"/>
    <x v="0"/>
    <s v="Marketing"/>
    <n v="11.1"/>
    <n v="64.7"/>
    <x v="1"/>
    <x v="0"/>
  </r>
  <r>
    <s v="E202503048"/>
    <x v="1"/>
    <x v="1"/>
    <x v="2"/>
    <s v="Programacao"/>
    <n v="11.1"/>
    <n v="97.6"/>
    <x v="1"/>
    <x v="2"/>
  </r>
  <r>
    <s v="E202601037"/>
    <x v="2"/>
    <x v="0"/>
    <x v="1"/>
    <s v="Matematica"/>
    <n v="11.1"/>
    <n v="79.8"/>
    <x v="1"/>
    <x v="2"/>
  </r>
  <r>
    <s v="E202601044"/>
    <x v="2"/>
    <x v="0"/>
    <x v="1"/>
    <s v="Redes"/>
    <n v="11.1"/>
    <n v="65.900000000000006"/>
    <x v="1"/>
    <x v="0"/>
  </r>
  <r>
    <s v="E202601046"/>
    <x v="2"/>
    <x v="0"/>
    <x v="1"/>
    <s v="Matematica"/>
    <n v="11.1"/>
    <n v="87.2"/>
    <x v="1"/>
    <x v="2"/>
  </r>
  <r>
    <s v="E202601058"/>
    <x v="2"/>
    <x v="0"/>
    <x v="1"/>
    <s v="Matematica"/>
    <n v="11.1"/>
    <n v="58.4"/>
    <x v="1"/>
    <x v="0"/>
  </r>
  <r>
    <s v="E202602059"/>
    <x v="2"/>
    <x v="0"/>
    <x v="0"/>
    <s v="Marketing"/>
    <n v="11.1"/>
    <n v="67.599999999999994"/>
    <x v="1"/>
    <x v="0"/>
  </r>
  <r>
    <s v="E202603016"/>
    <x v="2"/>
    <x v="0"/>
    <x v="2"/>
    <s v="Programacao"/>
    <n v="11.1"/>
    <n v="67.2"/>
    <x v="1"/>
    <x v="0"/>
  </r>
  <r>
    <s v="E202603028"/>
    <x v="2"/>
    <x v="0"/>
    <x v="2"/>
    <s v="Bases de Dados"/>
    <n v="11.1"/>
    <n v="95.3"/>
    <x v="1"/>
    <x v="2"/>
  </r>
  <r>
    <s v="E202601002"/>
    <x v="2"/>
    <x v="1"/>
    <x v="1"/>
    <s v="Matematica"/>
    <n v="11.1"/>
    <n v="76.5"/>
    <x v="1"/>
    <x v="2"/>
  </r>
  <r>
    <s v="E202601042"/>
    <x v="2"/>
    <x v="1"/>
    <x v="1"/>
    <s v="Sinais"/>
    <n v="11.1"/>
    <n v="59.9"/>
    <x v="1"/>
    <x v="0"/>
  </r>
  <r>
    <s v="E202603021"/>
    <x v="2"/>
    <x v="1"/>
    <x v="2"/>
    <s v="Redes"/>
    <n v="11.1"/>
    <n v="63"/>
    <x v="1"/>
    <x v="0"/>
  </r>
  <r>
    <s v="E202603045"/>
    <x v="2"/>
    <x v="1"/>
    <x v="2"/>
    <s v="Programacao"/>
    <n v="11.1"/>
    <n v="51.2"/>
    <x v="1"/>
    <x v="0"/>
  </r>
  <r>
    <s v="E202401008"/>
    <x v="0"/>
    <x v="0"/>
    <x v="1"/>
    <s v="Redes"/>
    <n v="11.2"/>
    <n v="63.7"/>
    <x v="1"/>
    <x v="0"/>
  </r>
  <r>
    <s v="E202401030"/>
    <x v="0"/>
    <x v="0"/>
    <x v="1"/>
    <s v="Matematica"/>
    <n v="11.2"/>
    <n v="89.6"/>
    <x v="1"/>
    <x v="2"/>
  </r>
  <r>
    <s v="E202401040"/>
    <x v="0"/>
    <x v="0"/>
    <x v="1"/>
    <s v="Sinais"/>
    <n v="11.2"/>
    <n v="51.2"/>
    <x v="1"/>
    <x v="0"/>
  </r>
  <r>
    <s v="E202401055"/>
    <x v="0"/>
    <x v="0"/>
    <x v="1"/>
    <s v="Sinais"/>
    <n v="11.2"/>
    <n v="71.8"/>
    <x v="1"/>
    <x v="0"/>
  </r>
  <r>
    <s v="E202402024"/>
    <x v="0"/>
    <x v="0"/>
    <x v="0"/>
    <s v="Estatistica"/>
    <n v="11.2"/>
    <n v="77.8"/>
    <x v="1"/>
    <x v="2"/>
  </r>
  <r>
    <s v="E202402025"/>
    <x v="0"/>
    <x v="0"/>
    <x v="0"/>
    <s v="Estatistica"/>
    <n v="11.2"/>
    <n v="67.2"/>
    <x v="1"/>
    <x v="0"/>
  </r>
  <r>
    <s v="E202403007"/>
    <x v="0"/>
    <x v="0"/>
    <x v="2"/>
    <s v="Bases de Dados"/>
    <n v="11.2"/>
    <n v="52.4"/>
    <x v="1"/>
    <x v="0"/>
  </r>
  <r>
    <s v="E202403039"/>
    <x v="0"/>
    <x v="0"/>
    <x v="2"/>
    <s v="Bases de Dados"/>
    <n v="11.2"/>
    <n v="89.5"/>
    <x v="1"/>
    <x v="2"/>
  </r>
  <r>
    <s v="E202401003"/>
    <x v="0"/>
    <x v="1"/>
    <x v="1"/>
    <s v="Matematica"/>
    <n v="11.2"/>
    <n v="62.7"/>
    <x v="1"/>
    <x v="0"/>
  </r>
  <r>
    <s v="E202401008"/>
    <x v="0"/>
    <x v="1"/>
    <x v="1"/>
    <s v="Redes"/>
    <n v="11.2"/>
    <n v="89.9"/>
    <x v="1"/>
    <x v="2"/>
  </r>
  <r>
    <s v="E202401052"/>
    <x v="0"/>
    <x v="1"/>
    <x v="1"/>
    <s v="Redes"/>
    <n v="11.2"/>
    <n v="49.5"/>
    <x v="1"/>
    <x v="1"/>
  </r>
  <r>
    <s v="E202402038"/>
    <x v="0"/>
    <x v="1"/>
    <x v="0"/>
    <s v="Marketing"/>
    <n v="11.2"/>
    <n v="62.1"/>
    <x v="1"/>
    <x v="0"/>
  </r>
  <r>
    <s v="E202402053"/>
    <x v="0"/>
    <x v="1"/>
    <x v="0"/>
    <s v="Contabilidade"/>
    <n v="11.2"/>
    <n v="73.599999999999994"/>
    <x v="1"/>
    <x v="0"/>
  </r>
  <r>
    <s v="E202402057"/>
    <x v="0"/>
    <x v="1"/>
    <x v="0"/>
    <s v="Estatistica"/>
    <n v="11.2"/>
    <n v="81.400000000000006"/>
    <x v="1"/>
    <x v="2"/>
  </r>
  <r>
    <s v="E202403059"/>
    <x v="0"/>
    <x v="1"/>
    <x v="2"/>
    <s v="Redes"/>
    <n v="11.2"/>
    <n v="83.1"/>
    <x v="1"/>
    <x v="2"/>
  </r>
  <r>
    <s v="E202501005"/>
    <x v="1"/>
    <x v="0"/>
    <x v="1"/>
    <s v="Sinais"/>
    <n v="11.2"/>
    <n v="92.9"/>
    <x v="1"/>
    <x v="2"/>
  </r>
  <r>
    <s v="E202501035"/>
    <x v="1"/>
    <x v="0"/>
    <x v="1"/>
    <s v="Matematica"/>
    <n v="11.2"/>
    <n v="82.3"/>
    <x v="1"/>
    <x v="2"/>
  </r>
  <r>
    <s v="E202502005"/>
    <x v="1"/>
    <x v="0"/>
    <x v="0"/>
    <s v="Estatistica"/>
    <n v="11.2"/>
    <n v="56.2"/>
    <x v="1"/>
    <x v="0"/>
  </r>
  <r>
    <s v="E202502007"/>
    <x v="1"/>
    <x v="0"/>
    <x v="0"/>
    <s v="Contabilidade"/>
    <n v="11.2"/>
    <n v="73.400000000000006"/>
    <x v="1"/>
    <x v="0"/>
  </r>
  <r>
    <s v="E202502008"/>
    <x v="1"/>
    <x v="0"/>
    <x v="0"/>
    <s v="Estatistica"/>
    <n v="11.2"/>
    <n v="61.8"/>
    <x v="1"/>
    <x v="0"/>
  </r>
  <r>
    <s v="E202502034"/>
    <x v="1"/>
    <x v="0"/>
    <x v="0"/>
    <s v="Marketing"/>
    <n v="11.2"/>
    <n v="80.5"/>
    <x v="1"/>
    <x v="2"/>
  </r>
  <r>
    <s v="E202503008"/>
    <x v="1"/>
    <x v="0"/>
    <x v="2"/>
    <s v="Programacao"/>
    <n v="11.2"/>
    <n v="61.3"/>
    <x v="1"/>
    <x v="0"/>
  </r>
  <r>
    <s v="E202503030"/>
    <x v="1"/>
    <x v="0"/>
    <x v="2"/>
    <s v="Programacao"/>
    <n v="11.2"/>
    <n v="69.400000000000006"/>
    <x v="1"/>
    <x v="0"/>
  </r>
  <r>
    <s v="E202501001"/>
    <x v="1"/>
    <x v="1"/>
    <x v="1"/>
    <s v="Matematica"/>
    <n v="11.2"/>
    <n v="75.3"/>
    <x v="1"/>
    <x v="2"/>
  </r>
  <r>
    <s v="E202501007"/>
    <x v="1"/>
    <x v="1"/>
    <x v="1"/>
    <s v="Sinais"/>
    <n v="11.2"/>
    <n v="49.6"/>
    <x v="1"/>
    <x v="1"/>
  </r>
  <r>
    <s v="E202502049"/>
    <x v="1"/>
    <x v="1"/>
    <x v="0"/>
    <s v="Contabilidade"/>
    <n v="11.2"/>
    <n v="65.8"/>
    <x v="1"/>
    <x v="0"/>
  </r>
  <r>
    <s v="E202502054"/>
    <x v="1"/>
    <x v="1"/>
    <x v="0"/>
    <s v="Marketing"/>
    <n v="11.2"/>
    <n v="94.3"/>
    <x v="1"/>
    <x v="2"/>
  </r>
  <r>
    <s v="E202503044"/>
    <x v="1"/>
    <x v="1"/>
    <x v="2"/>
    <s v="Redes"/>
    <n v="11.2"/>
    <n v="83"/>
    <x v="1"/>
    <x v="2"/>
  </r>
  <r>
    <s v="E202503048"/>
    <x v="1"/>
    <x v="1"/>
    <x v="2"/>
    <s v="Redes"/>
    <n v="11.2"/>
    <n v="81.900000000000006"/>
    <x v="1"/>
    <x v="2"/>
  </r>
  <r>
    <s v="E202602011"/>
    <x v="2"/>
    <x v="0"/>
    <x v="0"/>
    <s v="Contabilidade"/>
    <n v="11.2"/>
    <n v="53.1"/>
    <x v="1"/>
    <x v="0"/>
  </r>
  <r>
    <s v="E202602056"/>
    <x v="2"/>
    <x v="0"/>
    <x v="0"/>
    <s v="Contabilidade"/>
    <n v="11.2"/>
    <n v="66.3"/>
    <x v="1"/>
    <x v="0"/>
  </r>
  <r>
    <s v="E202603028"/>
    <x v="2"/>
    <x v="0"/>
    <x v="2"/>
    <s v="Redes"/>
    <n v="11.2"/>
    <n v="62.1"/>
    <x v="1"/>
    <x v="0"/>
  </r>
  <r>
    <s v="E202601056"/>
    <x v="2"/>
    <x v="1"/>
    <x v="1"/>
    <s v="Sinais"/>
    <n v="11.2"/>
    <n v="83.5"/>
    <x v="1"/>
    <x v="2"/>
  </r>
  <r>
    <s v="E202602023"/>
    <x v="2"/>
    <x v="1"/>
    <x v="0"/>
    <s v="Contabilidade"/>
    <n v="11.2"/>
    <n v="69.099999999999994"/>
    <x v="1"/>
    <x v="0"/>
  </r>
  <r>
    <s v="E202603049"/>
    <x v="2"/>
    <x v="1"/>
    <x v="2"/>
    <s v="Bases de Dados"/>
    <n v="11.2"/>
    <n v="45.7"/>
    <x v="1"/>
    <x v="1"/>
  </r>
  <r>
    <s v="E202401004"/>
    <x v="0"/>
    <x v="0"/>
    <x v="1"/>
    <s v="Matematica"/>
    <n v="11.3"/>
    <n v="67.400000000000006"/>
    <x v="1"/>
    <x v="0"/>
  </r>
  <r>
    <s v="E202401024"/>
    <x v="0"/>
    <x v="0"/>
    <x v="1"/>
    <s v="Redes"/>
    <n v="11.3"/>
    <n v="62.6"/>
    <x v="1"/>
    <x v="0"/>
  </r>
  <r>
    <s v="E202402012"/>
    <x v="0"/>
    <x v="0"/>
    <x v="0"/>
    <s v="Contabilidade"/>
    <n v="11.3"/>
    <n v="62.4"/>
    <x v="1"/>
    <x v="0"/>
  </r>
  <r>
    <s v="E202402014"/>
    <x v="0"/>
    <x v="0"/>
    <x v="0"/>
    <s v="Marketing"/>
    <n v="11.3"/>
    <n v="99.5"/>
    <x v="1"/>
    <x v="2"/>
  </r>
  <r>
    <s v="E202402019"/>
    <x v="0"/>
    <x v="0"/>
    <x v="0"/>
    <s v="Estatistica"/>
    <n v="11.3"/>
    <n v="86.3"/>
    <x v="1"/>
    <x v="2"/>
  </r>
  <r>
    <s v="E202403060"/>
    <x v="0"/>
    <x v="0"/>
    <x v="2"/>
    <s v="Bases de Dados"/>
    <n v="11.3"/>
    <n v="95.9"/>
    <x v="1"/>
    <x v="2"/>
  </r>
  <r>
    <s v="E202403041"/>
    <x v="0"/>
    <x v="1"/>
    <x v="2"/>
    <s v="Programacao"/>
    <n v="11.3"/>
    <n v="86.6"/>
    <x v="1"/>
    <x v="2"/>
  </r>
  <r>
    <s v="E202501018"/>
    <x v="1"/>
    <x v="0"/>
    <x v="1"/>
    <s v="Redes"/>
    <n v="11.3"/>
    <n v="68.8"/>
    <x v="1"/>
    <x v="0"/>
  </r>
  <r>
    <s v="E202501036"/>
    <x v="1"/>
    <x v="0"/>
    <x v="1"/>
    <s v="Redes"/>
    <n v="11.3"/>
    <n v="46.8"/>
    <x v="1"/>
    <x v="1"/>
  </r>
  <r>
    <s v="E202502030"/>
    <x v="1"/>
    <x v="0"/>
    <x v="0"/>
    <s v="Contabilidade"/>
    <n v="11.3"/>
    <n v="51.3"/>
    <x v="1"/>
    <x v="0"/>
  </r>
  <r>
    <s v="E202502044"/>
    <x v="1"/>
    <x v="0"/>
    <x v="0"/>
    <s v="Estatistica"/>
    <n v="11.3"/>
    <n v="92.3"/>
    <x v="1"/>
    <x v="2"/>
  </r>
  <r>
    <s v="E202501009"/>
    <x v="1"/>
    <x v="1"/>
    <x v="1"/>
    <s v="Redes"/>
    <n v="11.3"/>
    <n v="76.099999999999994"/>
    <x v="1"/>
    <x v="2"/>
  </r>
  <r>
    <s v="E202501056"/>
    <x v="1"/>
    <x v="1"/>
    <x v="1"/>
    <s v="Sinais"/>
    <n v="11.3"/>
    <n v="97"/>
    <x v="1"/>
    <x v="2"/>
  </r>
  <r>
    <s v="E202502036"/>
    <x v="1"/>
    <x v="1"/>
    <x v="0"/>
    <s v="Contabilidade"/>
    <n v="11.3"/>
    <n v="77"/>
    <x v="1"/>
    <x v="2"/>
  </r>
  <r>
    <s v="E202502053"/>
    <x v="1"/>
    <x v="1"/>
    <x v="0"/>
    <s v="Contabilidade"/>
    <n v="11.3"/>
    <n v="71"/>
    <x v="1"/>
    <x v="0"/>
  </r>
  <r>
    <s v="E202502056"/>
    <x v="1"/>
    <x v="1"/>
    <x v="0"/>
    <s v="Estatistica"/>
    <n v="11.3"/>
    <n v="55.9"/>
    <x v="1"/>
    <x v="0"/>
  </r>
  <r>
    <s v="E202503013"/>
    <x v="1"/>
    <x v="1"/>
    <x v="2"/>
    <s v="Redes"/>
    <n v="11.3"/>
    <n v="76"/>
    <x v="1"/>
    <x v="2"/>
  </r>
  <r>
    <s v="E202503057"/>
    <x v="1"/>
    <x v="1"/>
    <x v="2"/>
    <s v="Bases de Dados"/>
    <n v="11.3"/>
    <n v="53.6"/>
    <x v="1"/>
    <x v="0"/>
  </r>
  <r>
    <s v="E202601011"/>
    <x v="2"/>
    <x v="0"/>
    <x v="1"/>
    <s v="Redes"/>
    <n v="11.3"/>
    <n v="69"/>
    <x v="1"/>
    <x v="0"/>
  </r>
  <r>
    <s v="E202601020"/>
    <x v="2"/>
    <x v="0"/>
    <x v="1"/>
    <s v="Sinais"/>
    <n v="11.3"/>
    <n v="87.8"/>
    <x v="1"/>
    <x v="2"/>
  </r>
  <r>
    <s v="E202601024"/>
    <x v="2"/>
    <x v="0"/>
    <x v="1"/>
    <s v="Matematica"/>
    <n v="11.3"/>
    <n v="62.5"/>
    <x v="1"/>
    <x v="0"/>
  </r>
  <r>
    <s v="E202601010"/>
    <x v="2"/>
    <x v="1"/>
    <x v="1"/>
    <s v="Sinais"/>
    <n v="11.3"/>
    <n v="59"/>
    <x v="1"/>
    <x v="0"/>
  </r>
  <r>
    <s v="E202601021"/>
    <x v="2"/>
    <x v="1"/>
    <x v="1"/>
    <s v="Matematica"/>
    <n v="11.3"/>
    <n v="66.599999999999994"/>
    <x v="1"/>
    <x v="0"/>
  </r>
  <r>
    <s v="E202601058"/>
    <x v="2"/>
    <x v="1"/>
    <x v="1"/>
    <s v="Sinais"/>
    <n v="11.3"/>
    <n v="62.6"/>
    <x v="1"/>
    <x v="0"/>
  </r>
  <r>
    <s v="E202602029"/>
    <x v="2"/>
    <x v="1"/>
    <x v="0"/>
    <s v="Estatistica"/>
    <n v="11.3"/>
    <n v="84.4"/>
    <x v="1"/>
    <x v="2"/>
  </r>
  <r>
    <s v="E202602039"/>
    <x v="2"/>
    <x v="1"/>
    <x v="0"/>
    <s v="Marketing"/>
    <n v="11.3"/>
    <n v="52.8"/>
    <x v="1"/>
    <x v="0"/>
  </r>
  <r>
    <s v="E202602042"/>
    <x v="2"/>
    <x v="1"/>
    <x v="0"/>
    <s v="Estatistica"/>
    <n v="11.3"/>
    <n v="56"/>
    <x v="1"/>
    <x v="0"/>
  </r>
  <r>
    <s v="E202603054"/>
    <x v="2"/>
    <x v="1"/>
    <x v="2"/>
    <s v="Redes"/>
    <n v="11.3"/>
    <n v="80.7"/>
    <x v="1"/>
    <x v="2"/>
  </r>
  <r>
    <s v="E202401043"/>
    <x v="0"/>
    <x v="0"/>
    <x v="1"/>
    <s v="Sinais"/>
    <n v="11.4"/>
    <n v="85.6"/>
    <x v="1"/>
    <x v="2"/>
  </r>
  <r>
    <s v="E202401052"/>
    <x v="0"/>
    <x v="0"/>
    <x v="1"/>
    <s v="Redes"/>
    <n v="11.4"/>
    <n v="58.7"/>
    <x v="1"/>
    <x v="0"/>
  </r>
  <r>
    <s v="E202401054"/>
    <x v="0"/>
    <x v="0"/>
    <x v="1"/>
    <s v="Matematica"/>
    <n v="11.4"/>
    <n v="45.9"/>
    <x v="1"/>
    <x v="1"/>
  </r>
  <r>
    <s v="E202402015"/>
    <x v="0"/>
    <x v="0"/>
    <x v="0"/>
    <s v="Estatistica"/>
    <n v="11.4"/>
    <n v="96.8"/>
    <x v="1"/>
    <x v="2"/>
  </r>
  <r>
    <s v="E202402023"/>
    <x v="0"/>
    <x v="0"/>
    <x v="0"/>
    <s v="Contabilidade"/>
    <n v="11.4"/>
    <n v="53"/>
    <x v="1"/>
    <x v="0"/>
  </r>
  <r>
    <s v="E202402055"/>
    <x v="0"/>
    <x v="0"/>
    <x v="0"/>
    <s v="Contabilidade"/>
    <n v="11.4"/>
    <n v="82.7"/>
    <x v="1"/>
    <x v="2"/>
  </r>
  <r>
    <s v="E202403032"/>
    <x v="0"/>
    <x v="0"/>
    <x v="2"/>
    <s v="Bases de Dados"/>
    <n v="11.4"/>
    <n v="94.1"/>
    <x v="1"/>
    <x v="2"/>
  </r>
  <r>
    <s v="E202403036"/>
    <x v="0"/>
    <x v="0"/>
    <x v="2"/>
    <s v="Redes"/>
    <n v="11.4"/>
    <n v="49.3"/>
    <x v="1"/>
    <x v="1"/>
  </r>
  <r>
    <s v="E202403048"/>
    <x v="0"/>
    <x v="0"/>
    <x v="2"/>
    <s v="Bases de Dados"/>
    <n v="11.4"/>
    <n v="63.4"/>
    <x v="1"/>
    <x v="0"/>
  </r>
  <r>
    <s v="E202402002"/>
    <x v="0"/>
    <x v="1"/>
    <x v="0"/>
    <s v="Marketing"/>
    <n v="11.4"/>
    <n v="48.6"/>
    <x v="1"/>
    <x v="1"/>
  </r>
  <r>
    <s v="E202402046"/>
    <x v="0"/>
    <x v="1"/>
    <x v="0"/>
    <s v="Contabilidade"/>
    <n v="11.4"/>
    <n v="88.7"/>
    <x v="1"/>
    <x v="2"/>
  </r>
  <r>
    <s v="E202402055"/>
    <x v="0"/>
    <x v="1"/>
    <x v="0"/>
    <s v="Estatistica"/>
    <n v="11.4"/>
    <n v="58.1"/>
    <x v="1"/>
    <x v="0"/>
  </r>
  <r>
    <s v="E202403005"/>
    <x v="0"/>
    <x v="1"/>
    <x v="2"/>
    <s v="Programacao"/>
    <n v="11.4"/>
    <n v="84.3"/>
    <x v="1"/>
    <x v="2"/>
  </r>
  <r>
    <s v="E202403035"/>
    <x v="0"/>
    <x v="1"/>
    <x v="2"/>
    <s v="Redes"/>
    <n v="11.4"/>
    <n v="99.4"/>
    <x v="1"/>
    <x v="2"/>
  </r>
  <r>
    <s v="E202501010"/>
    <x v="1"/>
    <x v="0"/>
    <x v="1"/>
    <s v="Matematica"/>
    <n v="11.4"/>
    <n v="75.5"/>
    <x v="1"/>
    <x v="2"/>
  </r>
  <r>
    <s v="E202502016"/>
    <x v="1"/>
    <x v="0"/>
    <x v="0"/>
    <s v="Contabilidade"/>
    <n v="11.4"/>
    <n v="73.099999999999994"/>
    <x v="1"/>
    <x v="0"/>
  </r>
  <r>
    <s v="E202503004"/>
    <x v="1"/>
    <x v="0"/>
    <x v="2"/>
    <s v="Bases de Dados"/>
    <n v="11.4"/>
    <n v="48.8"/>
    <x v="1"/>
    <x v="1"/>
  </r>
  <r>
    <s v="E202503034"/>
    <x v="1"/>
    <x v="0"/>
    <x v="2"/>
    <s v="Redes"/>
    <n v="11.4"/>
    <n v="63.1"/>
    <x v="1"/>
    <x v="0"/>
  </r>
  <r>
    <s v="E202503037"/>
    <x v="1"/>
    <x v="0"/>
    <x v="2"/>
    <s v="Programacao"/>
    <n v="11.4"/>
    <n v="85.9"/>
    <x v="1"/>
    <x v="2"/>
  </r>
  <r>
    <s v="E202503055"/>
    <x v="1"/>
    <x v="0"/>
    <x v="2"/>
    <s v="Programacao"/>
    <n v="11.4"/>
    <n v="48"/>
    <x v="1"/>
    <x v="1"/>
  </r>
  <r>
    <s v="E202503055"/>
    <x v="1"/>
    <x v="0"/>
    <x v="2"/>
    <s v="Redes"/>
    <n v="11.4"/>
    <n v="66.599999999999994"/>
    <x v="1"/>
    <x v="0"/>
  </r>
  <r>
    <s v="E202501060"/>
    <x v="1"/>
    <x v="1"/>
    <x v="1"/>
    <s v="Redes"/>
    <n v="11.4"/>
    <n v="93.4"/>
    <x v="1"/>
    <x v="2"/>
  </r>
  <r>
    <s v="E202503022"/>
    <x v="1"/>
    <x v="1"/>
    <x v="2"/>
    <s v="Redes"/>
    <n v="11.4"/>
    <n v="59.3"/>
    <x v="1"/>
    <x v="0"/>
  </r>
  <r>
    <s v="E202601031"/>
    <x v="2"/>
    <x v="0"/>
    <x v="1"/>
    <s v="Redes"/>
    <n v="11.4"/>
    <n v="49.6"/>
    <x v="1"/>
    <x v="1"/>
  </r>
  <r>
    <s v="E202602002"/>
    <x v="2"/>
    <x v="0"/>
    <x v="0"/>
    <s v="Marketing"/>
    <n v="11.4"/>
    <n v="75"/>
    <x v="1"/>
    <x v="2"/>
  </r>
  <r>
    <s v="E202602017"/>
    <x v="2"/>
    <x v="0"/>
    <x v="0"/>
    <s v="Contabilidade"/>
    <n v="11.4"/>
    <n v="87.8"/>
    <x v="1"/>
    <x v="2"/>
  </r>
  <r>
    <s v="E202601021"/>
    <x v="2"/>
    <x v="1"/>
    <x v="1"/>
    <s v="Sinais"/>
    <n v="11.4"/>
    <n v="45.6"/>
    <x v="1"/>
    <x v="1"/>
  </r>
  <r>
    <s v="E202601030"/>
    <x v="2"/>
    <x v="1"/>
    <x v="1"/>
    <s v="Sinais"/>
    <n v="11.4"/>
    <n v="64.5"/>
    <x v="1"/>
    <x v="0"/>
  </r>
  <r>
    <s v="E202601059"/>
    <x v="2"/>
    <x v="1"/>
    <x v="1"/>
    <s v="Redes"/>
    <n v="11.4"/>
    <n v="90.6"/>
    <x v="1"/>
    <x v="2"/>
  </r>
  <r>
    <s v="E202602020"/>
    <x v="2"/>
    <x v="1"/>
    <x v="0"/>
    <s v="Contabilidade"/>
    <n v="11.4"/>
    <n v="89.8"/>
    <x v="1"/>
    <x v="2"/>
  </r>
  <r>
    <s v="E202602038"/>
    <x v="2"/>
    <x v="1"/>
    <x v="0"/>
    <s v="Estatistica"/>
    <n v="11.4"/>
    <n v="77.8"/>
    <x v="1"/>
    <x v="2"/>
  </r>
  <r>
    <s v="E202603004"/>
    <x v="2"/>
    <x v="1"/>
    <x v="2"/>
    <s v="Programacao"/>
    <n v="11.4"/>
    <n v="48.6"/>
    <x v="1"/>
    <x v="1"/>
  </r>
  <r>
    <s v="E202401018"/>
    <x v="0"/>
    <x v="0"/>
    <x v="1"/>
    <s v="Matematica"/>
    <n v="11.5"/>
    <n v="61.2"/>
    <x v="1"/>
    <x v="0"/>
  </r>
  <r>
    <s v="E202401029"/>
    <x v="0"/>
    <x v="0"/>
    <x v="1"/>
    <s v="Sinais"/>
    <n v="11.5"/>
    <n v="81.2"/>
    <x v="1"/>
    <x v="2"/>
  </r>
  <r>
    <s v="E202402007"/>
    <x v="0"/>
    <x v="0"/>
    <x v="0"/>
    <s v="Estatistica"/>
    <n v="11.5"/>
    <n v="46.1"/>
    <x v="1"/>
    <x v="1"/>
  </r>
  <r>
    <s v="E202402018"/>
    <x v="0"/>
    <x v="0"/>
    <x v="0"/>
    <s v="Contabilidade"/>
    <n v="11.5"/>
    <n v="81.599999999999994"/>
    <x v="1"/>
    <x v="2"/>
  </r>
  <r>
    <s v="E202403036"/>
    <x v="0"/>
    <x v="0"/>
    <x v="2"/>
    <s v="Bases de Dados"/>
    <n v="11.5"/>
    <n v="84.6"/>
    <x v="1"/>
    <x v="2"/>
  </r>
  <r>
    <s v="E202403045"/>
    <x v="0"/>
    <x v="0"/>
    <x v="2"/>
    <s v="Redes"/>
    <n v="11.5"/>
    <n v="77.7"/>
    <x v="1"/>
    <x v="2"/>
  </r>
  <r>
    <s v="E202401001"/>
    <x v="0"/>
    <x v="1"/>
    <x v="1"/>
    <s v="Matematica"/>
    <n v="11.5"/>
    <n v="86.6"/>
    <x v="1"/>
    <x v="2"/>
  </r>
  <r>
    <s v="E202401034"/>
    <x v="0"/>
    <x v="1"/>
    <x v="1"/>
    <s v="Matematica"/>
    <n v="11.5"/>
    <n v="53.5"/>
    <x v="1"/>
    <x v="0"/>
  </r>
  <r>
    <s v="E202402019"/>
    <x v="0"/>
    <x v="1"/>
    <x v="0"/>
    <s v="Marketing"/>
    <n v="11.5"/>
    <n v="49"/>
    <x v="1"/>
    <x v="1"/>
  </r>
  <r>
    <s v="E202402027"/>
    <x v="0"/>
    <x v="1"/>
    <x v="0"/>
    <s v="Estatistica"/>
    <n v="11.5"/>
    <n v="51.9"/>
    <x v="1"/>
    <x v="0"/>
  </r>
  <r>
    <s v="E202403013"/>
    <x v="0"/>
    <x v="1"/>
    <x v="2"/>
    <s v="Bases de Dados"/>
    <n v="11.5"/>
    <n v="68.099999999999994"/>
    <x v="1"/>
    <x v="0"/>
  </r>
  <r>
    <s v="E202403045"/>
    <x v="0"/>
    <x v="1"/>
    <x v="2"/>
    <s v="Bases de Dados"/>
    <n v="11.5"/>
    <n v="73.8"/>
    <x v="1"/>
    <x v="0"/>
  </r>
  <r>
    <s v="E202501026"/>
    <x v="1"/>
    <x v="0"/>
    <x v="1"/>
    <s v="Sinais"/>
    <n v="11.5"/>
    <n v="88"/>
    <x v="1"/>
    <x v="2"/>
  </r>
  <r>
    <s v="E202501051"/>
    <x v="1"/>
    <x v="0"/>
    <x v="1"/>
    <s v="Sinais"/>
    <n v="11.5"/>
    <n v="87"/>
    <x v="1"/>
    <x v="2"/>
  </r>
  <r>
    <s v="E202502010"/>
    <x v="1"/>
    <x v="0"/>
    <x v="0"/>
    <s v="Contabilidade"/>
    <n v="11.5"/>
    <n v="72.8"/>
    <x v="1"/>
    <x v="0"/>
  </r>
  <r>
    <s v="E202502046"/>
    <x v="1"/>
    <x v="0"/>
    <x v="0"/>
    <s v="Marketing"/>
    <n v="11.5"/>
    <n v="75.599999999999994"/>
    <x v="1"/>
    <x v="2"/>
  </r>
  <r>
    <s v="E202503040"/>
    <x v="1"/>
    <x v="0"/>
    <x v="2"/>
    <s v="Bases de Dados"/>
    <n v="11.5"/>
    <n v="56.4"/>
    <x v="1"/>
    <x v="0"/>
  </r>
  <r>
    <s v="E202503049"/>
    <x v="1"/>
    <x v="0"/>
    <x v="2"/>
    <s v="Bases de Dados"/>
    <n v="11.5"/>
    <n v="99.7"/>
    <x v="1"/>
    <x v="2"/>
  </r>
  <r>
    <s v="E202503059"/>
    <x v="1"/>
    <x v="0"/>
    <x v="2"/>
    <s v="Bases de Dados"/>
    <n v="11.5"/>
    <n v="96.7"/>
    <x v="1"/>
    <x v="2"/>
  </r>
  <r>
    <s v="E202501022"/>
    <x v="1"/>
    <x v="1"/>
    <x v="1"/>
    <s v="Sinais"/>
    <n v="11.5"/>
    <n v="61.6"/>
    <x v="1"/>
    <x v="0"/>
  </r>
  <r>
    <s v="E202501030"/>
    <x v="1"/>
    <x v="1"/>
    <x v="1"/>
    <s v="Sinais"/>
    <n v="11.5"/>
    <n v="68.099999999999994"/>
    <x v="1"/>
    <x v="0"/>
  </r>
  <r>
    <s v="E202502004"/>
    <x v="1"/>
    <x v="1"/>
    <x v="0"/>
    <s v="Contabilidade"/>
    <n v="11.5"/>
    <n v="54.6"/>
    <x v="1"/>
    <x v="0"/>
  </r>
  <r>
    <s v="E202502024"/>
    <x v="1"/>
    <x v="1"/>
    <x v="0"/>
    <s v="Marketing"/>
    <n v="11.5"/>
    <n v="65.7"/>
    <x v="1"/>
    <x v="0"/>
  </r>
  <r>
    <s v="E202503001"/>
    <x v="1"/>
    <x v="1"/>
    <x v="2"/>
    <s v="Bases de Dados"/>
    <n v="11.5"/>
    <n v="68.599999999999994"/>
    <x v="1"/>
    <x v="0"/>
  </r>
  <r>
    <s v="E202503026"/>
    <x v="1"/>
    <x v="1"/>
    <x v="2"/>
    <s v="Redes"/>
    <n v="11.5"/>
    <n v="62.7"/>
    <x v="1"/>
    <x v="0"/>
  </r>
  <r>
    <s v="E202503058"/>
    <x v="1"/>
    <x v="1"/>
    <x v="2"/>
    <s v="Programacao"/>
    <n v="11.5"/>
    <n v="99.5"/>
    <x v="1"/>
    <x v="2"/>
  </r>
  <r>
    <s v="E202601003"/>
    <x v="2"/>
    <x v="0"/>
    <x v="1"/>
    <s v="Redes"/>
    <n v="11.5"/>
    <n v="79"/>
    <x v="1"/>
    <x v="2"/>
  </r>
  <r>
    <s v="E202601026"/>
    <x v="2"/>
    <x v="0"/>
    <x v="1"/>
    <s v="Matematica"/>
    <n v="11.5"/>
    <n v="85.4"/>
    <x v="1"/>
    <x v="2"/>
  </r>
  <r>
    <s v="E202601051"/>
    <x v="2"/>
    <x v="0"/>
    <x v="1"/>
    <s v="Matematica"/>
    <n v="11.5"/>
    <n v="50.3"/>
    <x v="1"/>
    <x v="0"/>
  </r>
  <r>
    <s v="E202602006"/>
    <x v="2"/>
    <x v="0"/>
    <x v="0"/>
    <s v="Estatistica"/>
    <n v="11.5"/>
    <n v="57.9"/>
    <x v="1"/>
    <x v="0"/>
  </r>
  <r>
    <s v="E202602006"/>
    <x v="2"/>
    <x v="1"/>
    <x v="0"/>
    <s v="Contabilidade"/>
    <n v="11.5"/>
    <n v="78.599999999999994"/>
    <x v="1"/>
    <x v="2"/>
  </r>
  <r>
    <s v="E202602011"/>
    <x v="2"/>
    <x v="1"/>
    <x v="0"/>
    <s v="Estatistica"/>
    <n v="11.5"/>
    <n v="57.3"/>
    <x v="1"/>
    <x v="0"/>
  </r>
  <r>
    <s v="E202603004"/>
    <x v="2"/>
    <x v="1"/>
    <x v="2"/>
    <s v="Redes"/>
    <n v="11.5"/>
    <n v="57.2"/>
    <x v="1"/>
    <x v="0"/>
  </r>
  <r>
    <s v="E202603049"/>
    <x v="2"/>
    <x v="1"/>
    <x v="2"/>
    <s v="Programacao"/>
    <n v="11.5"/>
    <n v="58.1"/>
    <x v="1"/>
    <x v="0"/>
  </r>
  <r>
    <s v="E202401026"/>
    <x v="0"/>
    <x v="0"/>
    <x v="1"/>
    <s v="Matematica"/>
    <n v="11.6"/>
    <n v="80.099999999999994"/>
    <x v="1"/>
    <x v="2"/>
  </r>
  <r>
    <s v="E202401058"/>
    <x v="0"/>
    <x v="0"/>
    <x v="1"/>
    <s v="Matematica"/>
    <n v="11.6"/>
    <n v="63.7"/>
    <x v="1"/>
    <x v="0"/>
  </r>
  <r>
    <s v="E202402009"/>
    <x v="0"/>
    <x v="0"/>
    <x v="0"/>
    <s v="Estatistica"/>
    <n v="11.6"/>
    <n v="95.9"/>
    <x v="1"/>
    <x v="2"/>
  </r>
  <r>
    <s v="E202402037"/>
    <x v="0"/>
    <x v="0"/>
    <x v="0"/>
    <s v="Contabilidade"/>
    <n v="11.6"/>
    <n v="98.6"/>
    <x v="1"/>
    <x v="2"/>
  </r>
  <r>
    <s v="E202402050"/>
    <x v="0"/>
    <x v="0"/>
    <x v="0"/>
    <s v="Estatistica"/>
    <n v="11.6"/>
    <n v="97.6"/>
    <x v="1"/>
    <x v="2"/>
  </r>
  <r>
    <s v="E202403032"/>
    <x v="0"/>
    <x v="0"/>
    <x v="2"/>
    <s v="Redes"/>
    <n v="11.6"/>
    <n v="74"/>
    <x v="1"/>
    <x v="0"/>
  </r>
  <r>
    <s v="E202403041"/>
    <x v="0"/>
    <x v="0"/>
    <x v="2"/>
    <s v="Programacao"/>
    <n v="11.6"/>
    <n v="76.099999999999994"/>
    <x v="1"/>
    <x v="2"/>
  </r>
  <r>
    <s v="E202403043"/>
    <x v="0"/>
    <x v="0"/>
    <x v="2"/>
    <s v="Bases de Dados"/>
    <n v="11.6"/>
    <n v="50.3"/>
    <x v="1"/>
    <x v="0"/>
  </r>
  <r>
    <s v="E202402008"/>
    <x v="0"/>
    <x v="1"/>
    <x v="0"/>
    <s v="Contabilidade"/>
    <n v="11.6"/>
    <n v="73.5"/>
    <x v="1"/>
    <x v="0"/>
  </r>
  <r>
    <s v="E202402041"/>
    <x v="0"/>
    <x v="1"/>
    <x v="0"/>
    <s v="Contabilidade"/>
    <n v="11.6"/>
    <n v="80.400000000000006"/>
    <x v="1"/>
    <x v="2"/>
  </r>
  <r>
    <s v="E202403004"/>
    <x v="0"/>
    <x v="1"/>
    <x v="2"/>
    <s v="Redes"/>
    <n v="11.6"/>
    <n v="78"/>
    <x v="1"/>
    <x v="2"/>
  </r>
  <r>
    <s v="E202403027"/>
    <x v="0"/>
    <x v="1"/>
    <x v="2"/>
    <s v="Programacao"/>
    <n v="11.6"/>
    <n v="71.400000000000006"/>
    <x v="1"/>
    <x v="0"/>
  </r>
  <r>
    <s v="E202403046"/>
    <x v="0"/>
    <x v="1"/>
    <x v="2"/>
    <s v="Redes"/>
    <n v="11.6"/>
    <n v="64.5"/>
    <x v="1"/>
    <x v="0"/>
  </r>
  <r>
    <s v="E202501001"/>
    <x v="1"/>
    <x v="0"/>
    <x v="1"/>
    <s v="Sinais"/>
    <n v="11.6"/>
    <n v="72.2"/>
    <x v="1"/>
    <x v="0"/>
  </r>
  <r>
    <s v="E202501021"/>
    <x v="1"/>
    <x v="0"/>
    <x v="1"/>
    <s v="Matematica"/>
    <n v="11.6"/>
    <n v="78.8"/>
    <x v="1"/>
    <x v="2"/>
  </r>
  <r>
    <s v="E202502011"/>
    <x v="1"/>
    <x v="0"/>
    <x v="0"/>
    <s v="Estatistica"/>
    <n v="11.6"/>
    <n v="82.5"/>
    <x v="1"/>
    <x v="2"/>
  </r>
  <r>
    <s v="E202503011"/>
    <x v="1"/>
    <x v="0"/>
    <x v="2"/>
    <s v="Redes"/>
    <n v="11.6"/>
    <n v="62.7"/>
    <x v="1"/>
    <x v="0"/>
  </r>
  <r>
    <s v="E202502016"/>
    <x v="1"/>
    <x v="1"/>
    <x v="0"/>
    <s v="Marketing"/>
    <n v="11.6"/>
    <n v="45.4"/>
    <x v="1"/>
    <x v="1"/>
  </r>
  <r>
    <s v="E202502020"/>
    <x v="1"/>
    <x v="1"/>
    <x v="0"/>
    <s v="Estatistica"/>
    <n v="11.6"/>
    <n v="79.5"/>
    <x v="1"/>
    <x v="2"/>
  </r>
  <r>
    <s v="E202503034"/>
    <x v="1"/>
    <x v="1"/>
    <x v="2"/>
    <s v="Redes"/>
    <n v="11.6"/>
    <n v="71.8"/>
    <x v="1"/>
    <x v="0"/>
  </r>
  <r>
    <s v="E202503039"/>
    <x v="1"/>
    <x v="1"/>
    <x v="2"/>
    <s v="Programacao"/>
    <n v="11.6"/>
    <n v="84.1"/>
    <x v="1"/>
    <x v="2"/>
  </r>
  <r>
    <s v="E202601002"/>
    <x v="2"/>
    <x v="0"/>
    <x v="1"/>
    <s v="Sinais"/>
    <n v="11.6"/>
    <n v="82.5"/>
    <x v="1"/>
    <x v="2"/>
  </r>
  <r>
    <s v="E202601043"/>
    <x v="2"/>
    <x v="0"/>
    <x v="1"/>
    <s v="Redes"/>
    <n v="11.6"/>
    <n v="71.2"/>
    <x v="1"/>
    <x v="0"/>
  </r>
  <r>
    <s v="E202602017"/>
    <x v="2"/>
    <x v="0"/>
    <x v="0"/>
    <s v="Marketing"/>
    <n v="11.6"/>
    <n v="69"/>
    <x v="1"/>
    <x v="0"/>
  </r>
  <r>
    <s v="E202603027"/>
    <x v="2"/>
    <x v="0"/>
    <x v="2"/>
    <s v="Redes"/>
    <n v="11.6"/>
    <n v="82"/>
    <x v="1"/>
    <x v="2"/>
  </r>
  <r>
    <s v="E202603043"/>
    <x v="2"/>
    <x v="0"/>
    <x v="2"/>
    <s v="Redes"/>
    <n v="11.6"/>
    <n v="45.6"/>
    <x v="1"/>
    <x v="1"/>
  </r>
  <r>
    <s v="E202601058"/>
    <x v="2"/>
    <x v="1"/>
    <x v="1"/>
    <s v="Redes"/>
    <n v="11.6"/>
    <n v="84.6"/>
    <x v="1"/>
    <x v="2"/>
  </r>
  <r>
    <s v="E202602046"/>
    <x v="2"/>
    <x v="1"/>
    <x v="0"/>
    <s v="Marketing"/>
    <n v="11.6"/>
    <n v="85"/>
    <x v="1"/>
    <x v="2"/>
  </r>
  <r>
    <s v="E202603010"/>
    <x v="2"/>
    <x v="1"/>
    <x v="2"/>
    <s v="Redes"/>
    <n v="11.6"/>
    <n v="67.8"/>
    <x v="1"/>
    <x v="0"/>
  </r>
  <r>
    <s v="E202401007"/>
    <x v="0"/>
    <x v="0"/>
    <x v="1"/>
    <s v="Redes"/>
    <n v="11.7"/>
    <n v="79"/>
    <x v="1"/>
    <x v="2"/>
  </r>
  <r>
    <s v="E202401023"/>
    <x v="0"/>
    <x v="0"/>
    <x v="1"/>
    <s v="Sinais"/>
    <n v="11.7"/>
    <n v="62.2"/>
    <x v="1"/>
    <x v="0"/>
  </r>
  <r>
    <s v="E202401040"/>
    <x v="0"/>
    <x v="0"/>
    <x v="1"/>
    <s v="Matematica"/>
    <n v="11.7"/>
    <n v="62.4"/>
    <x v="1"/>
    <x v="0"/>
  </r>
  <r>
    <s v="E202402016"/>
    <x v="0"/>
    <x v="0"/>
    <x v="0"/>
    <s v="Estatistica"/>
    <n v="11.7"/>
    <n v="86.6"/>
    <x v="1"/>
    <x v="2"/>
  </r>
  <r>
    <s v="E202402052"/>
    <x v="0"/>
    <x v="0"/>
    <x v="0"/>
    <s v="Marketing"/>
    <n v="11.7"/>
    <n v="84.1"/>
    <x v="1"/>
    <x v="2"/>
  </r>
  <r>
    <s v="E202403012"/>
    <x v="0"/>
    <x v="0"/>
    <x v="2"/>
    <s v="Redes"/>
    <n v="11.7"/>
    <n v="69.8"/>
    <x v="1"/>
    <x v="0"/>
  </r>
  <r>
    <s v="E202403037"/>
    <x v="0"/>
    <x v="0"/>
    <x v="2"/>
    <s v="Programacao"/>
    <n v="11.7"/>
    <n v="84.1"/>
    <x v="1"/>
    <x v="2"/>
  </r>
  <r>
    <s v="E202403038"/>
    <x v="0"/>
    <x v="0"/>
    <x v="2"/>
    <s v="Bases de Dados"/>
    <n v="11.7"/>
    <n v="56.6"/>
    <x v="1"/>
    <x v="0"/>
  </r>
  <r>
    <s v="E202403058"/>
    <x v="0"/>
    <x v="0"/>
    <x v="2"/>
    <s v="Redes"/>
    <n v="11.7"/>
    <n v="70.099999999999994"/>
    <x v="1"/>
    <x v="0"/>
  </r>
  <r>
    <s v="E202401016"/>
    <x v="0"/>
    <x v="1"/>
    <x v="1"/>
    <s v="Matematica"/>
    <n v="11.7"/>
    <n v="84.5"/>
    <x v="1"/>
    <x v="2"/>
  </r>
  <r>
    <s v="E202401027"/>
    <x v="0"/>
    <x v="1"/>
    <x v="1"/>
    <s v="Sinais"/>
    <n v="11.7"/>
    <n v="83.4"/>
    <x v="1"/>
    <x v="2"/>
  </r>
  <r>
    <s v="E202401036"/>
    <x v="0"/>
    <x v="1"/>
    <x v="1"/>
    <s v="Redes"/>
    <n v="11.7"/>
    <n v="67"/>
    <x v="1"/>
    <x v="0"/>
  </r>
  <r>
    <s v="E202401042"/>
    <x v="0"/>
    <x v="1"/>
    <x v="1"/>
    <s v="Sinais"/>
    <n v="11.7"/>
    <n v="95.2"/>
    <x v="1"/>
    <x v="2"/>
  </r>
  <r>
    <s v="E202403015"/>
    <x v="0"/>
    <x v="1"/>
    <x v="2"/>
    <s v="Redes"/>
    <n v="11.7"/>
    <n v="75.7"/>
    <x v="1"/>
    <x v="2"/>
  </r>
  <r>
    <s v="E202403058"/>
    <x v="0"/>
    <x v="1"/>
    <x v="2"/>
    <s v="Bases de Dados"/>
    <n v="11.7"/>
    <n v="66.8"/>
    <x v="1"/>
    <x v="0"/>
  </r>
  <r>
    <s v="E202501022"/>
    <x v="1"/>
    <x v="0"/>
    <x v="1"/>
    <s v="Sinais"/>
    <n v="11.7"/>
    <n v="73.7"/>
    <x v="1"/>
    <x v="0"/>
  </r>
  <r>
    <s v="E202503011"/>
    <x v="1"/>
    <x v="0"/>
    <x v="2"/>
    <s v="Bases de Dados"/>
    <n v="11.7"/>
    <n v="61.6"/>
    <x v="1"/>
    <x v="0"/>
  </r>
  <r>
    <s v="E202503031"/>
    <x v="1"/>
    <x v="0"/>
    <x v="2"/>
    <s v="Redes"/>
    <n v="11.7"/>
    <n v="73.7"/>
    <x v="1"/>
    <x v="0"/>
  </r>
  <r>
    <s v="E202502003"/>
    <x v="1"/>
    <x v="1"/>
    <x v="0"/>
    <s v="Marketing"/>
    <n v="11.7"/>
    <n v="54.4"/>
    <x v="1"/>
    <x v="0"/>
  </r>
  <r>
    <s v="E202502008"/>
    <x v="1"/>
    <x v="1"/>
    <x v="0"/>
    <s v="Marketing"/>
    <n v="11.7"/>
    <n v="69.7"/>
    <x v="1"/>
    <x v="0"/>
  </r>
  <r>
    <s v="E202502011"/>
    <x v="1"/>
    <x v="1"/>
    <x v="0"/>
    <s v="Marketing"/>
    <n v="11.7"/>
    <n v="74.900000000000006"/>
    <x v="1"/>
    <x v="0"/>
  </r>
  <r>
    <s v="E202502028"/>
    <x v="1"/>
    <x v="1"/>
    <x v="0"/>
    <s v="Estatistica"/>
    <n v="11.7"/>
    <n v="97.7"/>
    <x v="1"/>
    <x v="2"/>
  </r>
  <r>
    <s v="E202502035"/>
    <x v="1"/>
    <x v="1"/>
    <x v="0"/>
    <s v="Marketing"/>
    <n v="11.7"/>
    <n v="76.099999999999994"/>
    <x v="1"/>
    <x v="2"/>
  </r>
  <r>
    <s v="E202503041"/>
    <x v="1"/>
    <x v="1"/>
    <x v="2"/>
    <s v="Redes"/>
    <n v="11.7"/>
    <n v="82.4"/>
    <x v="1"/>
    <x v="2"/>
  </r>
  <r>
    <s v="E202503059"/>
    <x v="1"/>
    <x v="1"/>
    <x v="2"/>
    <s v="Bases de Dados"/>
    <n v="11.7"/>
    <n v="53.3"/>
    <x v="1"/>
    <x v="0"/>
  </r>
  <r>
    <s v="E202601022"/>
    <x v="2"/>
    <x v="0"/>
    <x v="1"/>
    <s v="Redes"/>
    <n v="11.7"/>
    <n v="55"/>
    <x v="1"/>
    <x v="0"/>
  </r>
  <r>
    <s v="E202601034"/>
    <x v="2"/>
    <x v="0"/>
    <x v="1"/>
    <s v="Sinais"/>
    <n v="11.7"/>
    <n v="93.8"/>
    <x v="1"/>
    <x v="2"/>
  </r>
  <r>
    <s v="E202601038"/>
    <x v="2"/>
    <x v="0"/>
    <x v="1"/>
    <s v="Sinais"/>
    <n v="11.7"/>
    <n v="78.400000000000006"/>
    <x v="1"/>
    <x v="2"/>
  </r>
  <r>
    <s v="E202602009"/>
    <x v="2"/>
    <x v="0"/>
    <x v="0"/>
    <s v="Estatistica"/>
    <n v="11.7"/>
    <n v="53.4"/>
    <x v="1"/>
    <x v="0"/>
  </r>
  <r>
    <s v="E202603007"/>
    <x v="2"/>
    <x v="0"/>
    <x v="2"/>
    <s v="Bases de Dados"/>
    <n v="11.7"/>
    <n v="57.2"/>
    <x v="1"/>
    <x v="0"/>
  </r>
  <r>
    <s v="E202601024"/>
    <x v="2"/>
    <x v="1"/>
    <x v="1"/>
    <s v="Redes"/>
    <n v="11.7"/>
    <n v="73.5"/>
    <x v="1"/>
    <x v="0"/>
  </r>
  <r>
    <s v="E202603051"/>
    <x v="2"/>
    <x v="1"/>
    <x v="2"/>
    <s v="Redes"/>
    <n v="11.7"/>
    <n v="66.8"/>
    <x v="1"/>
    <x v="0"/>
  </r>
  <r>
    <s v="E202401003"/>
    <x v="0"/>
    <x v="0"/>
    <x v="1"/>
    <s v="Redes"/>
    <n v="11.8"/>
    <n v="99.9"/>
    <x v="1"/>
    <x v="2"/>
  </r>
  <r>
    <s v="E202401047"/>
    <x v="0"/>
    <x v="0"/>
    <x v="1"/>
    <s v="Matematica"/>
    <n v="11.8"/>
    <n v="54.9"/>
    <x v="1"/>
    <x v="0"/>
  </r>
  <r>
    <s v="E202401055"/>
    <x v="0"/>
    <x v="0"/>
    <x v="1"/>
    <s v="Redes"/>
    <n v="11.8"/>
    <n v="94.6"/>
    <x v="1"/>
    <x v="2"/>
  </r>
  <r>
    <s v="E202402008"/>
    <x v="0"/>
    <x v="0"/>
    <x v="0"/>
    <s v="Estatistica"/>
    <n v="11.8"/>
    <n v="47.4"/>
    <x v="1"/>
    <x v="1"/>
  </r>
  <r>
    <s v="E202403024"/>
    <x v="0"/>
    <x v="0"/>
    <x v="2"/>
    <s v="Bases de Dados"/>
    <n v="11.8"/>
    <n v="68"/>
    <x v="1"/>
    <x v="0"/>
  </r>
  <r>
    <s v="E202402043"/>
    <x v="0"/>
    <x v="1"/>
    <x v="0"/>
    <s v="Estatistica"/>
    <n v="11.8"/>
    <n v="52.8"/>
    <x v="1"/>
    <x v="0"/>
  </r>
  <r>
    <s v="E202403009"/>
    <x v="0"/>
    <x v="1"/>
    <x v="2"/>
    <s v="Bases de Dados"/>
    <n v="11.8"/>
    <n v="69.400000000000006"/>
    <x v="1"/>
    <x v="0"/>
  </r>
  <r>
    <s v="E202403026"/>
    <x v="0"/>
    <x v="1"/>
    <x v="2"/>
    <s v="Programacao"/>
    <n v="11.8"/>
    <n v="80.099999999999994"/>
    <x v="1"/>
    <x v="2"/>
  </r>
  <r>
    <s v="E202501020"/>
    <x v="1"/>
    <x v="0"/>
    <x v="1"/>
    <s v="Sinais"/>
    <n v="11.8"/>
    <n v="83.5"/>
    <x v="1"/>
    <x v="2"/>
  </r>
  <r>
    <s v="E202501034"/>
    <x v="1"/>
    <x v="0"/>
    <x v="1"/>
    <s v="Matematica"/>
    <n v="11.8"/>
    <n v="84.2"/>
    <x v="1"/>
    <x v="2"/>
  </r>
  <r>
    <s v="E202502012"/>
    <x v="1"/>
    <x v="0"/>
    <x v="0"/>
    <s v="Contabilidade"/>
    <n v="11.8"/>
    <n v="96.6"/>
    <x v="1"/>
    <x v="2"/>
  </r>
  <r>
    <s v="E202503001"/>
    <x v="1"/>
    <x v="0"/>
    <x v="2"/>
    <s v="Programacao"/>
    <n v="11.8"/>
    <n v="71.8"/>
    <x v="1"/>
    <x v="0"/>
  </r>
  <r>
    <s v="E202503020"/>
    <x v="1"/>
    <x v="0"/>
    <x v="2"/>
    <s v="Redes"/>
    <n v="11.8"/>
    <n v="90"/>
    <x v="1"/>
    <x v="2"/>
  </r>
  <r>
    <s v="E202503021"/>
    <x v="1"/>
    <x v="0"/>
    <x v="2"/>
    <s v="Programacao"/>
    <n v="11.8"/>
    <n v="93.1"/>
    <x v="1"/>
    <x v="2"/>
  </r>
  <r>
    <s v="E202503036"/>
    <x v="1"/>
    <x v="0"/>
    <x v="2"/>
    <s v="Bases de Dados"/>
    <n v="11.8"/>
    <n v="61.4"/>
    <x v="1"/>
    <x v="0"/>
  </r>
  <r>
    <s v="E202503042"/>
    <x v="1"/>
    <x v="0"/>
    <x v="2"/>
    <s v="Redes"/>
    <n v="11.8"/>
    <n v="54.9"/>
    <x v="1"/>
    <x v="0"/>
  </r>
  <r>
    <s v="E202503045"/>
    <x v="1"/>
    <x v="0"/>
    <x v="2"/>
    <s v="Bases de Dados"/>
    <n v="11.8"/>
    <n v="76.900000000000006"/>
    <x v="1"/>
    <x v="2"/>
  </r>
  <r>
    <s v="E202501030"/>
    <x v="1"/>
    <x v="1"/>
    <x v="1"/>
    <s v="Matematica"/>
    <n v="11.8"/>
    <n v="75"/>
    <x v="1"/>
    <x v="2"/>
  </r>
  <r>
    <s v="E202502029"/>
    <x v="1"/>
    <x v="1"/>
    <x v="0"/>
    <s v="Estatistica"/>
    <n v="11.8"/>
    <n v="56"/>
    <x v="1"/>
    <x v="0"/>
  </r>
  <r>
    <s v="E202503012"/>
    <x v="1"/>
    <x v="1"/>
    <x v="2"/>
    <s v="Programacao"/>
    <n v="11.8"/>
    <n v="78.099999999999994"/>
    <x v="1"/>
    <x v="2"/>
  </r>
  <r>
    <s v="E202503040"/>
    <x v="1"/>
    <x v="1"/>
    <x v="2"/>
    <s v="Redes"/>
    <n v="11.8"/>
    <n v="65.2"/>
    <x v="1"/>
    <x v="0"/>
  </r>
  <r>
    <s v="E202503046"/>
    <x v="1"/>
    <x v="1"/>
    <x v="2"/>
    <s v="Redes"/>
    <n v="11.8"/>
    <n v="95.4"/>
    <x v="1"/>
    <x v="2"/>
  </r>
  <r>
    <s v="E202503054"/>
    <x v="1"/>
    <x v="1"/>
    <x v="2"/>
    <s v="Bases de Dados"/>
    <n v="11.8"/>
    <n v="64.2"/>
    <x v="1"/>
    <x v="0"/>
  </r>
  <r>
    <s v="E202601039"/>
    <x v="2"/>
    <x v="0"/>
    <x v="1"/>
    <s v="Matematica"/>
    <n v="11.8"/>
    <n v="61.4"/>
    <x v="1"/>
    <x v="0"/>
  </r>
  <r>
    <s v="E202602034"/>
    <x v="2"/>
    <x v="0"/>
    <x v="0"/>
    <s v="Estatistica"/>
    <n v="11.8"/>
    <n v="68.400000000000006"/>
    <x v="1"/>
    <x v="0"/>
  </r>
  <r>
    <s v="E202603003"/>
    <x v="2"/>
    <x v="0"/>
    <x v="2"/>
    <s v="Redes"/>
    <n v="11.8"/>
    <n v="95.1"/>
    <x v="1"/>
    <x v="2"/>
  </r>
  <r>
    <s v="E202603018"/>
    <x v="2"/>
    <x v="0"/>
    <x v="2"/>
    <s v="Programacao"/>
    <n v="11.8"/>
    <n v="51.7"/>
    <x v="1"/>
    <x v="0"/>
  </r>
  <r>
    <s v="E202603041"/>
    <x v="2"/>
    <x v="0"/>
    <x v="2"/>
    <s v="Programacao"/>
    <n v="11.8"/>
    <n v="76.099999999999994"/>
    <x v="1"/>
    <x v="2"/>
  </r>
  <r>
    <s v="E202601037"/>
    <x v="2"/>
    <x v="1"/>
    <x v="1"/>
    <s v="Sinais"/>
    <n v="11.8"/>
    <n v="48"/>
    <x v="1"/>
    <x v="1"/>
  </r>
  <r>
    <s v="E202601058"/>
    <x v="2"/>
    <x v="1"/>
    <x v="1"/>
    <s v="Matematica"/>
    <n v="11.8"/>
    <n v="57"/>
    <x v="1"/>
    <x v="0"/>
  </r>
  <r>
    <s v="E202602008"/>
    <x v="2"/>
    <x v="1"/>
    <x v="0"/>
    <s v="Estatistica"/>
    <n v="11.8"/>
    <n v="80.2"/>
    <x v="1"/>
    <x v="2"/>
  </r>
  <r>
    <s v="E202602031"/>
    <x v="2"/>
    <x v="1"/>
    <x v="0"/>
    <s v="Marketing"/>
    <n v="11.8"/>
    <n v="78"/>
    <x v="1"/>
    <x v="2"/>
  </r>
  <r>
    <s v="E202603025"/>
    <x v="2"/>
    <x v="1"/>
    <x v="2"/>
    <s v="Redes"/>
    <n v="11.8"/>
    <n v="84.3"/>
    <x v="1"/>
    <x v="2"/>
  </r>
  <r>
    <s v="E202603035"/>
    <x v="2"/>
    <x v="1"/>
    <x v="2"/>
    <s v="Bases de Dados"/>
    <n v="11.8"/>
    <n v="72.3"/>
    <x v="1"/>
    <x v="0"/>
  </r>
  <r>
    <s v="E202401014"/>
    <x v="0"/>
    <x v="0"/>
    <x v="1"/>
    <s v="Sinais"/>
    <n v="11.9"/>
    <n v="52"/>
    <x v="1"/>
    <x v="0"/>
  </r>
  <r>
    <s v="E202401042"/>
    <x v="0"/>
    <x v="0"/>
    <x v="1"/>
    <s v="Redes"/>
    <n v="11.9"/>
    <n v="83.8"/>
    <x v="1"/>
    <x v="2"/>
  </r>
  <r>
    <s v="E202402030"/>
    <x v="0"/>
    <x v="0"/>
    <x v="0"/>
    <s v="Marketing"/>
    <n v="11.9"/>
    <n v="66"/>
    <x v="1"/>
    <x v="0"/>
  </r>
  <r>
    <s v="E202402034"/>
    <x v="0"/>
    <x v="0"/>
    <x v="0"/>
    <s v="Contabilidade"/>
    <n v="11.9"/>
    <n v="65.7"/>
    <x v="1"/>
    <x v="0"/>
  </r>
  <r>
    <s v="E202403010"/>
    <x v="0"/>
    <x v="0"/>
    <x v="2"/>
    <s v="Redes"/>
    <n v="11.9"/>
    <n v="68.099999999999994"/>
    <x v="1"/>
    <x v="0"/>
  </r>
  <r>
    <s v="E202403051"/>
    <x v="0"/>
    <x v="0"/>
    <x v="2"/>
    <s v="Bases de Dados"/>
    <n v="11.9"/>
    <n v="55.9"/>
    <x v="1"/>
    <x v="0"/>
  </r>
  <r>
    <s v="E202401008"/>
    <x v="0"/>
    <x v="1"/>
    <x v="1"/>
    <s v="Sinais"/>
    <n v="11.9"/>
    <n v="50.6"/>
    <x v="1"/>
    <x v="0"/>
  </r>
  <r>
    <s v="E202401022"/>
    <x v="0"/>
    <x v="1"/>
    <x v="1"/>
    <s v="Redes"/>
    <n v="11.9"/>
    <n v="57.8"/>
    <x v="1"/>
    <x v="0"/>
  </r>
  <r>
    <s v="E202402025"/>
    <x v="0"/>
    <x v="1"/>
    <x v="0"/>
    <s v="Estatistica"/>
    <n v="11.9"/>
    <n v="76"/>
    <x v="1"/>
    <x v="2"/>
  </r>
  <r>
    <s v="E202402055"/>
    <x v="0"/>
    <x v="1"/>
    <x v="0"/>
    <s v="Marketing"/>
    <n v="11.9"/>
    <n v="64.400000000000006"/>
    <x v="1"/>
    <x v="0"/>
  </r>
  <r>
    <s v="E202403002"/>
    <x v="0"/>
    <x v="1"/>
    <x v="2"/>
    <s v="Bases de Dados"/>
    <n v="11.9"/>
    <n v="72.900000000000006"/>
    <x v="1"/>
    <x v="0"/>
  </r>
  <r>
    <s v="E202403008"/>
    <x v="0"/>
    <x v="1"/>
    <x v="2"/>
    <s v="Bases de Dados"/>
    <n v="11.9"/>
    <n v="74.400000000000006"/>
    <x v="1"/>
    <x v="0"/>
  </r>
  <r>
    <s v="E202403018"/>
    <x v="0"/>
    <x v="1"/>
    <x v="2"/>
    <s v="Redes"/>
    <n v="11.9"/>
    <n v="91.8"/>
    <x v="1"/>
    <x v="2"/>
  </r>
  <r>
    <s v="E202403031"/>
    <x v="0"/>
    <x v="1"/>
    <x v="2"/>
    <s v="Programacao"/>
    <n v="11.9"/>
    <n v="99.7"/>
    <x v="1"/>
    <x v="2"/>
  </r>
  <r>
    <s v="E202403052"/>
    <x v="0"/>
    <x v="1"/>
    <x v="2"/>
    <s v="Programacao"/>
    <n v="11.9"/>
    <n v="80.2"/>
    <x v="1"/>
    <x v="2"/>
  </r>
  <r>
    <s v="E202502024"/>
    <x v="1"/>
    <x v="0"/>
    <x v="0"/>
    <s v="Estatistica"/>
    <n v="11.9"/>
    <n v="63.8"/>
    <x v="1"/>
    <x v="0"/>
  </r>
  <r>
    <s v="E202502027"/>
    <x v="1"/>
    <x v="0"/>
    <x v="0"/>
    <s v="Estatistica"/>
    <n v="11.9"/>
    <n v="76.400000000000006"/>
    <x v="1"/>
    <x v="2"/>
  </r>
  <r>
    <s v="E202502047"/>
    <x v="1"/>
    <x v="0"/>
    <x v="0"/>
    <s v="Estatistica"/>
    <n v="11.9"/>
    <n v="91.1"/>
    <x v="1"/>
    <x v="2"/>
  </r>
  <r>
    <s v="E202501011"/>
    <x v="1"/>
    <x v="1"/>
    <x v="1"/>
    <s v="Redes"/>
    <n v="11.9"/>
    <n v="90.7"/>
    <x v="1"/>
    <x v="2"/>
  </r>
  <r>
    <s v="E202502012"/>
    <x v="1"/>
    <x v="1"/>
    <x v="0"/>
    <s v="Marketing"/>
    <n v="11.9"/>
    <n v="94.7"/>
    <x v="1"/>
    <x v="2"/>
  </r>
  <r>
    <s v="E202503027"/>
    <x v="1"/>
    <x v="1"/>
    <x v="2"/>
    <s v="Redes"/>
    <n v="11.9"/>
    <n v="67.099999999999994"/>
    <x v="1"/>
    <x v="0"/>
  </r>
  <r>
    <s v="E202602032"/>
    <x v="2"/>
    <x v="0"/>
    <x v="0"/>
    <s v="Marketing"/>
    <n v="11.9"/>
    <n v="52.6"/>
    <x v="1"/>
    <x v="0"/>
  </r>
  <r>
    <s v="E202602036"/>
    <x v="2"/>
    <x v="0"/>
    <x v="0"/>
    <s v="Estatistica"/>
    <n v="11.9"/>
    <n v="67.599999999999994"/>
    <x v="1"/>
    <x v="0"/>
  </r>
  <r>
    <s v="E202603054"/>
    <x v="2"/>
    <x v="0"/>
    <x v="2"/>
    <s v="Programacao"/>
    <n v="11.9"/>
    <n v="63.7"/>
    <x v="1"/>
    <x v="0"/>
  </r>
  <r>
    <s v="E202601007"/>
    <x v="2"/>
    <x v="1"/>
    <x v="1"/>
    <s v="Redes"/>
    <n v="11.9"/>
    <n v="57"/>
    <x v="1"/>
    <x v="0"/>
  </r>
  <r>
    <s v="E202602012"/>
    <x v="2"/>
    <x v="1"/>
    <x v="0"/>
    <s v="Marketing"/>
    <n v="11.9"/>
    <n v="66.599999999999994"/>
    <x v="1"/>
    <x v="0"/>
  </r>
  <r>
    <s v="E202602023"/>
    <x v="2"/>
    <x v="1"/>
    <x v="0"/>
    <s v="Marketing"/>
    <n v="11.9"/>
    <n v="67.3"/>
    <x v="1"/>
    <x v="0"/>
  </r>
  <r>
    <s v="E202603012"/>
    <x v="2"/>
    <x v="1"/>
    <x v="2"/>
    <s v="Redes"/>
    <n v="11.9"/>
    <n v="73.8"/>
    <x v="1"/>
    <x v="0"/>
  </r>
  <r>
    <s v="E202401007"/>
    <x v="0"/>
    <x v="0"/>
    <x v="1"/>
    <s v="Matematica"/>
    <n v="12"/>
    <n v="96.6"/>
    <x v="1"/>
    <x v="2"/>
  </r>
  <r>
    <s v="E202401053"/>
    <x v="0"/>
    <x v="0"/>
    <x v="1"/>
    <s v="Redes"/>
    <n v="12"/>
    <n v="85.7"/>
    <x v="1"/>
    <x v="2"/>
  </r>
  <r>
    <s v="E202403053"/>
    <x v="0"/>
    <x v="0"/>
    <x v="2"/>
    <s v="Bases de Dados"/>
    <n v="12"/>
    <n v="93.6"/>
    <x v="1"/>
    <x v="2"/>
  </r>
  <r>
    <s v="E202401014"/>
    <x v="0"/>
    <x v="1"/>
    <x v="1"/>
    <s v="Redes"/>
    <n v="12"/>
    <n v="90"/>
    <x v="1"/>
    <x v="2"/>
  </r>
  <r>
    <s v="E202401024"/>
    <x v="0"/>
    <x v="1"/>
    <x v="1"/>
    <s v="Redes"/>
    <n v="12"/>
    <n v="93.6"/>
    <x v="1"/>
    <x v="2"/>
  </r>
  <r>
    <s v="E202401030"/>
    <x v="0"/>
    <x v="1"/>
    <x v="1"/>
    <s v="Redes"/>
    <n v="12"/>
    <n v="99.3"/>
    <x v="1"/>
    <x v="2"/>
  </r>
  <r>
    <s v="E202403010"/>
    <x v="0"/>
    <x v="1"/>
    <x v="2"/>
    <s v="Redes"/>
    <n v="12"/>
    <n v="81.400000000000006"/>
    <x v="1"/>
    <x v="2"/>
  </r>
  <r>
    <s v="E202403034"/>
    <x v="0"/>
    <x v="1"/>
    <x v="2"/>
    <s v="Programacao"/>
    <n v="12"/>
    <n v="68.2"/>
    <x v="1"/>
    <x v="0"/>
  </r>
  <r>
    <s v="E202501024"/>
    <x v="1"/>
    <x v="0"/>
    <x v="1"/>
    <s v="Sinais"/>
    <n v="12"/>
    <n v="89.4"/>
    <x v="1"/>
    <x v="2"/>
  </r>
  <r>
    <s v="E202501045"/>
    <x v="1"/>
    <x v="0"/>
    <x v="1"/>
    <s v="Sinais"/>
    <n v="12"/>
    <n v="73.5"/>
    <x v="1"/>
    <x v="0"/>
  </r>
  <r>
    <s v="E202502020"/>
    <x v="1"/>
    <x v="0"/>
    <x v="0"/>
    <s v="Estatistica"/>
    <n v="12"/>
    <n v="58.3"/>
    <x v="1"/>
    <x v="0"/>
  </r>
  <r>
    <s v="E202502050"/>
    <x v="1"/>
    <x v="0"/>
    <x v="0"/>
    <s v="Estatistica"/>
    <n v="12"/>
    <n v="59.9"/>
    <x v="1"/>
    <x v="0"/>
  </r>
  <r>
    <s v="E202503003"/>
    <x v="1"/>
    <x v="0"/>
    <x v="2"/>
    <s v="Programacao"/>
    <n v="12"/>
    <n v="59.5"/>
    <x v="1"/>
    <x v="0"/>
  </r>
  <r>
    <s v="E202503018"/>
    <x v="1"/>
    <x v="0"/>
    <x v="2"/>
    <s v="Bases de Dados"/>
    <n v="12"/>
    <n v="65.2"/>
    <x v="1"/>
    <x v="0"/>
  </r>
  <r>
    <s v="E202503040"/>
    <x v="1"/>
    <x v="0"/>
    <x v="2"/>
    <s v="Programacao"/>
    <n v="12"/>
    <n v="78.400000000000006"/>
    <x v="1"/>
    <x v="2"/>
  </r>
  <r>
    <s v="E202501035"/>
    <x v="1"/>
    <x v="1"/>
    <x v="1"/>
    <s v="Matematica"/>
    <n v="12"/>
    <n v="68.7"/>
    <x v="1"/>
    <x v="0"/>
  </r>
  <r>
    <s v="E202502006"/>
    <x v="1"/>
    <x v="1"/>
    <x v="0"/>
    <s v="Marketing"/>
    <n v="12"/>
    <n v="98.7"/>
    <x v="1"/>
    <x v="2"/>
  </r>
  <r>
    <s v="E202503013"/>
    <x v="1"/>
    <x v="1"/>
    <x v="2"/>
    <s v="Bases de Dados"/>
    <n v="12"/>
    <n v="88.3"/>
    <x v="1"/>
    <x v="2"/>
  </r>
  <r>
    <s v="E202503042"/>
    <x v="1"/>
    <x v="1"/>
    <x v="2"/>
    <s v="Programacao"/>
    <n v="12"/>
    <n v="90.6"/>
    <x v="1"/>
    <x v="2"/>
  </r>
  <r>
    <s v="E202503049"/>
    <x v="1"/>
    <x v="1"/>
    <x v="2"/>
    <s v="Bases de Dados"/>
    <n v="12"/>
    <n v="66.099999999999994"/>
    <x v="1"/>
    <x v="0"/>
  </r>
  <r>
    <s v="E202601059"/>
    <x v="2"/>
    <x v="0"/>
    <x v="1"/>
    <s v="Sinais"/>
    <n v="12"/>
    <n v="88.9"/>
    <x v="1"/>
    <x v="2"/>
  </r>
  <r>
    <s v="E202602005"/>
    <x v="2"/>
    <x v="0"/>
    <x v="0"/>
    <s v="Marketing"/>
    <n v="12"/>
    <n v="86"/>
    <x v="1"/>
    <x v="2"/>
  </r>
  <r>
    <s v="E202602042"/>
    <x v="2"/>
    <x v="0"/>
    <x v="0"/>
    <s v="Contabilidade"/>
    <n v="12"/>
    <n v="59.8"/>
    <x v="1"/>
    <x v="0"/>
  </r>
  <r>
    <s v="E202603031"/>
    <x v="2"/>
    <x v="0"/>
    <x v="2"/>
    <s v="Programacao"/>
    <n v="12"/>
    <n v="72.599999999999994"/>
    <x v="1"/>
    <x v="0"/>
  </r>
  <r>
    <s v="E202601033"/>
    <x v="2"/>
    <x v="1"/>
    <x v="1"/>
    <s v="Matematica"/>
    <n v="12"/>
    <n v="87.3"/>
    <x v="1"/>
    <x v="2"/>
  </r>
  <r>
    <s v="E202601034"/>
    <x v="2"/>
    <x v="1"/>
    <x v="1"/>
    <s v="Sinais"/>
    <n v="12"/>
    <n v="64.400000000000006"/>
    <x v="1"/>
    <x v="0"/>
  </r>
  <r>
    <s v="E202601036"/>
    <x v="2"/>
    <x v="1"/>
    <x v="1"/>
    <s v="Redes"/>
    <n v="12"/>
    <n v="46.1"/>
    <x v="1"/>
    <x v="1"/>
  </r>
  <r>
    <s v="E202601041"/>
    <x v="2"/>
    <x v="1"/>
    <x v="1"/>
    <s v="Matematica"/>
    <n v="12"/>
    <n v="68.099999999999994"/>
    <x v="1"/>
    <x v="0"/>
  </r>
  <r>
    <s v="E202602019"/>
    <x v="2"/>
    <x v="1"/>
    <x v="0"/>
    <s v="Estatistica"/>
    <n v="12"/>
    <n v="72.8"/>
    <x v="1"/>
    <x v="0"/>
  </r>
  <r>
    <s v="E202602038"/>
    <x v="2"/>
    <x v="1"/>
    <x v="0"/>
    <s v="Contabilidade"/>
    <n v="12"/>
    <n v="74.8"/>
    <x v="1"/>
    <x v="0"/>
  </r>
  <r>
    <s v="E202602048"/>
    <x v="2"/>
    <x v="1"/>
    <x v="0"/>
    <s v="Contabilidade"/>
    <n v="12"/>
    <n v="88.8"/>
    <x v="1"/>
    <x v="2"/>
  </r>
  <r>
    <s v="E202603008"/>
    <x v="2"/>
    <x v="1"/>
    <x v="2"/>
    <s v="Programacao"/>
    <n v="12"/>
    <n v="93.4"/>
    <x v="1"/>
    <x v="2"/>
  </r>
  <r>
    <s v="E202603042"/>
    <x v="2"/>
    <x v="1"/>
    <x v="2"/>
    <s v="Programacao"/>
    <n v="12"/>
    <n v="53"/>
    <x v="1"/>
    <x v="0"/>
  </r>
  <r>
    <s v="E202603053"/>
    <x v="2"/>
    <x v="1"/>
    <x v="2"/>
    <s v="Redes"/>
    <n v="12"/>
    <n v="73.7"/>
    <x v="1"/>
    <x v="0"/>
  </r>
  <r>
    <s v="E202401017"/>
    <x v="0"/>
    <x v="0"/>
    <x v="1"/>
    <s v="Sinais"/>
    <n v="12.1"/>
    <n v="82.7"/>
    <x v="1"/>
    <x v="2"/>
  </r>
  <r>
    <s v="E202401022"/>
    <x v="0"/>
    <x v="0"/>
    <x v="1"/>
    <s v="Matematica"/>
    <n v="12.1"/>
    <n v="80.900000000000006"/>
    <x v="1"/>
    <x v="2"/>
  </r>
  <r>
    <s v="E202401039"/>
    <x v="0"/>
    <x v="0"/>
    <x v="1"/>
    <s v="Sinais"/>
    <n v="12.1"/>
    <n v="61.5"/>
    <x v="1"/>
    <x v="0"/>
  </r>
  <r>
    <s v="E202401046"/>
    <x v="0"/>
    <x v="0"/>
    <x v="1"/>
    <s v="Sinais"/>
    <n v="12.1"/>
    <n v="60.4"/>
    <x v="1"/>
    <x v="0"/>
  </r>
  <r>
    <s v="E202401060"/>
    <x v="0"/>
    <x v="0"/>
    <x v="1"/>
    <s v="Sinais"/>
    <n v="12.1"/>
    <n v="90.6"/>
    <x v="1"/>
    <x v="2"/>
  </r>
  <r>
    <s v="E202402003"/>
    <x v="0"/>
    <x v="0"/>
    <x v="0"/>
    <s v="Estatistica"/>
    <n v="12.1"/>
    <n v="65.599999999999994"/>
    <x v="1"/>
    <x v="0"/>
  </r>
  <r>
    <s v="E202402030"/>
    <x v="0"/>
    <x v="0"/>
    <x v="0"/>
    <s v="Estatistica"/>
    <n v="12.1"/>
    <n v="72.099999999999994"/>
    <x v="1"/>
    <x v="0"/>
  </r>
  <r>
    <s v="E202403013"/>
    <x v="0"/>
    <x v="0"/>
    <x v="2"/>
    <s v="Redes"/>
    <n v="12.1"/>
    <n v="75.5"/>
    <x v="1"/>
    <x v="2"/>
  </r>
  <r>
    <s v="E202403058"/>
    <x v="0"/>
    <x v="0"/>
    <x v="2"/>
    <s v="Bases de Dados"/>
    <n v="12.1"/>
    <n v="70.8"/>
    <x v="1"/>
    <x v="0"/>
  </r>
  <r>
    <s v="E202401004"/>
    <x v="0"/>
    <x v="1"/>
    <x v="1"/>
    <s v="Matematica"/>
    <n v="12.1"/>
    <n v="78.2"/>
    <x v="1"/>
    <x v="2"/>
  </r>
  <r>
    <s v="E202402012"/>
    <x v="0"/>
    <x v="1"/>
    <x v="0"/>
    <s v="Contabilidade"/>
    <n v="12.1"/>
    <n v="74.400000000000006"/>
    <x v="1"/>
    <x v="0"/>
  </r>
  <r>
    <s v="E202402051"/>
    <x v="0"/>
    <x v="1"/>
    <x v="0"/>
    <s v="Contabilidade"/>
    <n v="12.1"/>
    <n v="62.9"/>
    <x v="1"/>
    <x v="0"/>
  </r>
  <r>
    <s v="E202403004"/>
    <x v="0"/>
    <x v="1"/>
    <x v="2"/>
    <s v="Bases de Dados"/>
    <n v="12.1"/>
    <n v="80.099999999999994"/>
    <x v="1"/>
    <x v="2"/>
  </r>
  <r>
    <s v="E202403021"/>
    <x v="0"/>
    <x v="1"/>
    <x v="2"/>
    <s v="Programacao"/>
    <n v="12.1"/>
    <n v="91.2"/>
    <x v="1"/>
    <x v="2"/>
  </r>
  <r>
    <s v="E202501056"/>
    <x v="1"/>
    <x v="0"/>
    <x v="1"/>
    <s v="Matematica"/>
    <n v="12.1"/>
    <n v="62.3"/>
    <x v="1"/>
    <x v="0"/>
  </r>
  <r>
    <s v="E202502055"/>
    <x v="1"/>
    <x v="0"/>
    <x v="0"/>
    <s v="Estatistica"/>
    <n v="12.1"/>
    <n v="79.8"/>
    <x v="1"/>
    <x v="2"/>
  </r>
  <r>
    <s v="E202503044"/>
    <x v="1"/>
    <x v="0"/>
    <x v="2"/>
    <s v="Programacao"/>
    <n v="12.1"/>
    <n v="76.900000000000006"/>
    <x v="1"/>
    <x v="2"/>
  </r>
  <r>
    <s v="E202502010"/>
    <x v="1"/>
    <x v="1"/>
    <x v="0"/>
    <s v="Contabilidade"/>
    <n v="12.1"/>
    <n v="92.1"/>
    <x v="1"/>
    <x v="2"/>
  </r>
  <r>
    <s v="E202502015"/>
    <x v="1"/>
    <x v="1"/>
    <x v="0"/>
    <s v="Estatistica"/>
    <n v="12.1"/>
    <n v="73"/>
    <x v="1"/>
    <x v="0"/>
  </r>
  <r>
    <s v="E202502036"/>
    <x v="1"/>
    <x v="1"/>
    <x v="0"/>
    <s v="Estatistica"/>
    <n v="12.1"/>
    <n v="60.5"/>
    <x v="1"/>
    <x v="0"/>
  </r>
  <r>
    <s v="E202502050"/>
    <x v="1"/>
    <x v="1"/>
    <x v="0"/>
    <s v="Marketing"/>
    <n v="12.1"/>
    <n v="91.7"/>
    <x v="1"/>
    <x v="2"/>
  </r>
  <r>
    <s v="E202503002"/>
    <x v="1"/>
    <x v="1"/>
    <x v="2"/>
    <s v="Redes"/>
    <n v="12.1"/>
    <n v="65.599999999999994"/>
    <x v="1"/>
    <x v="0"/>
  </r>
  <r>
    <s v="E202503028"/>
    <x v="1"/>
    <x v="1"/>
    <x v="2"/>
    <s v="Redes"/>
    <n v="12.1"/>
    <n v="45.7"/>
    <x v="1"/>
    <x v="1"/>
  </r>
  <r>
    <s v="E202601002"/>
    <x v="2"/>
    <x v="0"/>
    <x v="1"/>
    <s v="Redes"/>
    <n v="12.1"/>
    <n v="88.4"/>
    <x v="1"/>
    <x v="2"/>
  </r>
  <r>
    <s v="E202602028"/>
    <x v="2"/>
    <x v="0"/>
    <x v="0"/>
    <s v="Marketing"/>
    <n v="12.1"/>
    <n v="72.900000000000006"/>
    <x v="1"/>
    <x v="0"/>
  </r>
  <r>
    <s v="E202602044"/>
    <x v="2"/>
    <x v="0"/>
    <x v="0"/>
    <s v="Estatistica"/>
    <n v="12.1"/>
    <n v="86.1"/>
    <x v="1"/>
    <x v="2"/>
  </r>
  <r>
    <s v="E202603011"/>
    <x v="2"/>
    <x v="0"/>
    <x v="2"/>
    <s v="Redes"/>
    <n v="12.1"/>
    <n v="83.5"/>
    <x v="1"/>
    <x v="2"/>
  </r>
  <r>
    <s v="E202603050"/>
    <x v="2"/>
    <x v="0"/>
    <x v="2"/>
    <s v="Bases de Dados"/>
    <n v="12.1"/>
    <n v="71.5"/>
    <x v="1"/>
    <x v="0"/>
  </r>
  <r>
    <s v="E202601034"/>
    <x v="2"/>
    <x v="1"/>
    <x v="1"/>
    <s v="Redes"/>
    <n v="12.1"/>
    <n v="77.2"/>
    <x v="1"/>
    <x v="2"/>
  </r>
  <r>
    <s v="E202601049"/>
    <x v="2"/>
    <x v="1"/>
    <x v="1"/>
    <s v="Redes"/>
    <n v="12.1"/>
    <n v="78"/>
    <x v="1"/>
    <x v="2"/>
  </r>
  <r>
    <s v="E202602015"/>
    <x v="2"/>
    <x v="1"/>
    <x v="0"/>
    <s v="Contabilidade"/>
    <n v="12.1"/>
    <n v="60.8"/>
    <x v="1"/>
    <x v="0"/>
  </r>
  <r>
    <s v="E202603016"/>
    <x v="2"/>
    <x v="1"/>
    <x v="2"/>
    <s v="Redes"/>
    <n v="12.1"/>
    <n v="70.900000000000006"/>
    <x v="1"/>
    <x v="0"/>
  </r>
  <r>
    <s v="E202603055"/>
    <x v="2"/>
    <x v="1"/>
    <x v="2"/>
    <s v="Programacao"/>
    <n v="12.1"/>
    <n v="65.099999999999994"/>
    <x v="1"/>
    <x v="0"/>
  </r>
  <r>
    <s v="E202401014"/>
    <x v="0"/>
    <x v="0"/>
    <x v="1"/>
    <s v="Redes"/>
    <n v="12.2"/>
    <n v="57.7"/>
    <x v="1"/>
    <x v="0"/>
  </r>
  <r>
    <s v="E202403014"/>
    <x v="0"/>
    <x v="0"/>
    <x v="2"/>
    <s v="Programacao"/>
    <n v="12.2"/>
    <n v="51.4"/>
    <x v="1"/>
    <x v="0"/>
  </r>
  <r>
    <s v="E202403024"/>
    <x v="0"/>
    <x v="0"/>
    <x v="2"/>
    <s v="Programacao"/>
    <n v="12.2"/>
    <n v="65.599999999999994"/>
    <x v="1"/>
    <x v="0"/>
  </r>
  <r>
    <s v="E202403052"/>
    <x v="0"/>
    <x v="0"/>
    <x v="2"/>
    <s v="Bases de Dados"/>
    <n v="12.2"/>
    <n v="76.400000000000006"/>
    <x v="1"/>
    <x v="2"/>
  </r>
  <r>
    <s v="E202403057"/>
    <x v="0"/>
    <x v="0"/>
    <x v="2"/>
    <s v="Bases de Dados"/>
    <n v="12.2"/>
    <n v="73.900000000000006"/>
    <x v="1"/>
    <x v="0"/>
  </r>
  <r>
    <s v="E202401019"/>
    <x v="0"/>
    <x v="1"/>
    <x v="1"/>
    <s v="Sinais"/>
    <n v="12.2"/>
    <n v="89.6"/>
    <x v="1"/>
    <x v="2"/>
  </r>
  <r>
    <s v="E202401058"/>
    <x v="0"/>
    <x v="1"/>
    <x v="1"/>
    <s v="Matematica"/>
    <n v="12.2"/>
    <n v="69.599999999999994"/>
    <x v="1"/>
    <x v="0"/>
  </r>
  <r>
    <s v="E202402006"/>
    <x v="0"/>
    <x v="1"/>
    <x v="0"/>
    <s v="Marketing"/>
    <n v="12.2"/>
    <n v="52.8"/>
    <x v="1"/>
    <x v="0"/>
  </r>
  <r>
    <s v="E202402030"/>
    <x v="0"/>
    <x v="1"/>
    <x v="0"/>
    <s v="Contabilidade"/>
    <n v="12.2"/>
    <n v="74.599999999999994"/>
    <x v="1"/>
    <x v="0"/>
  </r>
  <r>
    <s v="E202403042"/>
    <x v="0"/>
    <x v="1"/>
    <x v="2"/>
    <s v="Programacao"/>
    <n v="12.2"/>
    <n v="79.099999999999994"/>
    <x v="1"/>
    <x v="2"/>
  </r>
  <r>
    <s v="E202403053"/>
    <x v="0"/>
    <x v="1"/>
    <x v="2"/>
    <s v="Redes"/>
    <n v="12.2"/>
    <n v="99.5"/>
    <x v="1"/>
    <x v="2"/>
  </r>
  <r>
    <s v="E202403057"/>
    <x v="0"/>
    <x v="1"/>
    <x v="2"/>
    <s v="Bases de Dados"/>
    <n v="12.2"/>
    <n v="64.3"/>
    <x v="1"/>
    <x v="0"/>
  </r>
  <r>
    <s v="E202501017"/>
    <x v="1"/>
    <x v="0"/>
    <x v="1"/>
    <s v="Redes"/>
    <n v="12.2"/>
    <n v="86.7"/>
    <x v="1"/>
    <x v="2"/>
  </r>
  <r>
    <s v="E202501038"/>
    <x v="1"/>
    <x v="0"/>
    <x v="1"/>
    <s v="Matematica"/>
    <n v="12.2"/>
    <n v="49.9"/>
    <x v="1"/>
    <x v="1"/>
  </r>
  <r>
    <s v="E202502054"/>
    <x v="1"/>
    <x v="0"/>
    <x v="0"/>
    <s v="Marketing"/>
    <n v="12.2"/>
    <n v="79.099999999999994"/>
    <x v="1"/>
    <x v="2"/>
  </r>
  <r>
    <s v="E202503019"/>
    <x v="1"/>
    <x v="0"/>
    <x v="2"/>
    <s v="Redes"/>
    <n v="12.2"/>
    <n v="66.7"/>
    <x v="1"/>
    <x v="0"/>
  </r>
  <r>
    <s v="E202503031"/>
    <x v="1"/>
    <x v="0"/>
    <x v="2"/>
    <s v="Bases de Dados"/>
    <n v="12.2"/>
    <n v="68.400000000000006"/>
    <x v="1"/>
    <x v="0"/>
  </r>
  <r>
    <s v="E202503047"/>
    <x v="1"/>
    <x v="0"/>
    <x v="2"/>
    <s v="Bases de Dados"/>
    <n v="12.2"/>
    <n v="90.3"/>
    <x v="1"/>
    <x v="2"/>
  </r>
  <r>
    <s v="E202501017"/>
    <x v="1"/>
    <x v="1"/>
    <x v="1"/>
    <s v="Matematica"/>
    <n v="12.2"/>
    <n v="64.400000000000006"/>
    <x v="1"/>
    <x v="0"/>
  </r>
  <r>
    <s v="E202501027"/>
    <x v="1"/>
    <x v="1"/>
    <x v="1"/>
    <s v="Matematica"/>
    <n v="12.2"/>
    <n v="62.1"/>
    <x v="1"/>
    <x v="0"/>
  </r>
  <r>
    <s v="E202501041"/>
    <x v="1"/>
    <x v="1"/>
    <x v="1"/>
    <s v="Sinais"/>
    <n v="12.2"/>
    <n v="82.3"/>
    <x v="1"/>
    <x v="2"/>
  </r>
  <r>
    <s v="E202503048"/>
    <x v="1"/>
    <x v="1"/>
    <x v="2"/>
    <s v="Bases de Dados"/>
    <n v="12.2"/>
    <n v="89"/>
    <x v="1"/>
    <x v="2"/>
  </r>
  <r>
    <s v="E202503052"/>
    <x v="1"/>
    <x v="1"/>
    <x v="2"/>
    <s v="Programacao"/>
    <n v="12.2"/>
    <n v="69.7"/>
    <x v="1"/>
    <x v="0"/>
  </r>
  <r>
    <s v="E202601032"/>
    <x v="2"/>
    <x v="0"/>
    <x v="1"/>
    <s v="Matematica"/>
    <n v="12.2"/>
    <n v="48.9"/>
    <x v="1"/>
    <x v="1"/>
  </r>
  <r>
    <s v="E202602030"/>
    <x v="2"/>
    <x v="0"/>
    <x v="0"/>
    <s v="Marketing"/>
    <n v="12.2"/>
    <n v="60.8"/>
    <x v="1"/>
    <x v="0"/>
  </r>
  <r>
    <s v="E202603013"/>
    <x v="2"/>
    <x v="0"/>
    <x v="2"/>
    <s v="Bases de Dados"/>
    <n v="12.2"/>
    <n v="95.6"/>
    <x v="1"/>
    <x v="2"/>
  </r>
  <r>
    <s v="E202603027"/>
    <x v="2"/>
    <x v="0"/>
    <x v="2"/>
    <s v="Bases de Dados"/>
    <n v="12.2"/>
    <n v="77.099999999999994"/>
    <x v="1"/>
    <x v="2"/>
  </r>
  <r>
    <s v="E202602010"/>
    <x v="2"/>
    <x v="1"/>
    <x v="0"/>
    <s v="Marketing"/>
    <n v="12.2"/>
    <n v="67.2"/>
    <x v="1"/>
    <x v="0"/>
  </r>
  <r>
    <s v="E202602036"/>
    <x v="2"/>
    <x v="1"/>
    <x v="0"/>
    <s v="Marketing"/>
    <n v="12.2"/>
    <n v="68.5"/>
    <x v="1"/>
    <x v="0"/>
  </r>
  <r>
    <s v="E202603040"/>
    <x v="2"/>
    <x v="1"/>
    <x v="2"/>
    <s v="Bases de Dados"/>
    <n v="12.2"/>
    <n v="94.7"/>
    <x v="1"/>
    <x v="2"/>
  </r>
  <r>
    <s v="E202401012"/>
    <x v="0"/>
    <x v="0"/>
    <x v="1"/>
    <s v="Matematica"/>
    <n v="12.3"/>
    <n v="84.8"/>
    <x v="1"/>
    <x v="2"/>
  </r>
  <r>
    <s v="E202401022"/>
    <x v="0"/>
    <x v="0"/>
    <x v="1"/>
    <s v="Sinais"/>
    <n v="12.3"/>
    <n v="80.099999999999994"/>
    <x v="1"/>
    <x v="2"/>
  </r>
  <r>
    <s v="E202401047"/>
    <x v="0"/>
    <x v="0"/>
    <x v="1"/>
    <s v="Sinais"/>
    <n v="12.3"/>
    <n v="59.2"/>
    <x v="1"/>
    <x v="0"/>
  </r>
  <r>
    <s v="E202402041"/>
    <x v="0"/>
    <x v="0"/>
    <x v="0"/>
    <s v="Contabilidade"/>
    <n v="12.3"/>
    <n v="84.5"/>
    <x v="1"/>
    <x v="2"/>
  </r>
  <r>
    <s v="E202403021"/>
    <x v="0"/>
    <x v="0"/>
    <x v="2"/>
    <s v="Bases de Dados"/>
    <n v="12.3"/>
    <n v="88.2"/>
    <x v="1"/>
    <x v="2"/>
  </r>
  <r>
    <s v="E202403040"/>
    <x v="0"/>
    <x v="0"/>
    <x v="2"/>
    <s v="Redes"/>
    <n v="12.3"/>
    <n v="99.1"/>
    <x v="1"/>
    <x v="2"/>
  </r>
  <r>
    <s v="E202403049"/>
    <x v="0"/>
    <x v="0"/>
    <x v="2"/>
    <s v="Redes"/>
    <n v="12.3"/>
    <n v="66.900000000000006"/>
    <x v="1"/>
    <x v="0"/>
  </r>
  <r>
    <s v="E202401009"/>
    <x v="0"/>
    <x v="1"/>
    <x v="1"/>
    <s v="Matematica"/>
    <n v="12.3"/>
    <n v="49.2"/>
    <x v="1"/>
    <x v="1"/>
  </r>
  <r>
    <s v="E202401036"/>
    <x v="0"/>
    <x v="1"/>
    <x v="1"/>
    <s v="Sinais"/>
    <n v="12.3"/>
    <n v="81.2"/>
    <x v="1"/>
    <x v="2"/>
  </r>
  <r>
    <s v="E202402011"/>
    <x v="0"/>
    <x v="1"/>
    <x v="0"/>
    <s v="Contabilidade"/>
    <n v="12.3"/>
    <n v="56.5"/>
    <x v="1"/>
    <x v="0"/>
  </r>
  <r>
    <s v="E202402017"/>
    <x v="0"/>
    <x v="1"/>
    <x v="0"/>
    <s v="Contabilidade"/>
    <n v="12.3"/>
    <n v="58.3"/>
    <x v="1"/>
    <x v="0"/>
  </r>
  <r>
    <s v="E202402046"/>
    <x v="0"/>
    <x v="1"/>
    <x v="0"/>
    <s v="Estatistica"/>
    <n v="12.3"/>
    <n v="86.4"/>
    <x v="1"/>
    <x v="2"/>
  </r>
  <r>
    <s v="E202402059"/>
    <x v="0"/>
    <x v="1"/>
    <x v="0"/>
    <s v="Marketing"/>
    <n v="12.3"/>
    <n v="92.5"/>
    <x v="1"/>
    <x v="2"/>
  </r>
  <r>
    <s v="E202403031"/>
    <x v="0"/>
    <x v="1"/>
    <x v="2"/>
    <s v="Bases de Dados"/>
    <n v="12.3"/>
    <n v="65.3"/>
    <x v="1"/>
    <x v="0"/>
  </r>
  <r>
    <s v="E202502045"/>
    <x v="1"/>
    <x v="0"/>
    <x v="0"/>
    <s v="Contabilidade"/>
    <n v="12.3"/>
    <n v="84.2"/>
    <x v="1"/>
    <x v="2"/>
  </r>
  <r>
    <s v="E202503003"/>
    <x v="1"/>
    <x v="0"/>
    <x v="2"/>
    <s v="Bases de Dados"/>
    <n v="12.3"/>
    <n v="61.4"/>
    <x v="1"/>
    <x v="0"/>
  </r>
  <r>
    <s v="E202503013"/>
    <x v="1"/>
    <x v="0"/>
    <x v="2"/>
    <s v="Redes"/>
    <n v="12.3"/>
    <n v="79"/>
    <x v="1"/>
    <x v="2"/>
  </r>
  <r>
    <s v="E202501008"/>
    <x v="1"/>
    <x v="1"/>
    <x v="1"/>
    <s v="Sinais"/>
    <n v="12.3"/>
    <n v="98.7"/>
    <x v="1"/>
    <x v="2"/>
  </r>
  <r>
    <s v="E202501011"/>
    <x v="1"/>
    <x v="1"/>
    <x v="1"/>
    <s v="Matematica"/>
    <n v="12.3"/>
    <n v="94.6"/>
    <x v="1"/>
    <x v="2"/>
  </r>
  <r>
    <s v="E202501028"/>
    <x v="1"/>
    <x v="1"/>
    <x v="1"/>
    <s v="Redes"/>
    <n v="12.3"/>
    <n v="63.1"/>
    <x v="1"/>
    <x v="0"/>
  </r>
  <r>
    <s v="E202501043"/>
    <x v="1"/>
    <x v="1"/>
    <x v="1"/>
    <s v="Redes"/>
    <n v="12.3"/>
    <n v="96.8"/>
    <x v="1"/>
    <x v="2"/>
  </r>
  <r>
    <s v="E202501047"/>
    <x v="1"/>
    <x v="1"/>
    <x v="1"/>
    <s v="Redes"/>
    <n v="12.3"/>
    <n v="79.7"/>
    <x v="1"/>
    <x v="2"/>
  </r>
  <r>
    <s v="E202502042"/>
    <x v="1"/>
    <x v="1"/>
    <x v="0"/>
    <s v="Estatistica"/>
    <n v="12.3"/>
    <n v="60.7"/>
    <x v="1"/>
    <x v="0"/>
  </r>
  <r>
    <s v="E202502049"/>
    <x v="1"/>
    <x v="1"/>
    <x v="0"/>
    <s v="Marketing"/>
    <n v="12.3"/>
    <n v="97.1"/>
    <x v="1"/>
    <x v="2"/>
  </r>
  <r>
    <s v="E202503047"/>
    <x v="1"/>
    <x v="1"/>
    <x v="2"/>
    <s v="Redes"/>
    <n v="12.3"/>
    <n v="78.5"/>
    <x v="1"/>
    <x v="2"/>
  </r>
  <r>
    <s v="E202601036"/>
    <x v="2"/>
    <x v="0"/>
    <x v="1"/>
    <s v="Matematica"/>
    <n v="12.3"/>
    <n v="83.4"/>
    <x v="1"/>
    <x v="2"/>
  </r>
  <r>
    <s v="E202601036"/>
    <x v="2"/>
    <x v="0"/>
    <x v="1"/>
    <s v="Sinais"/>
    <n v="12.3"/>
    <n v="79.5"/>
    <x v="1"/>
    <x v="2"/>
  </r>
  <r>
    <s v="E202602008"/>
    <x v="2"/>
    <x v="0"/>
    <x v="0"/>
    <s v="Marketing"/>
    <n v="12.3"/>
    <n v="63.1"/>
    <x v="1"/>
    <x v="0"/>
  </r>
  <r>
    <s v="E202602010"/>
    <x v="2"/>
    <x v="0"/>
    <x v="0"/>
    <s v="Estatistica"/>
    <n v="12.3"/>
    <n v="93.2"/>
    <x v="1"/>
    <x v="2"/>
  </r>
  <r>
    <s v="E202602023"/>
    <x v="2"/>
    <x v="0"/>
    <x v="0"/>
    <s v="Estatistica"/>
    <n v="12.3"/>
    <n v="85.2"/>
    <x v="1"/>
    <x v="2"/>
  </r>
  <r>
    <s v="E202602002"/>
    <x v="2"/>
    <x v="1"/>
    <x v="0"/>
    <s v="Contabilidade"/>
    <n v="12.3"/>
    <n v="59.1"/>
    <x v="1"/>
    <x v="0"/>
  </r>
  <r>
    <s v="E202602028"/>
    <x v="2"/>
    <x v="1"/>
    <x v="0"/>
    <s v="Marketing"/>
    <n v="12.3"/>
    <n v="85.3"/>
    <x v="1"/>
    <x v="2"/>
  </r>
  <r>
    <s v="E202603029"/>
    <x v="2"/>
    <x v="1"/>
    <x v="2"/>
    <s v="Bases de Dados"/>
    <n v="12.3"/>
    <n v="75.5"/>
    <x v="1"/>
    <x v="2"/>
  </r>
  <r>
    <s v="E202603038"/>
    <x v="2"/>
    <x v="1"/>
    <x v="2"/>
    <s v="Redes"/>
    <n v="12.3"/>
    <n v="62.9"/>
    <x v="1"/>
    <x v="0"/>
  </r>
  <r>
    <s v="E202603039"/>
    <x v="2"/>
    <x v="1"/>
    <x v="2"/>
    <s v="Redes"/>
    <n v="12.3"/>
    <n v="99.6"/>
    <x v="1"/>
    <x v="2"/>
  </r>
  <r>
    <s v="E202603060"/>
    <x v="2"/>
    <x v="1"/>
    <x v="2"/>
    <s v="Redes"/>
    <n v="12.3"/>
    <n v="73.400000000000006"/>
    <x v="1"/>
    <x v="0"/>
  </r>
  <r>
    <s v="E202401041"/>
    <x v="0"/>
    <x v="0"/>
    <x v="1"/>
    <s v="Sinais"/>
    <n v="12.4"/>
    <n v="45.1"/>
    <x v="1"/>
    <x v="1"/>
  </r>
  <r>
    <s v="E202401056"/>
    <x v="0"/>
    <x v="0"/>
    <x v="1"/>
    <s v="Matematica"/>
    <n v="12.4"/>
    <n v="96.8"/>
    <x v="1"/>
    <x v="2"/>
  </r>
  <r>
    <s v="E202403022"/>
    <x v="0"/>
    <x v="0"/>
    <x v="2"/>
    <s v="Bases de Dados"/>
    <n v="12.4"/>
    <n v="75.099999999999994"/>
    <x v="1"/>
    <x v="2"/>
  </r>
  <r>
    <s v="E202403027"/>
    <x v="0"/>
    <x v="0"/>
    <x v="2"/>
    <s v="Bases de Dados"/>
    <n v="12.4"/>
    <n v="95.6"/>
    <x v="1"/>
    <x v="2"/>
  </r>
  <r>
    <s v="E202401012"/>
    <x v="0"/>
    <x v="1"/>
    <x v="1"/>
    <s v="Matematica"/>
    <n v="12.4"/>
    <n v="89.9"/>
    <x v="1"/>
    <x v="2"/>
  </r>
  <r>
    <s v="E202401031"/>
    <x v="0"/>
    <x v="1"/>
    <x v="1"/>
    <s v="Sinais"/>
    <n v="12.4"/>
    <n v="96.5"/>
    <x v="1"/>
    <x v="2"/>
  </r>
  <r>
    <s v="E202401047"/>
    <x v="0"/>
    <x v="1"/>
    <x v="1"/>
    <s v="Matematica"/>
    <n v="12.4"/>
    <n v="84.3"/>
    <x v="1"/>
    <x v="2"/>
  </r>
  <r>
    <s v="E202402005"/>
    <x v="0"/>
    <x v="1"/>
    <x v="0"/>
    <s v="Contabilidade"/>
    <n v="12.4"/>
    <n v="82.6"/>
    <x v="1"/>
    <x v="2"/>
  </r>
  <r>
    <s v="E202402023"/>
    <x v="0"/>
    <x v="1"/>
    <x v="0"/>
    <s v="Marketing"/>
    <n v="12.4"/>
    <n v="70.2"/>
    <x v="1"/>
    <x v="0"/>
  </r>
  <r>
    <s v="E202501007"/>
    <x v="1"/>
    <x v="0"/>
    <x v="1"/>
    <s v="Sinais"/>
    <n v="12.4"/>
    <n v="72.400000000000006"/>
    <x v="1"/>
    <x v="0"/>
  </r>
  <r>
    <s v="E202501023"/>
    <x v="1"/>
    <x v="0"/>
    <x v="1"/>
    <s v="Redes"/>
    <n v="12.4"/>
    <n v="98"/>
    <x v="1"/>
    <x v="2"/>
  </r>
  <r>
    <s v="E202501041"/>
    <x v="1"/>
    <x v="0"/>
    <x v="1"/>
    <s v="Sinais"/>
    <n v="12.4"/>
    <n v="90.1"/>
    <x v="1"/>
    <x v="2"/>
  </r>
  <r>
    <s v="E202501058"/>
    <x v="1"/>
    <x v="0"/>
    <x v="1"/>
    <s v="Matematica"/>
    <n v="12.4"/>
    <n v="62.2"/>
    <x v="1"/>
    <x v="0"/>
  </r>
  <r>
    <s v="E202503027"/>
    <x v="1"/>
    <x v="0"/>
    <x v="2"/>
    <s v="Programacao"/>
    <n v="12.4"/>
    <n v="87.4"/>
    <x v="1"/>
    <x v="2"/>
  </r>
  <r>
    <s v="E202503036"/>
    <x v="1"/>
    <x v="0"/>
    <x v="2"/>
    <s v="Redes"/>
    <n v="12.4"/>
    <n v="78.900000000000006"/>
    <x v="1"/>
    <x v="2"/>
  </r>
  <r>
    <s v="E202503037"/>
    <x v="1"/>
    <x v="0"/>
    <x v="2"/>
    <s v="Redes"/>
    <n v="12.4"/>
    <n v="86.7"/>
    <x v="1"/>
    <x v="2"/>
  </r>
  <r>
    <s v="E202501007"/>
    <x v="1"/>
    <x v="1"/>
    <x v="1"/>
    <s v="Redes"/>
    <n v="12.4"/>
    <n v="83.9"/>
    <x v="1"/>
    <x v="2"/>
  </r>
  <r>
    <s v="E202501059"/>
    <x v="1"/>
    <x v="1"/>
    <x v="1"/>
    <s v="Matematica"/>
    <n v="12.4"/>
    <n v="81.599999999999994"/>
    <x v="1"/>
    <x v="2"/>
  </r>
  <r>
    <s v="E202502027"/>
    <x v="1"/>
    <x v="1"/>
    <x v="0"/>
    <s v="Estatistica"/>
    <n v="12.4"/>
    <n v="71.099999999999994"/>
    <x v="1"/>
    <x v="0"/>
  </r>
  <r>
    <s v="E202502055"/>
    <x v="1"/>
    <x v="1"/>
    <x v="0"/>
    <s v="Estatistica"/>
    <n v="12.4"/>
    <n v="49.5"/>
    <x v="1"/>
    <x v="1"/>
  </r>
  <r>
    <s v="E202601018"/>
    <x v="2"/>
    <x v="0"/>
    <x v="1"/>
    <s v="Redes"/>
    <n v="12.4"/>
    <n v="82.2"/>
    <x v="1"/>
    <x v="2"/>
  </r>
  <r>
    <s v="E202601031"/>
    <x v="2"/>
    <x v="0"/>
    <x v="1"/>
    <s v="Matematica"/>
    <n v="12.4"/>
    <n v="54.8"/>
    <x v="1"/>
    <x v="0"/>
  </r>
  <r>
    <s v="E202602001"/>
    <x v="2"/>
    <x v="0"/>
    <x v="0"/>
    <s v="Contabilidade"/>
    <n v="12.4"/>
    <n v="84.2"/>
    <x v="1"/>
    <x v="2"/>
  </r>
  <r>
    <s v="E202602042"/>
    <x v="2"/>
    <x v="0"/>
    <x v="0"/>
    <s v="Marketing"/>
    <n v="12.4"/>
    <n v="95.5"/>
    <x v="1"/>
    <x v="2"/>
  </r>
  <r>
    <s v="E202603003"/>
    <x v="2"/>
    <x v="0"/>
    <x v="2"/>
    <s v="Programacao"/>
    <n v="12.4"/>
    <n v="57.7"/>
    <x v="1"/>
    <x v="0"/>
  </r>
  <r>
    <s v="E202601006"/>
    <x v="2"/>
    <x v="1"/>
    <x v="1"/>
    <s v="Redes"/>
    <n v="12.4"/>
    <n v="92.1"/>
    <x v="1"/>
    <x v="2"/>
  </r>
  <r>
    <s v="E202601022"/>
    <x v="2"/>
    <x v="1"/>
    <x v="1"/>
    <s v="Matematica"/>
    <n v="12.4"/>
    <n v="90.4"/>
    <x v="1"/>
    <x v="2"/>
  </r>
  <r>
    <s v="E202601052"/>
    <x v="2"/>
    <x v="1"/>
    <x v="1"/>
    <s v="Matematica"/>
    <n v="12.4"/>
    <n v="57.7"/>
    <x v="1"/>
    <x v="0"/>
  </r>
  <r>
    <s v="E202602043"/>
    <x v="2"/>
    <x v="1"/>
    <x v="0"/>
    <s v="Estatistica"/>
    <n v="12.4"/>
    <n v="62.7"/>
    <x v="1"/>
    <x v="0"/>
  </r>
  <r>
    <s v="E202602049"/>
    <x v="2"/>
    <x v="1"/>
    <x v="0"/>
    <s v="Estatistica"/>
    <n v="12.4"/>
    <n v="84.3"/>
    <x v="1"/>
    <x v="2"/>
  </r>
  <r>
    <s v="E202602055"/>
    <x v="2"/>
    <x v="1"/>
    <x v="0"/>
    <s v="Marketing"/>
    <n v="12.4"/>
    <n v="94.1"/>
    <x v="1"/>
    <x v="2"/>
  </r>
  <r>
    <s v="E202402041"/>
    <x v="0"/>
    <x v="0"/>
    <x v="0"/>
    <s v="Estatistica"/>
    <n v="12.5"/>
    <n v="97"/>
    <x v="1"/>
    <x v="2"/>
  </r>
  <r>
    <s v="E202403007"/>
    <x v="0"/>
    <x v="0"/>
    <x v="2"/>
    <s v="Redes"/>
    <n v="12.5"/>
    <n v="82.1"/>
    <x v="1"/>
    <x v="2"/>
  </r>
  <r>
    <s v="E202403011"/>
    <x v="0"/>
    <x v="0"/>
    <x v="2"/>
    <s v="Redes"/>
    <n v="12.5"/>
    <n v="89.4"/>
    <x v="1"/>
    <x v="2"/>
  </r>
  <r>
    <s v="E202401008"/>
    <x v="0"/>
    <x v="1"/>
    <x v="1"/>
    <s v="Matematica"/>
    <n v="12.5"/>
    <n v="79.599999999999994"/>
    <x v="1"/>
    <x v="2"/>
  </r>
  <r>
    <s v="E202401031"/>
    <x v="0"/>
    <x v="1"/>
    <x v="1"/>
    <s v="Redes"/>
    <n v="12.5"/>
    <n v="49.3"/>
    <x v="1"/>
    <x v="1"/>
  </r>
  <r>
    <s v="E202401055"/>
    <x v="0"/>
    <x v="1"/>
    <x v="1"/>
    <s v="Matematica"/>
    <n v="12.5"/>
    <n v="93.2"/>
    <x v="1"/>
    <x v="2"/>
  </r>
  <r>
    <s v="E202402034"/>
    <x v="0"/>
    <x v="1"/>
    <x v="0"/>
    <s v="Marketing"/>
    <n v="12.5"/>
    <n v="59.1"/>
    <x v="1"/>
    <x v="0"/>
  </r>
  <r>
    <s v="E202403019"/>
    <x v="0"/>
    <x v="1"/>
    <x v="2"/>
    <s v="Bases de Dados"/>
    <n v="12.5"/>
    <n v="76.599999999999994"/>
    <x v="1"/>
    <x v="2"/>
  </r>
  <r>
    <s v="E202403028"/>
    <x v="0"/>
    <x v="1"/>
    <x v="2"/>
    <s v="Redes"/>
    <n v="12.5"/>
    <n v="58.7"/>
    <x v="1"/>
    <x v="0"/>
  </r>
  <r>
    <s v="E202503026"/>
    <x v="1"/>
    <x v="0"/>
    <x v="2"/>
    <s v="Bases de Dados"/>
    <n v="12.5"/>
    <n v="83.3"/>
    <x v="1"/>
    <x v="2"/>
  </r>
  <r>
    <s v="E202501004"/>
    <x v="1"/>
    <x v="1"/>
    <x v="1"/>
    <s v="Matematica"/>
    <n v="12.5"/>
    <n v="68.2"/>
    <x v="1"/>
    <x v="0"/>
  </r>
  <r>
    <s v="E202501044"/>
    <x v="1"/>
    <x v="1"/>
    <x v="1"/>
    <s v="Redes"/>
    <n v="12.5"/>
    <n v="52.4"/>
    <x v="1"/>
    <x v="0"/>
  </r>
  <r>
    <s v="E202501052"/>
    <x v="1"/>
    <x v="1"/>
    <x v="1"/>
    <s v="Sinais"/>
    <n v="12.5"/>
    <n v="97.4"/>
    <x v="1"/>
    <x v="2"/>
  </r>
  <r>
    <s v="E202501059"/>
    <x v="1"/>
    <x v="1"/>
    <x v="1"/>
    <s v="Sinais"/>
    <n v="12.5"/>
    <n v="79.599999999999994"/>
    <x v="1"/>
    <x v="2"/>
  </r>
  <r>
    <s v="E202502023"/>
    <x v="1"/>
    <x v="1"/>
    <x v="0"/>
    <s v="Estatistica"/>
    <n v="12.5"/>
    <n v="93.7"/>
    <x v="1"/>
    <x v="2"/>
  </r>
  <r>
    <s v="E202502043"/>
    <x v="1"/>
    <x v="1"/>
    <x v="0"/>
    <s v="Marketing"/>
    <n v="12.5"/>
    <n v="84.8"/>
    <x v="1"/>
    <x v="2"/>
  </r>
  <r>
    <s v="E202601016"/>
    <x v="2"/>
    <x v="0"/>
    <x v="1"/>
    <s v="Matematica"/>
    <n v="12.5"/>
    <n v="88.9"/>
    <x v="1"/>
    <x v="2"/>
  </r>
  <r>
    <s v="E202601035"/>
    <x v="2"/>
    <x v="0"/>
    <x v="1"/>
    <s v="Sinais"/>
    <n v="12.5"/>
    <n v="85.7"/>
    <x v="1"/>
    <x v="2"/>
  </r>
  <r>
    <s v="E202602012"/>
    <x v="2"/>
    <x v="0"/>
    <x v="0"/>
    <s v="Marketing"/>
    <n v="12.5"/>
    <n v="81.900000000000006"/>
    <x v="1"/>
    <x v="2"/>
  </r>
  <r>
    <s v="E202602019"/>
    <x v="2"/>
    <x v="0"/>
    <x v="0"/>
    <s v="Estatistica"/>
    <n v="12.5"/>
    <n v="97.7"/>
    <x v="1"/>
    <x v="2"/>
  </r>
  <r>
    <s v="E202603037"/>
    <x v="2"/>
    <x v="0"/>
    <x v="2"/>
    <s v="Programacao"/>
    <n v="12.5"/>
    <n v="92"/>
    <x v="1"/>
    <x v="2"/>
  </r>
  <r>
    <s v="E202603049"/>
    <x v="2"/>
    <x v="0"/>
    <x v="2"/>
    <s v="Bases de Dados"/>
    <n v="12.5"/>
    <n v="55.8"/>
    <x v="1"/>
    <x v="0"/>
  </r>
  <r>
    <s v="E202602001"/>
    <x v="2"/>
    <x v="1"/>
    <x v="0"/>
    <s v="Estatistica"/>
    <n v="12.5"/>
    <n v="88.3"/>
    <x v="1"/>
    <x v="2"/>
  </r>
  <r>
    <s v="E202602018"/>
    <x v="2"/>
    <x v="1"/>
    <x v="0"/>
    <s v="Estatistica"/>
    <n v="12.5"/>
    <n v="69.2"/>
    <x v="1"/>
    <x v="0"/>
  </r>
  <r>
    <s v="E202602025"/>
    <x v="2"/>
    <x v="1"/>
    <x v="0"/>
    <s v="Marketing"/>
    <n v="12.5"/>
    <n v="86.9"/>
    <x v="1"/>
    <x v="2"/>
  </r>
  <r>
    <s v="E202603029"/>
    <x v="2"/>
    <x v="1"/>
    <x v="2"/>
    <s v="Programacao"/>
    <n v="12.5"/>
    <n v="80.5"/>
    <x v="1"/>
    <x v="2"/>
  </r>
  <r>
    <s v="E202603051"/>
    <x v="2"/>
    <x v="1"/>
    <x v="2"/>
    <s v="Programacao"/>
    <n v="12.5"/>
    <n v="97.4"/>
    <x v="1"/>
    <x v="2"/>
  </r>
  <r>
    <s v="E202603058"/>
    <x v="2"/>
    <x v="1"/>
    <x v="2"/>
    <s v="Programacao"/>
    <n v="12.5"/>
    <n v="80.900000000000006"/>
    <x v="1"/>
    <x v="2"/>
  </r>
  <r>
    <s v="E202401005"/>
    <x v="0"/>
    <x v="0"/>
    <x v="1"/>
    <s v="Matematica"/>
    <n v="12.6"/>
    <n v="57.1"/>
    <x v="1"/>
    <x v="0"/>
  </r>
  <r>
    <s v="E202401017"/>
    <x v="0"/>
    <x v="0"/>
    <x v="1"/>
    <s v="Redes"/>
    <n v="12.6"/>
    <n v="79.2"/>
    <x v="1"/>
    <x v="2"/>
  </r>
  <r>
    <s v="E202401046"/>
    <x v="0"/>
    <x v="0"/>
    <x v="1"/>
    <s v="Redes"/>
    <n v="12.6"/>
    <n v="64.8"/>
    <x v="1"/>
    <x v="0"/>
  </r>
  <r>
    <s v="E202401058"/>
    <x v="0"/>
    <x v="0"/>
    <x v="1"/>
    <s v="Redes"/>
    <n v="12.6"/>
    <n v="64.2"/>
    <x v="1"/>
    <x v="0"/>
  </r>
  <r>
    <s v="E202402004"/>
    <x v="0"/>
    <x v="0"/>
    <x v="0"/>
    <s v="Estatistica"/>
    <n v="12.6"/>
    <n v="98.2"/>
    <x v="1"/>
    <x v="2"/>
  </r>
  <r>
    <s v="E202402020"/>
    <x v="0"/>
    <x v="0"/>
    <x v="0"/>
    <s v="Marketing"/>
    <n v="12.6"/>
    <n v="82.9"/>
    <x v="1"/>
    <x v="2"/>
  </r>
  <r>
    <s v="E202402038"/>
    <x v="0"/>
    <x v="0"/>
    <x v="0"/>
    <s v="Contabilidade"/>
    <n v="12.6"/>
    <n v="56.6"/>
    <x v="1"/>
    <x v="0"/>
  </r>
  <r>
    <s v="E202402047"/>
    <x v="0"/>
    <x v="0"/>
    <x v="0"/>
    <s v="Estatistica"/>
    <n v="12.6"/>
    <n v="52.9"/>
    <x v="1"/>
    <x v="0"/>
  </r>
  <r>
    <s v="E202403001"/>
    <x v="0"/>
    <x v="0"/>
    <x v="2"/>
    <s v="Redes"/>
    <n v="12.6"/>
    <n v="80"/>
    <x v="1"/>
    <x v="2"/>
  </r>
  <r>
    <s v="E202403042"/>
    <x v="0"/>
    <x v="0"/>
    <x v="2"/>
    <s v="Programacao"/>
    <n v="12.6"/>
    <n v="87.2"/>
    <x v="1"/>
    <x v="2"/>
  </r>
  <r>
    <s v="E202401013"/>
    <x v="0"/>
    <x v="1"/>
    <x v="1"/>
    <s v="Sinais"/>
    <n v="12.6"/>
    <n v="75.400000000000006"/>
    <x v="1"/>
    <x v="2"/>
  </r>
  <r>
    <s v="E202401037"/>
    <x v="0"/>
    <x v="1"/>
    <x v="1"/>
    <s v="Matematica"/>
    <n v="12.6"/>
    <n v="99.3"/>
    <x v="1"/>
    <x v="2"/>
  </r>
  <r>
    <s v="E202501014"/>
    <x v="1"/>
    <x v="0"/>
    <x v="1"/>
    <s v="Matematica"/>
    <n v="12.6"/>
    <n v="64.900000000000006"/>
    <x v="1"/>
    <x v="0"/>
  </r>
  <r>
    <s v="E202501018"/>
    <x v="1"/>
    <x v="0"/>
    <x v="1"/>
    <s v="Sinais"/>
    <n v="12.6"/>
    <n v="71.2"/>
    <x v="1"/>
    <x v="0"/>
  </r>
  <r>
    <s v="E202501035"/>
    <x v="1"/>
    <x v="0"/>
    <x v="1"/>
    <s v="Redes"/>
    <n v="12.6"/>
    <n v="75.400000000000006"/>
    <x v="1"/>
    <x v="2"/>
  </r>
  <r>
    <s v="E202501053"/>
    <x v="1"/>
    <x v="0"/>
    <x v="1"/>
    <s v="Redes"/>
    <n v="12.6"/>
    <n v="96"/>
    <x v="1"/>
    <x v="2"/>
  </r>
  <r>
    <s v="E202502060"/>
    <x v="1"/>
    <x v="0"/>
    <x v="0"/>
    <s v="Marketing"/>
    <n v="12.6"/>
    <n v="65.400000000000006"/>
    <x v="1"/>
    <x v="0"/>
  </r>
  <r>
    <s v="E202503039"/>
    <x v="1"/>
    <x v="0"/>
    <x v="2"/>
    <s v="Redes"/>
    <n v="12.6"/>
    <n v="75.3"/>
    <x v="1"/>
    <x v="2"/>
  </r>
  <r>
    <s v="E202503040"/>
    <x v="1"/>
    <x v="0"/>
    <x v="2"/>
    <s v="Redes"/>
    <n v="12.6"/>
    <n v="83.5"/>
    <x v="1"/>
    <x v="2"/>
  </r>
  <r>
    <s v="E202503001"/>
    <x v="1"/>
    <x v="1"/>
    <x v="2"/>
    <s v="Redes"/>
    <n v="12.6"/>
    <n v="55.2"/>
    <x v="1"/>
    <x v="0"/>
  </r>
  <r>
    <s v="E202503009"/>
    <x v="1"/>
    <x v="1"/>
    <x v="2"/>
    <s v="Programacao"/>
    <n v="12.6"/>
    <n v="68.3"/>
    <x v="1"/>
    <x v="0"/>
  </r>
  <r>
    <s v="E202503030"/>
    <x v="1"/>
    <x v="1"/>
    <x v="2"/>
    <s v="Redes"/>
    <n v="12.6"/>
    <n v="46.1"/>
    <x v="1"/>
    <x v="1"/>
  </r>
  <r>
    <s v="E202601024"/>
    <x v="2"/>
    <x v="0"/>
    <x v="1"/>
    <s v="Sinais"/>
    <n v="12.6"/>
    <n v="74.900000000000006"/>
    <x v="1"/>
    <x v="0"/>
  </r>
  <r>
    <s v="E202602031"/>
    <x v="2"/>
    <x v="0"/>
    <x v="0"/>
    <s v="Marketing"/>
    <n v="12.6"/>
    <n v="86.4"/>
    <x v="1"/>
    <x v="2"/>
  </r>
  <r>
    <s v="E202602051"/>
    <x v="2"/>
    <x v="0"/>
    <x v="0"/>
    <s v="Estatistica"/>
    <n v="12.6"/>
    <n v="81.400000000000006"/>
    <x v="1"/>
    <x v="2"/>
  </r>
  <r>
    <s v="E202602052"/>
    <x v="2"/>
    <x v="0"/>
    <x v="0"/>
    <s v="Marketing"/>
    <n v="12.6"/>
    <n v="70.3"/>
    <x v="1"/>
    <x v="0"/>
  </r>
  <r>
    <s v="E202603009"/>
    <x v="2"/>
    <x v="0"/>
    <x v="2"/>
    <s v="Bases de Dados"/>
    <n v="12.6"/>
    <n v="76.2"/>
    <x v="1"/>
    <x v="2"/>
  </r>
  <r>
    <s v="E202603056"/>
    <x v="2"/>
    <x v="0"/>
    <x v="2"/>
    <s v="Bases de Dados"/>
    <n v="12.6"/>
    <n v="71.8"/>
    <x v="1"/>
    <x v="0"/>
  </r>
  <r>
    <s v="E202601040"/>
    <x v="2"/>
    <x v="1"/>
    <x v="1"/>
    <s v="Sinais"/>
    <n v="12.6"/>
    <n v="72"/>
    <x v="1"/>
    <x v="0"/>
  </r>
  <r>
    <s v="E202602006"/>
    <x v="2"/>
    <x v="1"/>
    <x v="0"/>
    <s v="Estatistica"/>
    <n v="12.6"/>
    <n v="53.8"/>
    <x v="1"/>
    <x v="0"/>
  </r>
  <r>
    <s v="E202602007"/>
    <x v="2"/>
    <x v="1"/>
    <x v="0"/>
    <s v="Estatistica"/>
    <n v="12.6"/>
    <n v="52.4"/>
    <x v="1"/>
    <x v="0"/>
  </r>
  <r>
    <s v="E202602007"/>
    <x v="2"/>
    <x v="1"/>
    <x v="0"/>
    <s v="Marketing"/>
    <n v="12.6"/>
    <n v="49.8"/>
    <x v="1"/>
    <x v="1"/>
  </r>
  <r>
    <s v="E202602012"/>
    <x v="2"/>
    <x v="1"/>
    <x v="0"/>
    <s v="Estatistica"/>
    <n v="12.6"/>
    <n v="72.5"/>
    <x v="1"/>
    <x v="0"/>
  </r>
  <r>
    <s v="E202602014"/>
    <x v="2"/>
    <x v="1"/>
    <x v="0"/>
    <s v="Estatistica"/>
    <n v="12.6"/>
    <n v="80.2"/>
    <x v="1"/>
    <x v="2"/>
  </r>
  <r>
    <s v="E202602034"/>
    <x v="2"/>
    <x v="1"/>
    <x v="0"/>
    <s v="Contabilidade"/>
    <n v="12.6"/>
    <n v="92"/>
    <x v="1"/>
    <x v="2"/>
  </r>
  <r>
    <s v="E202602045"/>
    <x v="2"/>
    <x v="1"/>
    <x v="0"/>
    <s v="Estatistica"/>
    <n v="12.6"/>
    <n v="67.400000000000006"/>
    <x v="1"/>
    <x v="0"/>
  </r>
  <r>
    <s v="E202603017"/>
    <x v="2"/>
    <x v="1"/>
    <x v="2"/>
    <s v="Bases de Dados"/>
    <n v="12.6"/>
    <n v="66.3"/>
    <x v="1"/>
    <x v="0"/>
  </r>
  <r>
    <s v="E202603032"/>
    <x v="2"/>
    <x v="1"/>
    <x v="2"/>
    <s v="Programacao"/>
    <n v="12.6"/>
    <n v="72"/>
    <x v="1"/>
    <x v="0"/>
  </r>
  <r>
    <s v="E202603052"/>
    <x v="2"/>
    <x v="1"/>
    <x v="2"/>
    <s v="Programacao"/>
    <n v="12.6"/>
    <n v="61.6"/>
    <x v="1"/>
    <x v="0"/>
  </r>
  <r>
    <s v="E202401028"/>
    <x v="0"/>
    <x v="0"/>
    <x v="1"/>
    <s v="Matematica"/>
    <n v="12.7"/>
    <n v="88.9"/>
    <x v="1"/>
    <x v="2"/>
  </r>
  <r>
    <s v="E202402007"/>
    <x v="0"/>
    <x v="0"/>
    <x v="0"/>
    <s v="Contabilidade"/>
    <n v="12.7"/>
    <n v="63.1"/>
    <x v="1"/>
    <x v="0"/>
  </r>
  <r>
    <s v="E202402013"/>
    <x v="0"/>
    <x v="0"/>
    <x v="0"/>
    <s v="Marketing"/>
    <n v="12.7"/>
    <n v="94.3"/>
    <x v="1"/>
    <x v="2"/>
  </r>
  <r>
    <s v="E202402027"/>
    <x v="0"/>
    <x v="0"/>
    <x v="0"/>
    <s v="Estatistica"/>
    <n v="12.7"/>
    <n v="79"/>
    <x v="1"/>
    <x v="2"/>
  </r>
  <r>
    <s v="E202402045"/>
    <x v="0"/>
    <x v="0"/>
    <x v="0"/>
    <s v="Estatistica"/>
    <n v="12.7"/>
    <n v="93.7"/>
    <x v="1"/>
    <x v="2"/>
  </r>
  <r>
    <s v="E202403008"/>
    <x v="0"/>
    <x v="0"/>
    <x v="2"/>
    <s v="Bases de Dados"/>
    <n v="12.7"/>
    <n v="70.2"/>
    <x v="1"/>
    <x v="0"/>
  </r>
  <r>
    <s v="E202403009"/>
    <x v="0"/>
    <x v="0"/>
    <x v="2"/>
    <s v="Redes"/>
    <n v="12.7"/>
    <n v="92.4"/>
    <x v="1"/>
    <x v="2"/>
  </r>
  <r>
    <s v="E202401037"/>
    <x v="0"/>
    <x v="1"/>
    <x v="1"/>
    <s v="Sinais"/>
    <n v="12.7"/>
    <n v="91.3"/>
    <x v="1"/>
    <x v="2"/>
  </r>
  <r>
    <s v="E202403022"/>
    <x v="0"/>
    <x v="1"/>
    <x v="2"/>
    <s v="Bases de Dados"/>
    <n v="12.7"/>
    <n v="71.8"/>
    <x v="1"/>
    <x v="0"/>
  </r>
  <r>
    <s v="E202403024"/>
    <x v="0"/>
    <x v="1"/>
    <x v="2"/>
    <s v="Redes"/>
    <n v="12.7"/>
    <n v="79.900000000000006"/>
    <x v="1"/>
    <x v="2"/>
  </r>
  <r>
    <s v="E202403056"/>
    <x v="0"/>
    <x v="1"/>
    <x v="2"/>
    <s v="Programacao"/>
    <n v="12.7"/>
    <n v="86.3"/>
    <x v="1"/>
    <x v="2"/>
  </r>
  <r>
    <s v="E202501005"/>
    <x v="1"/>
    <x v="0"/>
    <x v="1"/>
    <s v="Matematica"/>
    <n v="12.7"/>
    <n v="78.8"/>
    <x v="1"/>
    <x v="2"/>
  </r>
  <r>
    <s v="E202501012"/>
    <x v="1"/>
    <x v="0"/>
    <x v="1"/>
    <s v="Matematica"/>
    <n v="12.7"/>
    <n v="65.2"/>
    <x v="1"/>
    <x v="0"/>
  </r>
  <r>
    <s v="E202501012"/>
    <x v="1"/>
    <x v="0"/>
    <x v="1"/>
    <s v="Sinais"/>
    <n v="12.7"/>
    <n v="72.599999999999994"/>
    <x v="1"/>
    <x v="0"/>
  </r>
  <r>
    <s v="E202501025"/>
    <x v="1"/>
    <x v="0"/>
    <x v="1"/>
    <s v="Matematica"/>
    <n v="12.7"/>
    <n v="53.9"/>
    <x v="1"/>
    <x v="0"/>
  </r>
  <r>
    <s v="E202502018"/>
    <x v="1"/>
    <x v="0"/>
    <x v="0"/>
    <s v="Marketing"/>
    <n v="12.7"/>
    <n v="55.6"/>
    <x v="1"/>
    <x v="0"/>
  </r>
  <r>
    <s v="E202502058"/>
    <x v="1"/>
    <x v="1"/>
    <x v="0"/>
    <s v="Marketing"/>
    <n v="12.7"/>
    <n v="52.4"/>
    <x v="1"/>
    <x v="0"/>
  </r>
  <r>
    <s v="E202503038"/>
    <x v="1"/>
    <x v="1"/>
    <x v="2"/>
    <s v="Programacao"/>
    <n v="12.7"/>
    <n v="84.6"/>
    <x v="1"/>
    <x v="2"/>
  </r>
  <r>
    <s v="E202503047"/>
    <x v="1"/>
    <x v="1"/>
    <x v="2"/>
    <s v="Bases de Dados"/>
    <n v="12.7"/>
    <n v="83.7"/>
    <x v="1"/>
    <x v="2"/>
  </r>
  <r>
    <s v="E202601052"/>
    <x v="2"/>
    <x v="0"/>
    <x v="1"/>
    <s v="Sinais"/>
    <n v="12.7"/>
    <n v="91.3"/>
    <x v="1"/>
    <x v="2"/>
  </r>
  <r>
    <s v="E202602038"/>
    <x v="2"/>
    <x v="0"/>
    <x v="0"/>
    <s v="Contabilidade"/>
    <n v="12.7"/>
    <n v="64.400000000000006"/>
    <x v="1"/>
    <x v="0"/>
  </r>
  <r>
    <s v="E202603034"/>
    <x v="2"/>
    <x v="0"/>
    <x v="2"/>
    <s v="Redes"/>
    <n v="12.7"/>
    <n v="52.3"/>
    <x v="1"/>
    <x v="0"/>
  </r>
  <r>
    <s v="E202603059"/>
    <x v="2"/>
    <x v="0"/>
    <x v="2"/>
    <s v="Redes"/>
    <n v="12.7"/>
    <n v="72"/>
    <x v="1"/>
    <x v="0"/>
  </r>
  <r>
    <s v="E202602010"/>
    <x v="2"/>
    <x v="1"/>
    <x v="0"/>
    <s v="Contabilidade"/>
    <n v="12.7"/>
    <n v="72.099999999999994"/>
    <x v="1"/>
    <x v="0"/>
  </r>
  <r>
    <s v="E202602057"/>
    <x v="2"/>
    <x v="1"/>
    <x v="0"/>
    <s v="Contabilidade"/>
    <n v="12.7"/>
    <n v="100"/>
    <x v="1"/>
    <x v="2"/>
  </r>
  <r>
    <s v="E202603011"/>
    <x v="2"/>
    <x v="1"/>
    <x v="2"/>
    <s v="Bases de Dados"/>
    <n v="12.7"/>
    <n v="82.2"/>
    <x v="1"/>
    <x v="2"/>
  </r>
  <r>
    <s v="E202603055"/>
    <x v="2"/>
    <x v="1"/>
    <x v="2"/>
    <s v="Bases de Dados"/>
    <n v="12.7"/>
    <n v="60.1"/>
    <x v="1"/>
    <x v="0"/>
  </r>
  <r>
    <s v="E202401034"/>
    <x v="0"/>
    <x v="0"/>
    <x v="1"/>
    <s v="Redes"/>
    <n v="12.8"/>
    <n v="78.900000000000006"/>
    <x v="1"/>
    <x v="2"/>
  </r>
  <r>
    <s v="E202401053"/>
    <x v="0"/>
    <x v="0"/>
    <x v="1"/>
    <s v="Matematica"/>
    <n v="12.8"/>
    <n v="57.1"/>
    <x v="1"/>
    <x v="0"/>
  </r>
  <r>
    <s v="E202401058"/>
    <x v="0"/>
    <x v="0"/>
    <x v="1"/>
    <s v="Sinais"/>
    <n v="12.8"/>
    <n v="91.8"/>
    <x v="1"/>
    <x v="2"/>
  </r>
  <r>
    <s v="E202402021"/>
    <x v="0"/>
    <x v="0"/>
    <x v="0"/>
    <s v="Estatistica"/>
    <n v="12.8"/>
    <n v="79.8"/>
    <x v="1"/>
    <x v="2"/>
  </r>
  <r>
    <s v="E202402027"/>
    <x v="0"/>
    <x v="0"/>
    <x v="0"/>
    <s v="Contabilidade"/>
    <n v="12.8"/>
    <n v="92.7"/>
    <x v="1"/>
    <x v="2"/>
  </r>
  <r>
    <s v="E202402049"/>
    <x v="0"/>
    <x v="0"/>
    <x v="0"/>
    <s v="Estatistica"/>
    <n v="12.8"/>
    <n v="86.4"/>
    <x v="1"/>
    <x v="2"/>
  </r>
  <r>
    <s v="E202402057"/>
    <x v="0"/>
    <x v="0"/>
    <x v="0"/>
    <s v="Contabilidade"/>
    <n v="12.8"/>
    <n v="98.6"/>
    <x v="1"/>
    <x v="2"/>
  </r>
  <r>
    <s v="E202403008"/>
    <x v="0"/>
    <x v="0"/>
    <x v="2"/>
    <s v="Redes"/>
    <n v="12.8"/>
    <n v="94.2"/>
    <x v="1"/>
    <x v="2"/>
  </r>
  <r>
    <s v="E202401043"/>
    <x v="0"/>
    <x v="1"/>
    <x v="1"/>
    <s v="Matematica"/>
    <n v="12.8"/>
    <n v="75.7"/>
    <x v="1"/>
    <x v="2"/>
  </r>
  <r>
    <s v="E202402030"/>
    <x v="0"/>
    <x v="1"/>
    <x v="0"/>
    <s v="Estatistica"/>
    <n v="12.8"/>
    <n v="67.900000000000006"/>
    <x v="1"/>
    <x v="0"/>
  </r>
  <r>
    <s v="E202403029"/>
    <x v="0"/>
    <x v="1"/>
    <x v="2"/>
    <s v="Programacao"/>
    <n v="12.8"/>
    <n v="93.9"/>
    <x v="1"/>
    <x v="2"/>
  </r>
  <r>
    <s v="E202501007"/>
    <x v="1"/>
    <x v="0"/>
    <x v="1"/>
    <s v="Redes"/>
    <n v="12.8"/>
    <n v="99.2"/>
    <x v="1"/>
    <x v="2"/>
  </r>
  <r>
    <s v="E202501018"/>
    <x v="1"/>
    <x v="1"/>
    <x v="1"/>
    <s v="Redes"/>
    <n v="12.8"/>
    <n v="96.9"/>
    <x v="1"/>
    <x v="2"/>
  </r>
  <r>
    <s v="E202502033"/>
    <x v="1"/>
    <x v="1"/>
    <x v="0"/>
    <s v="Contabilidade"/>
    <n v="12.8"/>
    <n v="50.2"/>
    <x v="1"/>
    <x v="0"/>
  </r>
  <r>
    <s v="E202502034"/>
    <x v="1"/>
    <x v="1"/>
    <x v="0"/>
    <s v="Contabilidade"/>
    <n v="12.8"/>
    <n v="71.900000000000006"/>
    <x v="1"/>
    <x v="0"/>
  </r>
  <r>
    <s v="E202503015"/>
    <x v="1"/>
    <x v="1"/>
    <x v="2"/>
    <s v="Programacao"/>
    <n v="12.8"/>
    <n v="85"/>
    <x v="1"/>
    <x v="2"/>
  </r>
  <r>
    <s v="E202601023"/>
    <x v="2"/>
    <x v="0"/>
    <x v="1"/>
    <s v="Matematica"/>
    <n v="12.8"/>
    <n v="94.8"/>
    <x v="1"/>
    <x v="2"/>
  </r>
  <r>
    <s v="E202601044"/>
    <x v="2"/>
    <x v="0"/>
    <x v="1"/>
    <s v="Matematica"/>
    <n v="12.8"/>
    <n v="47.2"/>
    <x v="1"/>
    <x v="1"/>
  </r>
  <r>
    <s v="E202601051"/>
    <x v="2"/>
    <x v="0"/>
    <x v="1"/>
    <s v="Redes"/>
    <n v="12.8"/>
    <n v="70.5"/>
    <x v="1"/>
    <x v="0"/>
  </r>
  <r>
    <s v="E202602042"/>
    <x v="2"/>
    <x v="0"/>
    <x v="0"/>
    <s v="Estatistica"/>
    <n v="12.8"/>
    <n v="72"/>
    <x v="1"/>
    <x v="0"/>
  </r>
  <r>
    <s v="E202602058"/>
    <x v="2"/>
    <x v="0"/>
    <x v="0"/>
    <s v="Marketing"/>
    <n v="12.8"/>
    <n v="88.7"/>
    <x v="1"/>
    <x v="2"/>
  </r>
  <r>
    <s v="E202603034"/>
    <x v="2"/>
    <x v="0"/>
    <x v="2"/>
    <s v="Bases de Dados"/>
    <n v="12.8"/>
    <n v="99.7"/>
    <x v="1"/>
    <x v="2"/>
  </r>
  <r>
    <s v="E202603056"/>
    <x v="2"/>
    <x v="0"/>
    <x v="2"/>
    <s v="Programacao"/>
    <n v="12.8"/>
    <n v="45.5"/>
    <x v="1"/>
    <x v="1"/>
  </r>
  <r>
    <s v="E202601050"/>
    <x v="2"/>
    <x v="1"/>
    <x v="1"/>
    <s v="Sinais"/>
    <n v="12.8"/>
    <n v="71.900000000000006"/>
    <x v="1"/>
    <x v="0"/>
  </r>
  <r>
    <s v="E202601060"/>
    <x v="2"/>
    <x v="1"/>
    <x v="1"/>
    <s v="Sinais"/>
    <n v="12.8"/>
    <n v="97.1"/>
    <x v="1"/>
    <x v="2"/>
  </r>
  <r>
    <s v="E202602002"/>
    <x v="2"/>
    <x v="1"/>
    <x v="0"/>
    <s v="Estatistica"/>
    <n v="12.8"/>
    <n v="50.2"/>
    <x v="1"/>
    <x v="0"/>
  </r>
  <r>
    <s v="E202602019"/>
    <x v="2"/>
    <x v="1"/>
    <x v="0"/>
    <s v="Contabilidade"/>
    <n v="12.8"/>
    <n v="91.7"/>
    <x v="1"/>
    <x v="2"/>
  </r>
  <r>
    <s v="E202602019"/>
    <x v="2"/>
    <x v="1"/>
    <x v="0"/>
    <s v="Marketing"/>
    <n v="12.8"/>
    <n v="74"/>
    <x v="1"/>
    <x v="0"/>
  </r>
  <r>
    <s v="E202602034"/>
    <x v="2"/>
    <x v="1"/>
    <x v="0"/>
    <s v="Estatistica"/>
    <n v="12.8"/>
    <n v="68.400000000000006"/>
    <x v="1"/>
    <x v="0"/>
  </r>
  <r>
    <s v="E202603003"/>
    <x v="2"/>
    <x v="1"/>
    <x v="2"/>
    <s v="Programacao"/>
    <n v="12.8"/>
    <n v="48.1"/>
    <x v="1"/>
    <x v="1"/>
  </r>
  <r>
    <s v="E202603007"/>
    <x v="2"/>
    <x v="1"/>
    <x v="2"/>
    <s v="Bases de Dados"/>
    <n v="12.8"/>
    <n v="58.1"/>
    <x v="1"/>
    <x v="0"/>
  </r>
  <r>
    <s v="E202401026"/>
    <x v="0"/>
    <x v="0"/>
    <x v="1"/>
    <s v="Sinais"/>
    <n v="12.9"/>
    <n v="66.5"/>
    <x v="1"/>
    <x v="0"/>
  </r>
  <r>
    <s v="E202401032"/>
    <x v="0"/>
    <x v="0"/>
    <x v="1"/>
    <s v="Matematica"/>
    <n v="12.9"/>
    <n v="89.2"/>
    <x v="1"/>
    <x v="2"/>
  </r>
  <r>
    <s v="E202401045"/>
    <x v="0"/>
    <x v="0"/>
    <x v="1"/>
    <s v="Sinais"/>
    <n v="12.9"/>
    <n v="84.9"/>
    <x v="1"/>
    <x v="2"/>
  </r>
  <r>
    <s v="E202401050"/>
    <x v="0"/>
    <x v="0"/>
    <x v="1"/>
    <s v="Redes"/>
    <n v="12.9"/>
    <n v="60.6"/>
    <x v="1"/>
    <x v="0"/>
  </r>
  <r>
    <s v="E202402030"/>
    <x v="0"/>
    <x v="0"/>
    <x v="0"/>
    <s v="Contabilidade"/>
    <n v="12.9"/>
    <n v="47.6"/>
    <x v="1"/>
    <x v="1"/>
  </r>
  <r>
    <s v="E202402044"/>
    <x v="0"/>
    <x v="0"/>
    <x v="0"/>
    <s v="Estatistica"/>
    <n v="12.9"/>
    <n v="83.4"/>
    <x v="1"/>
    <x v="2"/>
  </r>
  <r>
    <s v="E202402060"/>
    <x v="0"/>
    <x v="0"/>
    <x v="0"/>
    <s v="Marketing"/>
    <n v="12.9"/>
    <n v="86.1"/>
    <x v="1"/>
    <x v="2"/>
  </r>
  <r>
    <s v="E202403005"/>
    <x v="0"/>
    <x v="0"/>
    <x v="2"/>
    <s v="Programacao"/>
    <n v="12.9"/>
    <n v="90.9"/>
    <x v="1"/>
    <x v="2"/>
  </r>
  <r>
    <s v="E202403023"/>
    <x v="0"/>
    <x v="0"/>
    <x v="2"/>
    <s v="Bases de Dados"/>
    <n v="12.9"/>
    <n v="90.7"/>
    <x v="1"/>
    <x v="2"/>
  </r>
  <r>
    <s v="E202403042"/>
    <x v="0"/>
    <x v="0"/>
    <x v="2"/>
    <s v="Redes"/>
    <n v="12.9"/>
    <n v="74.3"/>
    <x v="1"/>
    <x v="0"/>
  </r>
  <r>
    <s v="E202401012"/>
    <x v="0"/>
    <x v="1"/>
    <x v="1"/>
    <s v="Redes"/>
    <n v="12.9"/>
    <n v="99.7"/>
    <x v="1"/>
    <x v="2"/>
  </r>
  <r>
    <s v="E202401056"/>
    <x v="0"/>
    <x v="1"/>
    <x v="1"/>
    <s v="Sinais"/>
    <n v="12.9"/>
    <n v="99.6"/>
    <x v="1"/>
    <x v="2"/>
  </r>
  <r>
    <s v="E202402028"/>
    <x v="0"/>
    <x v="1"/>
    <x v="0"/>
    <s v="Estatistica"/>
    <n v="12.9"/>
    <n v="53.4"/>
    <x v="1"/>
    <x v="0"/>
  </r>
  <r>
    <s v="E202403013"/>
    <x v="0"/>
    <x v="1"/>
    <x v="2"/>
    <s v="Redes"/>
    <n v="12.9"/>
    <n v="93"/>
    <x v="1"/>
    <x v="2"/>
  </r>
  <r>
    <s v="E202403036"/>
    <x v="0"/>
    <x v="1"/>
    <x v="2"/>
    <s v="Redes"/>
    <n v="12.9"/>
    <n v="69.400000000000006"/>
    <x v="1"/>
    <x v="0"/>
  </r>
  <r>
    <s v="E202501055"/>
    <x v="1"/>
    <x v="0"/>
    <x v="1"/>
    <s v="Matematica"/>
    <n v="12.9"/>
    <n v="91.5"/>
    <x v="1"/>
    <x v="2"/>
  </r>
  <r>
    <s v="E202503013"/>
    <x v="1"/>
    <x v="0"/>
    <x v="2"/>
    <s v="Bases de Dados"/>
    <n v="12.9"/>
    <n v="80.2"/>
    <x v="1"/>
    <x v="2"/>
  </r>
  <r>
    <s v="E202503047"/>
    <x v="1"/>
    <x v="0"/>
    <x v="2"/>
    <s v="Redes"/>
    <n v="12.9"/>
    <n v="70.3"/>
    <x v="1"/>
    <x v="0"/>
  </r>
  <r>
    <s v="E202503050"/>
    <x v="1"/>
    <x v="0"/>
    <x v="2"/>
    <s v="Redes"/>
    <n v="12.9"/>
    <n v="70.2"/>
    <x v="1"/>
    <x v="0"/>
  </r>
  <r>
    <s v="E202501012"/>
    <x v="1"/>
    <x v="1"/>
    <x v="1"/>
    <s v="Sinais"/>
    <n v="12.9"/>
    <n v="68.099999999999994"/>
    <x v="1"/>
    <x v="0"/>
  </r>
  <r>
    <s v="E202501016"/>
    <x v="1"/>
    <x v="1"/>
    <x v="1"/>
    <s v="Sinais"/>
    <n v="12.9"/>
    <n v="51.3"/>
    <x v="1"/>
    <x v="0"/>
  </r>
  <r>
    <s v="E202501039"/>
    <x v="1"/>
    <x v="1"/>
    <x v="1"/>
    <s v="Matematica"/>
    <n v="12.9"/>
    <n v="97.4"/>
    <x v="1"/>
    <x v="2"/>
  </r>
  <r>
    <s v="E202501045"/>
    <x v="1"/>
    <x v="1"/>
    <x v="1"/>
    <s v="Sinais"/>
    <n v="12.9"/>
    <n v="92.1"/>
    <x v="1"/>
    <x v="2"/>
  </r>
  <r>
    <s v="E202501052"/>
    <x v="1"/>
    <x v="1"/>
    <x v="1"/>
    <s v="Matematica"/>
    <n v="12.9"/>
    <n v="80.099999999999994"/>
    <x v="1"/>
    <x v="2"/>
  </r>
  <r>
    <s v="E202502035"/>
    <x v="1"/>
    <x v="1"/>
    <x v="0"/>
    <s v="Estatistica"/>
    <n v="12.9"/>
    <n v="72.5"/>
    <x v="1"/>
    <x v="0"/>
  </r>
  <r>
    <s v="E202503006"/>
    <x v="1"/>
    <x v="1"/>
    <x v="2"/>
    <s v="Redes"/>
    <n v="12.9"/>
    <n v="56.1"/>
    <x v="1"/>
    <x v="0"/>
  </r>
  <r>
    <s v="E202503046"/>
    <x v="1"/>
    <x v="1"/>
    <x v="2"/>
    <s v="Programacao"/>
    <n v="12.9"/>
    <n v="71.7"/>
    <x v="1"/>
    <x v="0"/>
  </r>
  <r>
    <s v="E202503051"/>
    <x v="1"/>
    <x v="1"/>
    <x v="2"/>
    <s v="Redes"/>
    <n v="12.9"/>
    <n v="70.099999999999994"/>
    <x v="1"/>
    <x v="0"/>
  </r>
  <r>
    <s v="E202601004"/>
    <x v="2"/>
    <x v="0"/>
    <x v="1"/>
    <s v="Redes"/>
    <n v="12.9"/>
    <n v="91.7"/>
    <x v="1"/>
    <x v="2"/>
  </r>
  <r>
    <s v="E202601026"/>
    <x v="2"/>
    <x v="0"/>
    <x v="1"/>
    <s v="Sinais"/>
    <n v="12.9"/>
    <n v="79.400000000000006"/>
    <x v="1"/>
    <x v="2"/>
  </r>
  <r>
    <s v="E202601056"/>
    <x v="2"/>
    <x v="0"/>
    <x v="1"/>
    <s v="Redes"/>
    <n v="12.9"/>
    <n v="59.6"/>
    <x v="1"/>
    <x v="0"/>
  </r>
  <r>
    <s v="E202602033"/>
    <x v="2"/>
    <x v="0"/>
    <x v="0"/>
    <s v="Estatistica"/>
    <n v="12.9"/>
    <n v="69.900000000000006"/>
    <x v="1"/>
    <x v="0"/>
  </r>
  <r>
    <s v="E202602036"/>
    <x v="2"/>
    <x v="0"/>
    <x v="0"/>
    <s v="Contabilidade"/>
    <n v="12.9"/>
    <n v="79"/>
    <x v="1"/>
    <x v="2"/>
  </r>
  <r>
    <s v="E202603001"/>
    <x v="2"/>
    <x v="0"/>
    <x v="2"/>
    <s v="Redes"/>
    <n v="12.9"/>
    <n v="86.7"/>
    <x v="1"/>
    <x v="2"/>
  </r>
  <r>
    <s v="E202603015"/>
    <x v="2"/>
    <x v="0"/>
    <x v="2"/>
    <s v="Redes"/>
    <n v="12.9"/>
    <n v="85"/>
    <x v="1"/>
    <x v="2"/>
  </r>
  <r>
    <s v="E202603042"/>
    <x v="2"/>
    <x v="0"/>
    <x v="2"/>
    <s v="Redes"/>
    <n v="12.9"/>
    <n v="86.1"/>
    <x v="1"/>
    <x v="2"/>
  </r>
  <r>
    <s v="E202601038"/>
    <x v="2"/>
    <x v="1"/>
    <x v="1"/>
    <s v="Redes"/>
    <n v="12.9"/>
    <n v="84.5"/>
    <x v="1"/>
    <x v="2"/>
  </r>
  <r>
    <s v="E202602023"/>
    <x v="2"/>
    <x v="1"/>
    <x v="0"/>
    <s v="Estatistica"/>
    <n v="12.9"/>
    <n v="72.7"/>
    <x v="1"/>
    <x v="0"/>
  </r>
  <r>
    <s v="E202603024"/>
    <x v="2"/>
    <x v="1"/>
    <x v="2"/>
    <s v="Programacao"/>
    <n v="12.9"/>
    <n v="55.3"/>
    <x v="1"/>
    <x v="0"/>
  </r>
  <r>
    <s v="E202603041"/>
    <x v="2"/>
    <x v="1"/>
    <x v="2"/>
    <s v="Programacao"/>
    <n v="12.9"/>
    <n v="72.400000000000006"/>
    <x v="1"/>
    <x v="0"/>
  </r>
  <r>
    <s v="E202603044"/>
    <x v="2"/>
    <x v="1"/>
    <x v="2"/>
    <s v="Redes"/>
    <n v="12.9"/>
    <n v="87.7"/>
    <x v="1"/>
    <x v="2"/>
  </r>
  <r>
    <s v="E202402035"/>
    <x v="0"/>
    <x v="0"/>
    <x v="0"/>
    <s v="Estatistica"/>
    <n v="13"/>
    <n v="82.1"/>
    <x v="1"/>
    <x v="2"/>
  </r>
  <r>
    <s v="E202402039"/>
    <x v="0"/>
    <x v="0"/>
    <x v="0"/>
    <s v="Estatistica"/>
    <n v="13"/>
    <n v="79.5"/>
    <x v="1"/>
    <x v="2"/>
  </r>
  <r>
    <s v="E202402059"/>
    <x v="0"/>
    <x v="0"/>
    <x v="0"/>
    <s v="Contabilidade"/>
    <n v="13"/>
    <n v="88.1"/>
    <x v="1"/>
    <x v="2"/>
  </r>
  <r>
    <s v="E202403017"/>
    <x v="0"/>
    <x v="0"/>
    <x v="2"/>
    <s v="Bases de Dados"/>
    <n v="13"/>
    <n v="86.8"/>
    <x v="1"/>
    <x v="2"/>
  </r>
  <r>
    <s v="E202401026"/>
    <x v="0"/>
    <x v="1"/>
    <x v="1"/>
    <s v="Sinais"/>
    <n v="13"/>
    <n v="66.3"/>
    <x v="1"/>
    <x v="0"/>
  </r>
  <r>
    <s v="E202401047"/>
    <x v="0"/>
    <x v="1"/>
    <x v="1"/>
    <s v="Redes"/>
    <n v="13"/>
    <n v="93"/>
    <x v="1"/>
    <x v="2"/>
  </r>
  <r>
    <s v="E202402030"/>
    <x v="0"/>
    <x v="1"/>
    <x v="0"/>
    <s v="Marketing"/>
    <n v="13"/>
    <n v="79"/>
    <x v="1"/>
    <x v="2"/>
  </r>
  <r>
    <s v="E202402050"/>
    <x v="0"/>
    <x v="1"/>
    <x v="0"/>
    <s v="Estatistica"/>
    <n v="13"/>
    <n v="84.6"/>
    <x v="1"/>
    <x v="2"/>
  </r>
  <r>
    <s v="E202403025"/>
    <x v="0"/>
    <x v="1"/>
    <x v="2"/>
    <s v="Bases de Dados"/>
    <n v="13"/>
    <n v="80"/>
    <x v="1"/>
    <x v="2"/>
  </r>
  <r>
    <s v="E202403042"/>
    <x v="0"/>
    <x v="1"/>
    <x v="2"/>
    <s v="Bases de Dados"/>
    <n v="13"/>
    <n v="86"/>
    <x v="1"/>
    <x v="2"/>
  </r>
  <r>
    <s v="E202403049"/>
    <x v="0"/>
    <x v="1"/>
    <x v="2"/>
    <s v="Bases de Dados"/>
    <n v="13"/>
    <n v="47.7"/>
    <x v="1"/>
    <x v="1"/>
  </r>
  <r>
    <s v="E202501027"/>
    <x v="1"/>
    <x v="0"/>
    <x v="1"/>
    <s v="Matematica"/>
    <n v="13"/>
    <n v="96.8"/>
    <x v="1"/>
    <x v="2"/>
  </r>
  <r>
    <s v="E202501060"/>
    <x v="1"/>
    <x v="0"/>
    <x v="1"/>
    <s v="Matematica"/>
    <n v="13"/>
    <n v="68.3"/>
    <x v="1"/>
    <x v="0"/>
  </r>
  <r>
    <s v="E202502057"/>
    <x v="1"/>
    <x v="0"/>
    <x v="0"/>
    <s v="Marketing"/>
    <n v="13"/>
    <n v="94.8"/>
    <x v="1"/>
    <x v="2"/>
  </r>
  <r>
    <s v="E202503024"/>
    <x v="1"/>
    <x v="0"/>
    <x v="2"/>
    <s v="Programacao"/>
    <n v="13"/>
    <n v="82.1"/>
    <x v="1"/>
    <x v="2"/>
  </r>
  <r>
    <s v="E202503057"/>
    <x v="1"/>
    <x v="0"/>
    <x v="2"/>
    <s v="Programacao"/>
    <n v="13"/>
    <n v="85.9"/>
    <x v="1"/>
    <x v="2"/>
  </r>
  <r>
    <s v="E202501018"/>
    <x v="1"/>
    <x v="1"/>
    <x v="1"/>
    <s v="Sinais"/>
    <n v="13"/>
    <n v="65.3"/>
    <x v="1"/>
    <x v="0"/>
  </r>
  <r>
    <s v="E202501056"/>
    <x v="1"/>
    <x v="1"/>
    <x v="1"/>
    <s v="Redes"/>
    <n v="13"/>
    <n v="97"/>
    <x v="1"/>
    <x v="2"/>
  </r>
  <r>
    <s v="E202501057"/>
    <x v="1"/>
    <x v="1"/>
    <x v="1"/>
    <s v="Redes"/>
    <n v="13"/>
    <n v="66.5"/>
    <x v="1"/>
    <x v="0"/>
  </r>
  <r>
    <s v="E202502014"/>
    <x v="1"/>
    <x v="1"/>
    <x v="0"/>
    <s v="Estatistica"/>
    <n v="13"/>
    <n v="86.4"/>
    <x v="1"/>
    <x v="2"/>
  </r>
  <r>
    <s v="E202601028"/>
    <x v="2"/>
    <x v="0"/>
    <x v="1"/>
    <s v="Sinais"/>
    <n v="13"/>
    <n v="88"/>
    <x v="1"/>
    <x v="2"/>
  </r>
  <r>
    <s v="E202602028"/>
    <x v="2"/>
    <x v="0"/>
    <x v="0"/>
    <s v="Estatistica"/>
    <n v="13"/>
    <n v="88.1"/>
    <x v="1"/>
    <x v="2"/>
  </r>
  <r>
    <s v="E202602029"/>
    <x v="2"/>
    <x v="0"/>
    <x v="0"/>
    <s v="Contabilidade"/>
    <n v="13"/>
    <n v="84.6"/>
    <x v="1"/>
    <x v="2"/>
  </r>
  <r>
    <s v="E202602040"/>
    <x v="2"/>
    <x v="0"/>
    <x v="0"/>
    <s v="Marketing"/>
    <n v="13"/>
    <n v="84"/>
    <x v="1"/>
    <x v="2"/>
  </r>
  <r>
    <s v="E202602041"/>
    <x v="2"/>
    <x v="0"/>
    <x v="0"/>
    <s v="Marketing"/>
    <n v="13"/>
    <n v="48.6"/>
    <x v="1"/>
    <x v="1"/>
  </r>
  <r>
    <s v="E202603018"/>
    <x v="2"/>
    <x v="0"/>
    <x v="2"/>
    <s v="Bases de Dados"/>
    <n v="13"/>
    <n v="89.3"/>
    <x v="1"/>
    <x v="2"/>
  </r>
  <r>
    <s v="E202603039"/>
    <x v="2"/>
    <x v="0"/>
    <x v="2"/>
    <s v="Programacao"/>
    <n v="13"/>
    <n v="46.8"/>
    <x v="1"/>
    <x v="1"/>
  </r>
  <r>
    <s v="E202603040"/>
    <x v="2"/>
    <x v="0"/>
    <x v="2"/>
    <s v="Programacao"/>
    <n v="13"/>
    <n v="91.5"/>
    <x v="1"/>
    <x v="2"/>
  </r>
  <r>
    <s v="E202601014"/>
    <x v="2"/>
    <x v="1"/>
    <x v="1"/>
    <s v="Matematica"/>
    <n v="13"/>
    <n v="57.9"/>
    <x v="1"/>
    <x v="0"/>
  </r>
  <r>
    <s v="E202601060"/>
    <x v="2"/>
    <x v="1"/>
    <x v="1"/>
    <s v="Redes"/>
    <n v="13"/>
    <n v="62.3"/>
    <x v="1"/>
    <x v="0"/>
  </r>
  <r>
    <s v="E202602045"/>
    <x v="2"/>
    <x v="1"/>
    <x v="0"/>
    <s v="Marketing"/>
    <n v="13"/>
    <n v="93.1"/>
    <x v="1"/>
    <x v="2"/>
  </r>
  <r>
    <s v="E202603011"/>
    <x v="2"/>
    <x v="1"/>
    <x v="2"/>
    <s v="Programacao"/>
    <n v="13"/>
    <n v="67.400000000000006"/>
    <x v="1"/>
    <x v="0"/>
  </r>
  <r>
    <s v="E202603059"/>
    <x v="2"/>
    <x v="1"/>
    <x v="2"/>
    <s v="Bases de Dados"/>
    <n v="13"/>
    <n v="77.099999999999994"/>
    <x v="1"/>
    <x v="2"/>
  </r>
  <r>
    <s v="E202402001"/>
    <x v="0"/>
    <x v="0"/>
    <x v="0"/>
    <s v="Estatistica"/>
    <n v="13.1"/>
    <n v="99.2"/>
    <x v="1"/>
    <x v="2"/>
  </r>
  <r>
    <s v="E202402027"/>
    <x v="0"/>
    <x v="0"/>
    <x v="0"/>
    <s v="Marketing"/>
    <n v="13.1"/>
    <n v="76.099999999999994"/>
    <x v="1"/>
    <x v="2"/>
  </r>
  <r>
    <s v="E202402041"/>
    <x v="0"/>
    <x v="0"/>
    <x v="0"/>
    <s v="Marketing"/>
    <n v="13.1"/>
    <n v="91.4"/>
    <x v="1"/>
    <x v="2"/>
  </r>
  <r>
    <s v="E202402045"/>
    <x v="0"/>
    <x v="0"/>
    <x v="0"/>
    <s v="Marketing"/>
    <n v="13.1"/>
    <n v="67.099999999999994"/>
    <x v="1"/>
    <x v="0"/>
  </r>
  <r>
    <s v="E202403041"/>
    <x v="0"/>
    <x v="0"/>
    <x v="2"/>
    <s v="Bases de Dados"/>
    <n v="13.1"/>
    <n v="87.8"/>
    <x v="1"/>
    <x v="2"/>
  </r>
  <r>
    <s v="E202403050"/>
    <x v="0"/>
    <x v="0"/>
    <x v="2"/>
    <s v="Redes"/>
    <n v="13.1"/>
    <n v="54.9"/>
    <x v="1"/>
    <x v="0"/>
  </r>
  <r>
    <s v="E202401002"/>
    <x v="0"/>
    <x v="1"/>
    <x v="1"/>
    <s v="Matematica"/>
    <n v="13.1"/>
    <n v="87.8"/>
    <x v="1"/>
    <x v="2"/>
  </r>
  <r>
    <s v="E202502027"/>
    <x v="1"/>
    <x v="0"/>
    <x v="0"/>
    <s v="Marketing"/>
    <n v="13.1"/>
    <n v="75.3"/>
    <x v="1"/>
    <x v="2"/>
  </r>
  <r>
    <s v="E202502053"/>
    <x v="1"/>
    <x v="0"/>
    <x v="0"/>
    <s v="Marketing"/>
    <n v="13.1"/>
    <n v="78.3"/>
    <x v="1"/>
    <x v="2"/>
  </r>
  <r>
    <s v="E202501050"/>
    <x v="1"/>
    <x v="1"/>
    <x v="1"/>
    <s v="Matematica"/>
    <n v="13.1"/>
    <n v="79.400000000000006"/>
    <x v="1"/>
    <x v="2"/>
  </r>
  <r>
    <s v="E202502031"/>
    <x v="1"/>
    <x v="1"/>
    <x v="0"/>
    <s v="Marketing"/>
    <n v="13.1"/>
    <n v="85"/>
    <x v="1"/>
    <x v="2"/>
  </r>
  <r>
    <s v="E202503050"/>
    <x v="1"/>
    <x v="1"/>
    <x v="2"/>
    <s v="Bases de Dados"/>
    <n v="13.1"/>
    <n v="56.9"/>
    <x v="1"/>
    <x v="0"/>
  </r>
  <r>
    <s v="E202503058"/>
    <x v="1"/>
    <x v="1"/>
    <x v="2"/>
    <s v="Redes"/>
    <n v="13.1"/>
    <n v="67.8"/>
    <x v="1"/>
    <x v="0"/>
  </r>
  <r>
    <s v="E202601011"/>
    <x v="2"/>
    <x v="0"/>
    <x v="1"/>
    <s v="Matematica"/>
    <n v="13.1"/>
    <n v="91.9"/>
    <x v="1"/>
    <x v="2"/>
  </r>
  <r>
    <s v="E202601025"/>
    <x v="2"/>
    <x v="0"/>
    <x v="1"/>
    <s v="Matematica"/>
    <n v="13.1"/>
    <n v="56.2"/>
    <x v="1"/>
    <x v="0"/>
  </r>
  <r>
    <s v="E202601032"/>
    <x v="2"/>
    <x v="0"/>
    <x v="1"/>
    <s v="Sinais"/>
    <n v="13.1"/>
    <n v="89.6"/>
    <x v="1"/>
    <x v="2"/>
  </r>
  <r>
    <s v="E202601053"/>
    <x v="2"/>
    <x v="0"/>
    <x v="1"/>
    <s v="Redes"/>
    <n v="13.1"/>
    <n v="87.8"/>
    <x v="1"/>
    <x v="2"/>
  </r>
  <r>
    <s v="E202602003"/>
    <x v="2"/>
    <x v="0"/>
    <x v="0"/>
    <s v="Estatistica"/>
    <n v="13.1"/>
    <n v="49.9"/>
    <x v="1"/>
    <x v="1"/>
  </r>
  <r>
    <s v="E202602040"/>
    <x v="2"/>
    <x v="0"/>
    <x v="0"/>
    <s v="Contabilidade"/>
    <n v="13.1"/>
    <n v="92.8"/>
    <x v="1"/>
    <x v="2"/>
  </r>
  <r>
    <s v="E202602050"/>
    <x v="2"/>
    <x v="0"/>
    <x v="0"/>
    <s v="Estatistica"/>
    <n v="13.1"/>
    <n v="88.6"/>
    <x v="1"/>
    <x v="2"/>
  </r>
  <r>
    <s v="E202603031"/>
    <x v="2"/>
    <x v="0"/>
    <x v="2"/>
    <s v="Redes"/>
    <n v="13.1"/>
    <n v="65"/>
    <x v="1"/>
    <x v="0"/>
  </r>
  <r>
    <s v="E202603045"/>
    <x v="2"/>
    <x v="0"/>
    <x v="2"/>
    <s v="Programacao"/>
    <n v="13.1"/>
    <n v="85.8"/>
    <x v="1"/>
    <x v="2"/>
  </r>
  <r>
    <s v="E202603049"/>
    <x v="2"/>
    <x v="0"/>
    <x v="2"/>
    <s v="Programacao"/>
    <n v="13.1"/>
    <n v="89.4"/>
    <x v="1"/>
    <x v="2"/>
  </r>
  <r>
    <s v="E202601007"/>
    <x v="2"/>
    <x v="1"/>
    <x v="1"/>
    <s v="Sinais"/>
    <n v="13.1"/>
    <n v="62.1"/>
    <x v="1"/>
    <x v="0"/>
  </r>
  <r>
    <s v="E202603007"/>
    <x v="2"/>
    <x v="1"/>
    <x v="2"/>
    <s v="Programacao"/>
    <n v="13.1"/>
    <n v="88.3"/>
    <x v="1"/>
    <x v="2"/>
  </r>
  <r>
    <s v="E202401015"/>
    <x v="0"/>
    <x v="0"/>
    <x v="1"/>
    <s v="Matematica"/>
    <n v="13.2"/>
    <n v="88.1"/>
    <x v="1"/>
    <x v="2"/>
  </r>
  <r>
    <s v="E202401050"/>
    <x v="0"/>
    <x v="0"/>
    <x v="1"/>
    <s v="Sinais"/>
    <n v="13.2"/>
    <n v="74.8"/>
    <x v="1"/>
    <x v="0"/>
  </r>
  <r>
    <s v="E202401052"/>
    <x v="0"/>
    <x v="0"/>
    <x v="1"/>
    <s v="Sinais"/>
    <n v="13.2"/>
    <n v="78.400000000000006"/>
    <x v="1"/>
    <x v="2"/>
  </r>
  <r>
    <s v="E202402033"/>
    <x v="0"/>
    <x v="0"/>
    <x v="0"/>
    <s v="Contabilidade"/>
    <n v="13.2"/>
    <n v="78.2"/>
    <x v="1"/>
    <x v="2"/>
  </r>
  <r>
    <s v="E202403004"/>
    <x v="0"/>
    <x v="0"/>
    <x v="2"/>
    <s v="Programacao"/>
    <n v="13.2"/>
    <n v="84.3"/>
    <x v="1"/>
    <x v="2"/>
  </r>
  <r>
    <s v="E202403013"/>
    <x v="0"/>
    <x v="0"/>
    <x v="2"/>
    <s v="Bases de Dados"/>
    <n v="13.2"/>
    <n v="45"/>
    <x v="1"/>
    <x v="1"/>
  </r>
  <r>
    <s v="E202401039"/>
    <x v="0"/>
    <x v="1"/>
    <x v="1"/>
    <s v="Redes"/>
    <n v="13.2"/>
    <n v="80.3"/>
    <x v="1"/>
    <x v="2"/>
  </r>
  <r>
    <s v="E202401054"/>
    <x v="0"/>
    <x v="1"/>
    <x v="1"/>
    <s v="Matematica"/>
    <n v="13.2"/>
    <n v="88.9"/>
    <x v="1"/>
    <x v="2"/>
  </r>
  <r>
    <s v="E202402007"/>
    <x v="0"/>
    <x v="1"/>
    <x v="0"/>
    <s v="Contabilidade"/>
    <n v="13.2"/>
    <n v="86.4"/>
    <x v="1"/>
    <x v="2"/>
  </r>
  <r>
    <s v="E202403012"/>
    <x v="0"/>
    <x v="1"/>
    <x v="2"/>
    <s v="Bases de Dados"/>
    <n v="13.2"/>
    <n v="70.099999999999994"/>
    <x v="1"/>
    <x v="0"/>
  </r>
  <r>
    <s v="E202403058"/>
    <x v="0"/>
    <x v="1"/>
    <x v="2"/>
    <s v="Redes"/>
    <n v="13.2"/>
    <n v="86.1"/>
    <x v="1"/>
    <x v="2"/>
  </r>
  <r>
    <s v="E202501002"/>
    <x v="1"/>
    <x v="0"/>
    <x v="1"/>
    <s v="Redes"/>
    <n v="13.2"/>
    <n v="97.5"/>
    <x v="1"/>
    <x v="2"/>
  </r>
  <r>
    <s v="E202503050"/>
    <x v="1"/>
    <x v="0"/>
    <x v="2"/>
    <s v="Programacao"/>
    <n v="13.2"/>
    <n v="93"/>
    <x v="1"/>
    <x v="2"/>
  </r>
  <r>
    <s v="E202501048"/>
    <x v="1"/>
    <x v="1"/>
    <x v="1"/>
    <s v="Matematica"/>
    <n v="13.2"/>
    <n v="79.8"/>
    <x v="1"/>
    <x v="2"/>
  </r>
  <r>
    <s v="E202502010"/>
    <x v="1"/>
    <x v="1"/>
    <x v="0"/>
    <s v="Estatistica"/>
    <n v="13.2"/>
    <n v="92.4"/>
    <x v="1"/>
    <x v="2"/>
  </r>
  <r>
    <s v="E202503008"/>
    <x v="1"/>
    <x v="1"/>
    <x v="2"/>
    <s v="Bases de Dados"/>
    <n v="13.2"/>
    <n v="75.7"/>
    <x v="1"/>
    <x v="2"/>
  </r>
  <r>
    <s v="E202601028"/>
    <x v="2"/>
    <x v="0"/>
    <x v="1"/>
    <s v="Matematica"/>
    <n v="13.2"/>
    <n v="64.099999999999994"/>
    <x v="1"/>
    <x v="0"/>
  </r>
  <r>
    <s v="E202601029"/>
    <x v="2"/>
    <x v="0"/>
    <x v="1"/>
    <s v="Redes"/>
    <n v="13.2"/>
    <n v="77.3"/>
    <x v="1"/>
    <x v="2"/>
  </r>
  <r>
    <s v="E202601058"/>
    <x v="2"/>
    <x v="0"/>
    <x v="1"/>
    <s v="Redes"/>
    <n v="13.2"/>
    <n v="63.3"/>
    <x v="1"/>
    <x v="0"/>
  </r>
  <r>
    <s v="E202603012"/>
    <x v="2"/>
    <x v="0"/>
    <x v="2"/>
    <s v="Redes"/>
    <n v="13.2"/>
    <n v="96.5"/>
    <x v="1"/>
    <x v="2"/>
  </r>
  <r>
    <s v="E202603035"/>
    <x v="2"/>
    <x v="0"/>
    <x v="2"/>
    <s v="Redes"/>
    <n v="13.2"/>
    <n v="79.2"/>
    <x v="1"/>
    <x v="2"/>
  </r>
  <r>
    <s v="E202603049"/>
    <x v="2"/>
    <x v="0"/>
    <x v="2"/>
    <s v="Redes"/>
    <n v="13.2"/>
    <n v="65.599999999999994"/>
    <x v="1"/>
    <x v="0"/>
  </r>
  <r>
    <s v="E202603058"/>
    <x v="2"/>
    <x v="0"/>
    <x v="2"/>
    <s v="Bases de Dados"/>
    <n v="13.2"/>
    <n v="88.9"/>
    <x v="1"/>
    <x v="2"/>
  </r>
  <r>
    <s v="E202602002"/>
    <x v="2"/>
    <x v="1"/>
    <x v="0"/>
    <s v="Marketing"/>
    <n v="13.2"/>
    <n v="68.400000000000006"/>
    <x v="1"/>
    <x v="0"/>
  </r>
  <r>
    <s v="E202602020"/>
    <x v="2"/>
    <x v="1"/>
    <x v="0"/>
    <s v="Marketing"/>
    <n v="13.2"/>
    <n v="91.1"/>
    <x v="1"/>
    <x v="2"/>
  </r>
  <r>
    <s v="E202603003"/>
    <x v="2"/>
    <x v="1"/>
    <x v="2"/>
    <s v="Redes"/>
    <n v="13.2"/>
    <n v="55.3"/>
    <x v="1"/>
    <x v="0"/>
  </r>
  <r>
    <s v="E202603027"/>
    <x v="2"/>
    <x v="1"/>
    <x v="2"/>
    <s v="Redes"/>
    <n v="13.2"/>
    <n v="96.2"/>
    <x v="1"/>
    <x v="2"/>
  </r>
  <r>
    <s v="E202603041"/>
    <x v="2"/>
    <x v="1"/>
    <x v="2"/>
    <s v="Redes"/>
    <n v="13.2"/>
    <n v="69.400000000000006"/>
    <x v="1"/>
    <x v="0"/>
  </r>
  <r>
    <s v="E202603042"/>
    <x v="2"/>
    <x v="1"/>
    <x v="2"/>
    <s v="Redes"/>
    <n v="13.2"/>
    <n v="64.2"/>
    <x v="1"/>
    <x v="0"/>
  </r>
  <r>
    <s v="E202401046"/>
    <x v="0"/>
    <x v="0"/>
    <x v="1"/>
    <s v="Matematica"/>
    <n v="13.3"/>
    <n v="88.9"/>
    <x v="1"/>
    <x v="2"/>
  </r>
  <r>
    <s v="E202403041"/>
    <x v="0"/>
    <x v="0"/>
    <x v="2"/>
    <s v="Redes"/>
    <n v="13.3"/>
    <n v="56.5"/>
    <x v="1"/>
    <x v="0"/>
  </r>
  <r>
    <s v="E202401012"/>
    <x v="0"/>
    <x v="1"/>
    <x v="1"/>
    <s v="Sinais"/>
    <n v="13.3"/>
    <n v="99.8"/>
    <x v="1"/>
    <x v="2"/>
  </r>
  <r>
    <s v="E202402001"/>
    <x v="0"/>
    <x v="1"/>
    <x v="0"/>
    <s v="Contabilidade"/>
    <n v="13.3"/>
    <n v="72.2"/>
    <x v="1"/>
    <x v="0"/>
  </r>
  <r>
    <s v="E202402025"/>
    <x v="0"/>
    <x v="1"/>
    <x v="0"/>
    <s v="Marketing"/>
    <n v="13.3"/>
    <n v="60.5"/>
    <x v="1"/>
    <x v="0"/>
  </r>
  <r>
    <s v="E202403039"/>
    <x v="0"/>
    <x v="1"/>
    <x v="2"/>
    <s v="Bases de Dados"/>
    <n v="13.3"/>
    <n v="67.8"/>
    <x v="1"/>
    <x v="0"/>
  </r>
  <r>
    <s v="E202501038"/>
    <x v="1"/>
    <x v="0"/>
    <x v="1"/>
    <s v="Sinais"/>
    <n v="13.3"/>
    <n v="82.4"/>
    <x v="1"/>
    <x v="2"/>
  </r>
  <r>
    <s v="E202502020"/>
    <x v="1"/>
    <x v="0"/>
    <x v="0"/>
    <s v="Marketing"/>
    <n v="13.3"/>
    <n v="93.3"/>
    <x v="1"/>
    <x v="2"/>
  </r>
  <r>
    <s v="E202503025"/>
    <x v="1"/>
    <x v="0"/>
    <x v="2"/>
    <s v="Bases de Dados"/>
    <n v="13.3"/>
    <n v="76.900000000000006"/>
    <x v="1"/>
    <x v="2"/>
  </r>
  <r>
    <s v="E202503057"/>
    <x v="1"/>
    <x v="0"/>
    <x v="2"/>
    <s v="Bases de Dados"/>
    <n v="13.3"/>
    <n v="85.9"/>
    <x v="1"/>
    <x v="2"/>
  </r>
  <r>
    <s v="E202502019"/>
    <x v="1"/>
    <x v="1"/>
    <x v="0"/>
    <s v="Contabilidade"/>
    <n v="13.3"/>
    <n v="86.7"/>
    <x v="1"/>
    <x v="2"/>
  </r>
  <r>
    <s v="E202502046"/>
    <x v="1"/>
    <x v="1"/>
    <x v="0"/>
    <s v="Contabilidade"/>
    <n v="13.3"/>
    <n v="53.1"/>
    <x v="1"/>
    <x v="0"/>
  </r>
  <r>
    <s v="E202503011"/>
    <x v="1"/>
    <x v="1"/>
    <x v="2"/>
    <s v="Bases de Dados"/>
    <n v="13.3"/>
    <n v="94.8"/>
    <x v="1"/>
    <x v="2"/>
  </r>
  <r>
    <s v="E202503045"/>
    <x v="1"/>
    <x v="1"/>
    <x v="2"/>
    <s v="Bases de Dados"/>
    <n v="13.3"/>
    <n v="96.8"/>
    <x v="1"/>
    <x v="2"/>
  </r>
  <r>
    <s v="E202601010"/>
    <x v="2"/>
    <x v="0"/>
    <x v="1"/>
    <s v="Matematica"/>
    <n v="13.3"/>
    <n v="76.400000000000006"/>
    <x v="1"/>
    <x v="2"/>
  </r>
  <r>
    <s v="E202601042"/>
    <x v="2"/>
    <x v="0"/>
    <x v="1"/>
    <s v="Matematica"/>
    <n v="13.3"/>
    <n v="92.9"/>
    <x v="1"/>
    <x v="2"/>
  </r>
  <r>
    <s v="E202602015"/>
    <x v="2"/>
    <x v="0"/>
    <x v="0"/>
    <s v="Marketing"/>
    <n v="13.3"/>
    <n v="81.400000000000006"/>
    <x v="1"/>
    <x v="2"/>
  </r>
  <r>
    <s v="E202603004"/>
    <x v="2"/>
    <x v="0"/>
    <x v="2"/>
    <s v="Bases de Dados"/>
    <n v="13.3"/>
    <n v="89.6"/>
    <x v="1"/>
    <x v="2"/>
  </r>
  <r>
    <s v="E202602053"/>
    <x v="2"/>
    <x v="1"/>
    <x v="0"/>
    <s v="Estatistica"/>
    <n v="13.3"/>
    <n v="94.9"/>
    <x v="1"/>
    <x v="2"/>
  </r>
  <r>
    <s v="E202603009"/>
    <x v="2"/>
    <x v="1"/>
    <x v="2"/>
    <s v="Redes"/>
    <n v="13.3"/>
    <n v="97.6"/>
    <x v="1"/>
    <x v="2"/>
  </r>
  <r>
    <s v="E202603046"/>
    <x v="2"/>
    <x v="1"/>
    <x v="2"/>
    <s v="Bases de Dados"/>
    <n v="13.3"/>
    <n v="96.9"/>
    <x v="1"/>
    <x v="2"/>
  </r>
  <r>
    <s v="E202401029"/>
    <x v="0"/>
    <x v="0"/>
    <x v="1"/>
    <s v="Redes"/>
    <n v="13.4"/>
    <n v="60.1"/>
    <x v="1"/>
    <x v="0"/>
  </r>
  <r>
    <s v="E202401042"/>
    <x v="0"/>
    <x v="0"/>
    <x v="1"/>
    <s v="Matematica"/>
    <n v="13.4"/>
    <n v="87.3"/>
    <x v="1"/>
    <x v="2"/>
  </r>
  <r>
    <s v="E202401057"/>
    <x v="0"/>
    <x v="0"/>
    <x v="1"/>
    <s v="Sinais"/>
    <n v="13.4"/>
    <n v="99.6"/>
    <x v="1"/>
    <x v="2"/>
  </r>
  <r>
    <s v="E202402001"/>
    <x v="0"/>
    <x v="0"/>
    <x v="0"/>
    <s v="Contabilidade"/>
    <n v="13.4"/>
    <n v="57.6"/>
    <x v="1"/>
    <x v="0"/>
  </r>
  <r>
    <s v="E202402028"/>
    <x v="0"/>
    <x v="0"/>
    <x v="0"/>
    <s v="Marketing"/>
    <n v="13.4"/>
    <n v="82.4"/>
    <x v="1"/>
    <x v="2"/>
  </r>
  <r>
    <s v="E202403023"/>
    <x v="0"/>
    <x v="0"/>
    <x v="2"/>
    <s v="Redes"/>
    <n v="13.4"/>
    <n v="88.6"/>
    <x v="1"/>
    <x v="2"/>
  </r>
  <r>
    <s v="E202403060"/>
    <x v="0"/>
    <x v="0"/>
    <x v="2"/>
    <s v="Programacao"/>
    <n v="13.4"/>
    <n v="82.7"/>
    <x v="1"/>
    <x v="2"/>
  </r>
  <r>
    <s v="E202401023"/>
    <x v="0"/>
    <x v="1"/>
    <x v="1"/>
    <s v="Redes"/>
    <n v="13.4"/>
    <n v="49.6"/>
    <x v="1"/>
    <x v="1"/>
  </r>
  <r>
    <s v="E202401041"/>
    <x v="0"/>
    <x v="1"/>
    <x v="1"/>
    <s v="Matematica"/>
    <n v="13.4"/>
    <n v="74.900000000000006"/>
    <x v="1"/>
    <x v="0"/>
  </r>
  <r>
    <s v="E202401042"/>
    <x v="0"/>
    <x v="1"/>
    <x v="1"/>
    <s v="Matematica"/>
    <n v="13.4"/>
    <n v="64.900000000000006"/>
    <x v="1"/>
    <x v="0"/>
  </r>
  <r>
    <s v="E202402036"/>
    <x v="0"/>
    <x v="1"/>
    <x v="0"/>
    <s v="Contabilidade"/>
    <n v="13.4"/>
    <n v="91.3"/>
    <x v="1"/>
    <x v="2"/>
  </r>
  <r>
    <s v="E202403047"/>
    <x v="0"/>
    <x v="1"/>
    <x v="2"/>
    <s v="Redes"/>
    <n v="13.4"/>
    <n v="63.6"/>
    <x v="1"/>
    <x v="0"/>
  </r>
  <r>
    <s v="E202501020"/>
    <x v="1"/>
    <x v="0"/>
    <x v="1"/>
    <s v="Redes"/>
    <n v="13.4"/>
    <n v="60.3"/>
    <x v="1"/>
    <x v="0"/>
  </r>
  <r>
    <s v="E202502023"/>
    <x v="1"/>
    <x v="0"/>
    <x v="0"/>
    <s v="Estatistica"/>
    <n v="13.4"/>
    <n v="85.1"/>
    <x v="1"/>
    <x v="2"/>
  </r>
  <r>
    <s v="E202502037"/>
    <x v="1"/>
    <x v="0"/>
    <x v="0"/>
    <s v="Contabilidade"/>
    <n v="13.4"/>
    <n v="46.7"/>
    <x v="1"/>
    <x v="1"/>
  </r>
  <r>
    <s v="E202503008"/>
    <x v="1"/>
    <x v="0"/>
    <x v="2"/>
    <s v="Bases de Dados"/>
    <n v="13.4"/>
    <n v="47.5"/>
    <x v="1"/>
    <x v="1"/>
  </r>
  <r>
    <s v="E202503029"/>
    <x v="1"/>
    <x v="0"/>
    <x v="2"/>
    <s v="Bases de Dados"/>
    <n v="13.4"/>
    <n v="59.3"/>
    <x v="1"/>
    <x v="0"/>
  </r>
  <r>
    <s v="E202503053"/>
    <x v="1"/>
    <x v="0"/>
    <x v="2"/>
    <s v="Bases de Dados"/>
    <n v="13.4"/>
    <n v="76.7"/>
    <x v="1"/>
    <x v="2"/>
  </r>
  <r>
    <s v="E202503059"/>
    <x v="1"/>
    <x v="0"/>
    <x v="2"/>
    <s v="Programacao"/>
    <n v="13.4"/>
    <n v="89.2"/>
    <x v="1"/>
    <x v="2"/>
  </r>
  <r>
    <s v="E202501029"/>
    <x v="1"/>
    <x v="1"/>
    <x v="1"/>
    <s v="Matematica"/>
    <n v="13.4"/>
    <n v="90.4"/>
    <x v="1"/>
    <x v="2"/>
  </r>
  <r>
    <s v="E202501054"/>
    <x v="1"/>
    <x v="1"/>
    <x v="1"/>
    <s v="Redes"/>
    <n v="13.4"/>
    <n v="71"/>
    <x v="1"/>
    <x v="0"/>
  </r>
  <r>
    <s v="E202502026"/>
    <x v="1"/>
    <x v="1"/>
    <x v="0"/>
    <s v="Contabilidade"/>
    <n v="13.4"/>
    <n v="100"/>
    <x v="1"/>
    <x v="2"/>
  </r>
  <r>
    <s v="E202502037"/>
    <x v="1"/>
    <x v="1"/>
    <x v="0"/>
    <s v="Estatistica"/>
    <n v="13.4"/>
    <n v="96.8"/>
    <x v="1"/>
    <x v="2"/>
  </r>
  <r>
    <s v="E202502056"/>
    <x v="1"/>
    <x v="1"/>
    <x v="0"/>
    <s v="Marketing"/>
    <n v="13.4"/>
    <n v="93.6"/>
    <x v="1"/>
    <x v="2"/>
  </r>
  <r>
    <s v="E202503028"/>
    <x v="1"/>
    <x v="1"/>
    <x v="2"/>
    <s v="Bases de Dados"/>
    <n v="13.4"/>
    <n v="57.2"/>
    <x v="1"/>
    <x v="0"/>
  </r>
  <r>
    <s v="E202503046"/>
    <x v="1"/>
    <x v="1"/>
    <x v="2"/>
    <s v="Bases de Dados"/>
    <n v="13.4"/>
    <n v="70.2"/>
    <x v="1"/>
    <x v="0"/>
  </r>
  <r>
    <s v="E202503049"/>
    <x v="1"/>
    <x v="1"/>
    <x v="2"/>
    <s v="Redes"/>
    <n v="13.4"/>
    <n v="95.2"/>
    <x v="1"/>
    <x v="2"/>
  </r>
  <r>
    <s v="E202601024"/>
    <x v="2"/>
    <x v="0"/>
    <x v="1"/>
    <s v="Redes"/>
    <n v="13.4"/>
    <n v="93.9"/>
    <x v="1"/>
    <x v="2"/>
  </r>
  <r>
    <s v="E202601029"/>
    <x v="2"/>
    <x v="0"/>
    <x v="1"/>
    <s v="Sinais"/>
    <n v="13.4"/>
    <n v="96.9"/>
    <x v="1"/>
    <x v="2"/>
  </r>
  <r>
    <s v="E202601043"/>
    <x v="2"/>
    <x v="0"/>
    <x v="1"/>
    <s v="Sinais"/>
    <n v="13.4"/>
    <n v="50.1"/>
    <x v="1"/>
    <x v="0"/>
  </r>
  <r>
    <s v="E202601049"/>
    <x v="2"/>
    <x v="0"/>
    <x v="1"/>
    <s v="Redes"/>
    <n v="13.4"/>
    <n v="74.2"/>
    <x v="1"/>
    <x v="0"/>
  </r>
  <r>
    <s v="E202602025"/>
    <x v="2"/>
    <x v="0"/>
    <x v="0"/>
    <s v="Estatistica"/>
    <n v="13.4"/>
    <n v="88.8"/>
    <x v="1"/>
    <x v="2"/>
  </r>
  <r>
    <s v="E202603010"/>
    <x v="2"/>
    <x v="0"/>
    <x v="2"/>
    <s v="Bases de Dados"/>
    <n v="13.4"/>
    <n v="89.2"/>
    <x v="1"/>
    <x v="2"/>
  </r>
  <r>
    <s v="E202603015"/>
    <x v="2"/>
    <x v="0"/>
    <x v="2"/>
    <s v="Programacao"/>
    <n v="13.4"/>
    <n v="49.4"/>
    <x v="1"/>
    <x v="1"/>
  </r>
  <r>
    <s v="E202603031"/>
    <x v="2"/>
    <x v="0"/>
    <x v="2"/>
    <s v="Bases de Dados"/>
    <n v="13.4"/>
    <n v="65"/>
    <x v="1"/>
    <x v="0"/>
  </r>
  <r>
    <s v="E202601011"/>
    <x v="2"/>
    <x v="1"/>
    <x v="1"/>
    <s v="Redes"/>
    <n v="13.4"/>
    <n v="79.2"/>
    <x v="1"/>
    <x v="2"/>
  </r>
  <r>
    <s v="E202601028"/>
    <x v="2"/>
    <x v="1"/>
    <x v="1"/>
    <s v="Sinais"/>
    <n v="13.4"/>
    <n v="88.4"/>
    <x v="1"/>
    <x v="2"/>
  </r>
  <r>
    <s v="E202602014"/>
    <x v="2"/>
    <x v="1"/>
    <x v="0"/>
    <s v="Marketing"/>
    <n v="13.4"/>
    <n v="83.5"/>
    <x v="1"/>
    <x v="2"/>
  </r>
  <r>
    <s v="E202602054"/>
    <x v="2"/>
    <x v="1"/>
    <x v="0"/>
    <s v="Contabilidade"/>
    <n v="13.4"/>
    <n v="90.1"/>
    <x v="1"/>
    <x v="2"/>
  </r>
  <r>
    <s v="E202402009"/>
    <x v="0"/>
    <x v="0"/>
    <x v="0"/>
    <s v="Marketing"/>
    <n v="13.5"/>
    <n v="87.7"/>
    <x v="1"/>
    <x v="2"/>
  </r>
  <r>
    <s v="E202402046"/>
    <x v="0"/>
    <x v="0"/>
    <x v="0"/>
    <s v="Estatistica"/>
    <n v="13.5"/>
    <n v="55.2"/>
    <x v="1"/>
    <x v="0"/>
  </r>
  <r>
    <s v="E202403047"/>
    <x v="0"/>
    <x v="0"/>
    <x v="2"/>
    <s v="Redes"/>
    <n v="13.5"/>
    <n v="99.5"/>
    <x v="1"/>
    <x v="2"/>
  </r>
  <r>
    <s v="E202401045"/>
    <x v="0"/>
    <x v="1"/>
    <x v="1"/>
    <s v="Redes"/>
    <n v="13.5"/>
    <n v="95"/>
    <x v="1"/>
    <x v="2"/>
  </r>
  <r>
    <s v="E202403017"/>
    <x v="0"/>
    <x v="1"/>
    <x v="2"/>
    <s v="Bases de Dados"/>
    <n v="13.5"/>
    <n v="90.9"/>
    <x v="1"/>
    <x v="2"/>
  </r>
  <r>
    <s v="E202403045"/>
    <x v="0"/>
    <x v="1"/>
    <x v="2"/>
    <s v="Programacao"/>
    <n v="13.5"/>
    <n v="74"/>
    <x v="1"/>
    <x v="0"/>
  </r>
  <r>
    <s v="E202501009"/>
    <x v="1"/>
    <x v="0"/>
    <x v="1"/>
    <s v="Sinais"/>
    <n v="13.5"/>
    <n v="91.3"/>
    <x v="1"/>
    <x v="2"/>
  </r>
  <r>
    <s v="E202501015"/>
    <x v="1"/>
    <x v="0"/>
    <x v="1"/>
    <s v="Redes"/>
    <n v="13.5"/>
    <n v="78.599999999999994"/>
    <x v="1"/>
    <x v="2"/>
  </r>
  <r>
    <s v="E202502022"/>
    <x v="1"/>
    <x v="0"/>
    <x v="0"/>
    <s v="Marketing"/>
    <n v="13.5"/>
    <n v="98.2"/>
    <x v="1"/>
    <x v="2"/>
  </r>
  <r>
    <s v="E202502053"/>
    <x v="1"/>
    <x v="0"/>
    <x v="0"/>
    <s v="Contabilidade"/>
    <n v="13.5"/>
    <n v="50.2"/>
    <x v="1"/>
    <x v="0"/>
  </r>
  <r>
    <s v="E202502059"/>
    <x v="1"/>
    <x v="0"/>
    <x v="0"/>
    <s v="Marketing"/>
    <n v="13.5"/>
    <n v="88.1"/>
    <x v="1"/>
    <x v="2"/>
  </r>
  <r>
    <s v="E202503049"/>
    <x v="1"/>
    <x v="0"/>
    <x v="2"/>
    <s v="Redes"/>
    <n v="13.5"/>
    <n v="75.2"/>
    <x v="1"/>
    <x v="2"/>
  </r>
  <r>
    <s v="E202502040"/>
    <x v="1"/>
    <x v="1"/>
    <x v="0"/>
    <s v="Contabilidade"/>
    <n v="13.5"/>
    <n v="72.099999999999994"/>
    <x v="1"/>
    <x v="0"/>
  </r>
  <r>
    <s v="E202502054"/>
    <x v="1"/>
    <x v="1"/>
    <x v="0"/>
    <s v="Estatistica"/>
    <n v="13.5"/>
    <n v="91.3"/>
    <x v="1"/>
    <x v="2"/>
  </r>
  <r>
    <s v="E202602026"/>
    <x v="2"/>
    <x v="0"/>
    <x v="0"/>
    <s v="Contabilidade"/>
    <n v="13.5"/>
    <n v="52.6"/>
    <x v="1"/>
    <x v="0"/>
  </r>
  <r>
    <s v="E202603011"/>
    <x v="2"/>
    <x v="0"/>
    <x v="2"/>
    <s v="Bases de Dados"/>
    <n v="13.5"/>
    <n v="82.5"/>
    <x v="1"/>
    <x v="2"/>
  </r>
  <r>
    <s v="E202601017"/>
    <x v="2"/>
    <x v="1"/>
    <x v="1"/>
    <s v="Sinais"/>
    <n v="13.5"/>
    <n v="86.8"/>
    <x v="1"/>
    <x v="2"/>
  </r>
  <r>
    <s v="E202602040"/>
    <x v="2"/>
    <x v="1"/>
    <x v="0"/>
    <s v="Marketing"/>
    <n v="13.5"/>
    <n v="73"/>
    <x v="1"/>
    <x v="0"/>
  </r>
  <r>
    <s v="E202401008"/>
    <x v="0"/>
    <x v="0"/>
    <x v="1"/>
    <s v="Sinais"/>
    <n v="13.6"/>
    <n v="81"/>
    <x v="1"/>
    <x v="2"/>
  </r>
  <r>
    <s v="E202401043"/>
    <x v="0"/>
    <x v="0"/>
    <x v="1"/>
    <s v="Redes"/>
    <n v="13.6"/>
    <n v="62.4"/>
    <x v="1"/>
    <x v="0"/>
  </r>
  <r>
    <s v="E202402034"/>
    <x v="0"/>
    <x v="0"/>
    <x v="0"/>
    <s v="Marketing"/>
    <n v="13.6"/>
    <n v="87.7"/>
    <x v="1"/>
    <x v="2"/>
  </r>
  <r>
    <s v="E202403059"/>
    <x v="0"/>
    <x v="0"/>
    <x v="2"/>
    <s v="Redes"/>
    <n v="13.6"/>
    <n v="92.6"/>
    <x v="1"/>
    <x v="2"/>
  </r>
  <r>
    <s v="E202401030"/>
    <x v="0"/>
    <x v="1"/>
    <x v="1"/>
    <s v="Sinais"/>
    <n v="13.6"/>
    <n v="78.8"/>
    <x v="1"/>
    <x v="2"/>
  </r>
  <r>
    <s v="E202401046"/>
    <x v="0"/>
    <x v="1"/>
    <x v="1"/>
    <s v="Sinais"/>
    <n v="13.6"/>
    <n v="74.099999999999994"/>
    <x v="1"/>
    <x v="0"/>
  </r>
  <r>
    <s v="E202401060"/>
    <x v="0"/>
    <x v="1"/>
    <x v="1"/>
    <s v="Redes"/>
    <n v="13.6"/>
    <n v="79.599999999999994"/>
    <x v="1"/>
    <x v="2"/>
  </r>
  <r>
    <s v="E202403013"/>
    <x v="0"/>
    <x v="1"/>
    <x v="2"/>
    <s v="Programacao"/>
    <n v="13.6"/>
    <n v="96.7"/>
    <x v="1"/>
    <x v="2"/>
  </r>
  <r>
    <s v="E202403044"/>
    <x v="0"/>
    <x v="1"/>
    <x v="2"/>
    <s v="Redes"/>
    <n v="13.6"/>
    <n v="93.3"/>
    <x v="1"/>
    <x v="2"/>
  </r>
  <r>
    <s v="E202501042"/>
    <x v="1"/>
    <x v="0"/>
    <x v="1"/>
    <s v="Sinais"/>
    <n v="13.6"/>
    <n v="86.7"/>
    <x v="1"/>
    <x v="2"/>
  </r>
  <r>
    <s v="E202502009"/>
    <x v="1"/>
    <x v="0"/>
    <x v="0"/>
    <s v="Estatistica"/>
    <n v="13.6"/>
    <n v="90.7"/>
    <x v="1"/>
    <x v="2"/>
  </r>
  <r>
    <s v="E202503022"/>
    <x v="1"/>
    <x v="0"/>
    <x v="2"/>
    <s v="Redes"/>
    <n v="13.6"/>
    <n v="74.3"/>
    <x v="1"/>
    <x v="0"/>
  </r>
  <r>
    <s v="E202501011"/>
    <x v="1"/>
    <x v="1"/>
    <x v="1"/>
    <s v="Sinais"/>
    <n v="13.6"/>
    <n v="95.8"/>
    <x v="1"/>
    <x v="2"/>
  </r>
  <r>
    <s v="E202501040"/>
    <x v="1"/>
    <x v="1"/>
    <x v="1"/>
    <s v="Matematica"/>
    <n v="13.6"/>
    <n v="97"/>
    <x v="1"/>
    <x v="2"/>
  </r>
  <r>
    <s v="E202502003"/>
    <x v="1"/>
    <x v="1"/>
    <x v="0"/>
    <s v="Estatistica"/>
    <n v="13.6"/>
    <n v="75.2"/>
    <x v="1"/>
    <x v="2"/>
  </r>
  <r>
    <s v="E202502017"/>
    <x v="1"/>
    <x v="1"/>
    <x v="0"/>
    <s v="Marketing"/>
    <n v="13.6"/>
    <n v="71.7"/>
    <x v="1"/>
    <x v="0"/>
  </r>
  <r>
    <s v="E202503039"/>
    <x v="1"/>
    <x v="1"/>
    <x v="2"/>
    <s v="Bases de Dados"/>
    <n v="13.6"/>
    <n v="95.8"/>
    <x v="1"/>
    <x v="2"/>
  </r>
  <r>
    <s v="E202602019"/>
    <x v="2"/>
    <x v="0"/>
    <x v="0"/>
    <s v="Marketing"/>
    <n v="13.6"/>
    <n v="79.8"/>
    <x v="1"/>
    <x v="2"/>
  </r>
  <r>
    <s v="E202601046"/>
    <x v="2"/>
    <x v="1"/>
    <x v="1"/>
    <s v="Sinais"/>
    <n v="13.6"/>
    <n v="85.3"/>
    <x v="1"/>
    <x v="2"/>
  </r>
  <r>
    <s v="E202602014"/>
    <x v="2"/>
    <x v="1"/>
    <x v="0"/>
    <s v="Contabilidade"/>
    <n v="13.6"/>
    <n v="82.5"/>
    <x v="1"/>
    <x v="2"/>
  </r>
  <r>
    <s v="E202602048"/>
    <x v="2"/>
    <x v="1"/>
    <x v="0"/>
    <s v="Marketing"/>
    <n v="13.6"/>
    <n v="99.7"/>
    <x v="1"/>
    <x v="2"/>
  </r>
  <r>
    <s v="E202603011"/>
    <x v="2"/>
    <x v="1"/>
    <x v="2"/>
    <s v="Redes"/>
    <n v="13.6"/>
    <n v="56.7"/>
    <x v="1"/>
    <x v="0"/>
  </r>
  <r>
    <s v="E202603031"/>
    <x v="2"/>
    <x v="1"/>
    <x v="2"/>
    <s v="Programacao"/>
    <n v="13.6"/>
    <n v="78.2"/>
    <x v="1"/>
    <x v="2"/>
  </r>
  <r>
    <s v="E202402031"/>
    <x v="0"/>
    <x v="0"/>
    <x v="0"/>
    <s v="Marketing"/>
    <n v="13.7"/>
    <n v="81.099999999999994"/>
    <x v="1"/>
    <x v="2"/>
  </r>
  <r>
    <s v="E202402032"/>
    <x v="0"/>
    <x v="0"/>
    <x v="0"/>
    <s v="Contabilidade"/>
    <n v="13.7"/>
    <n v="95.6"/>
    <x v="1"/>
    <x v="2"/>
  </r>
  <r>
    <s v="E202403001"/>
    <x v="0"/>
    <x v="0"/>
    <x v="2"/>
    <s v="Bases de Dados"/>
    <n v="13.7"/>
    <n v="98.7"/>
    <x v="1"/>
    <x v="2"/>
  </r>
  <r>
    <s v="E202403006"/>
    <x v="0"/>
    <x v="0"/>
    <x v="2"/>
    <s v="Bases de Dados"/>
    <n v="13.7"/>
    <n v="70.400000000000006"/>
    <x v="1"/>
    <x v="0"/>
  </r>
  <r>
    <s v="E202403057"/>
    <x v="0"/>
    <x v="0"/>
    <x v="2"/>
    <s v="Programacao"/>
    <n v="13.7"/>
    <n v="97.6"/>
    <x v="1"/>
    <x v="2"/>
  </r>
  <r>
    <s v="E202402006"/>
    <x v="0"/>
    <x v="1"/>
    <x v="0"/>
    <s v="Estatistica"/>
    <n v="13.7"/>
    <n v="72.5"/>
    <x v="1"/>
    <x v="0"/>
  </r>
  <r>
    <s v="E202402047"/>
    <x v="0"/>
    <x v="1"/>
    <x v="0"/>
    <s v="Contabilidade"/>
    <n v="13.7"/>
    <n v="54.1"/>
    <x v="1"/>
    <x v="0"/>
  </r>
  <r>
    <s v="E202402052"/>
    <x v="0"/>
    <x v="1"/>
    <x v="0"/>
    <s v="Estatistica"/>
    <n v="13.7"/>
    <n v="54"/>
    <x v="1"/>
    <x v="0"/>
  </r>
  <r>
    <s v="E202403009"/>
    <x v="0"/>
    <x v="1"/>
    <x v="2"/>
    <s v="Redes"/>
    <n v="13.7"/>
    <n v="54.4"/>
    <x v="1"/>
    <x v="0"/>
  </r>
  <r>
    <s v="E202403023"/>
    <x v="0"/>
    <x v="1"/>
    <x v="2"/>
    <s v="Redes"/>
    <n v="13.7"/>
    <n v="78.8"/>
    <x v="1"/>
    <x v="2"/>
  </r>
  <r>
    <s v="E202501001"/>
    <x v="1"/>
    <x v="0"/>
    <x v="1"/>
    <s v="Redes"/>
    <n v="13.7"/>
    <n v="87.4"/>
    <x v="1"/>
    <x v="2"/>
  </r>
  <r>
    <s v="E202501007"/>
    <x v="1"/>
    <x v="0"/>
    <x v="1"/>
    <s v="Matematica"/>
    <n v="13.7"/>
    <n v="97.4"/>
    <x v="1"/>
    <x v="2"/>
  </r>
  <r>
    <s v="E202502038"/>
    <x v="1"/>
    <x v="0"/>
    <x v="0"/>
    <s v="Marketing"/>
    <n v="13.7"/>
    <n v="45.2"/>
    <x v="1"/>
    <x v="1"/>
  </r>
  <r>
    <s v="E202502051"/>
    <x v="1"/>
    <x v="0"/>
    <x v="0"/>
    <s v="Estatistica"/>
    <n v="13.7"/>
    <n v="48.2"/>
    <x v="1"/>
    <x v="1"/>
  </r>
  <r>
    <s v="E202503028"/>
    <x v="1"/>
    <x v="0"/>
    <x v="2"/>
    <s v="Bases de Dados"/>
    <n v="13.7"/>
    <n v="87.8"/>
    <x v="1"/>
    <x v="2"/>
  </r>
  <r>
    <s v="E202502031"/>
    <x v="1"/>
    <x v="1"/>
    <x v="0"/>
    <s v="Contabilidade"/>
    <n v="13.7"/>
    <n v="84.2"/>
    <x v="1"/>
    <x v="2"/>
  </r>
  <r>
    <s v="E202503056"/>
    <x v="1"/>
    <x v="1"/>
    <x v="2"/>
    <s v="Bases de Dados"/>
    <n v="13.7"/>
    <n v="82.6"/>
    <x v="1"/>
    <x v="2"/>
  </r>
  <r>
    <s v="E202601005"/>
    <x v="2"/>
    <x v="0"/>
    <x v="1"/>
    <s v="Matematica"/>
    <n v="13.7"/>
    <n v="98.9"/>
    <x v="1"/>
    <x v="2"/>
  </r>
  <r>
    <s v="E202601007"/>
    <x v="2"/>
    <x v="0"/>
    <x v="1"/>
    <s v="Redes"/>
    <n v="13.7"/>
    <n v="96"/>
    <x v="1"/>
    <x v="2"/>
  </r>
  <r>
    <s v="E202601055"/>
    <x v="2"/>
    <x v="0"/>
    <x v="1"/>
    <s v="Redes"/>
    <n v="13.7"/>
    <n v="73.400000000000006"/>
    <x v="1"/>
    <x v="0"/>
  </r>
  <r>
    <s v="E202603001"/>
    <x v="2"/>
    <x v="0"/>
    <x v="2"/>
    <s v="Programacao"/>
    <n v="13.7"/>
    <n v="89.8"/>
    <x v="1"/>
    <x v="2"/>
  </r>
  <r>
    <s v="E202603033"/>
    <x v="2"/>
    <x v="0"/>
    <x v="2"/>
    <s v="Redes"/>
    <n v="13.7"/>
    <n v="51.7"/>
    <x v="1"/>
    <x v="0"/>
  </r>
  <r>
    <s v="E202603044"/>
    <x v="2"/>
    <x v="0"/>
    <x v="2"/>
    <s v="Redes"/>
    <n v="13.7"/>
    <n v="69.8"/>
    <x v="1"/>
    <x v="0"/>
  </r>
  <r>
    <s v="E202601005"/>
    <x v="2"/>
    <x v="1"/>
    <x v="1"/>
    <s v="Matematica"/>
    <n v="13.7"/>
    <n v="79.3"/>
    <x v="1"/>
    <x v="2"/>
  </r>
  <r>
    <s v="E202601018"/>
    <x v="2"/>
    <x v="1"/>
    <x v="1"/>
    <s v="Redes"/>
    <n v="13.7"/>
    <n v="70.8"/>
    <x v="1"/>
    <x v="0"/>
  </r>
  <r>
    <s v="E202601026"/>
    <x v="2"/>
    <x v="1"/>
    <x v="1"/>
    <s v="Sinais"/>
    <n v="13.7"/>
    <n v="94.6"/>
    <x v="1"/>
    <x v="2"/>
  </r>
  <r>
    <s v="E202601039"/>
    <x v="2"/>
    <x v="1"/>
    <x v="1"/>
    <s v="Redes"/>
    <n v="13.7"/>
    <n v="68.2"/>
    <x v="1"/>
    <x v="0"/>
  </r>
  <r>
    <s v="E202601054"/>
    <x v="2"/>
    <x v="1"/>
    <x v="1"/>
    <s v="Sinais"/>
    <n v="13.7"/>
    <n v="74.3"/>
    <x v="1"/>
    <x v="0"/>
  </r>
  <r>
    <s v="E202602035"/>
    <x v="2"/>
    <x v="1"/>
    <x v="0"/>
    <s v="Contabilidade"/>
    <n v="13.7"/>
    <n v="52.5"/>
    <x v="1"/>
    <x v="0"/>
  </r>
  <r>
    <s v="E202602044"/>
    <x v="2"/>
    <x v="1"/>
    <x v="0"/>
    <s v="Marketing"/>
    <n v="13.7"/>
    <n v="88.5"/>
    <x v="1"/>
    <x v="2"/>
  </r>
  <r>
    <s v="E202602060"/>
    <x v="2"/>
    <x v="1"/>
    <x v="0"/>
    <s v="Estatistica"/>
    <n v="13.7"/>
    <n v="58.3"/>
    <x v="1"/>
    <x v="0"/>
  </r>
  <r>
    <s v="E202603027"/>
    <x v="2"/>
    <x v="1"/>
    <x v="2"/>
    <s v="Programacao"/>
    <n v="13.7"/>
    <n v="88.2"/>
    <x v="1"/>
    <x v="2"/>
  </r>
  <r>
    <s v="E202603029"/>
    <x v="2"/>
    <x v="1"/>
    <x v="2"/>
    <s v="Redes"/>
    <n v="13.7"/>
    <n v="54.8"/>
    <x v="1"/>
    <x v="0"/>
  </r>
  <r>
    <s v="E202603039"/>
    <x v="2"/>
    <x v="1"/>
    <x v="2"/>
    <s v="Bases de Dados"/>
    <n v="13.7"/>
    <n v="96.2"/>
    <x v="1"/>
    <x v="2"/>
  </r>
  <r>
    <s v="E202402011"/>
    <x v="0"/>
    <x v="0"/>
    <x v="0"/>
    <s v="Contabilidade"/>
    <n v="13.8"/>
    <n v="68.2"/>
    <x v="1"/>
    <x v="0"/>
  </r>
  <r>
    <s v="E202403016"/>
    <x v="0"/>
    <x v="0"/>
    <x v="2"/>
    <s v="Bases de Dados"/>
    <n v="13.8"/>
    <n v="74.900000000000006"/>
    <x v="1"/>
    <x v="0"/>
  </r>
  <r>
    <s v="E202403046"/>
    <x v="0"/>
    <x v="0"/>
    <x v="2"/>
    <s v="Redes"/>
    <n v="13.8"/>
    <n v="71"/>
    <x v="1"/>
    <x v="0"/>
  </r>
  <r>
    <s v="E202403053"/>
    <x v="0"/>
    <x v="0"/>
    <x v="2"/>
    <s v="Programacao"/>
    <n v="13.8"/>
    <n v="79.5"/>
    <x v="1"/>
    <x v="2"/>
  </r>
  <r>
    <s v="E202403059"/>
    <x v="0"/>
    <x v="0"/>
    <x v="2"/>
    <s v="Bases de Dados"/>
    <n v="13.8"/>
    <n v="79.599999999999994"/>
    <x v="1"/>
    <x v="2"/>
  </r>
  <r>
    <s v="E202401020"/>
    <x v="0"/>
    <x v="1"/>
    <x v="1"/>
    <s v="Redes"/>
    <n v="13.8"/>
    <n v="96.5"/>
    <x v="1"/>
    <x v="2"/>
  </r>
  <r>
    <s v="E202401031"/>
    <x v="0"/>
    <x v="1"/>
    <x v="1"/>
    <s v="Matematica"/>
    <n v="13.8"/>
    <n v="48.3"/>
    <x v="1"/>
    <x v="1"/>
  </r>
  <r>
    <s v="E202401034"/>
    <x v="0"/>
    <x v="1"/>
    <x v="1"/>
    <s v="Sinais"/>
    <n v="13.8"/>
    <n v="50.2"/>
    <x v="1"/>
    <x v="0"/>
  </r>
  <r>
    <s v="E202402010"/>
    <x v="0"/>
    <x v="1"/>
    <x v="0"/>
    <s v="Marketing"/>
    <n v="13.8"/>
    <n v="56.7"/>
    <x v="1"/>
    <x v="0"/>
  </r>
  <r>
    <s v="E202402017"/>
    <x v="0"/>
    <x v="1"/>
    <x v="0"/>
    <s v="Marketing"/>
    <n v="13.8"/>
    <n v="84"/>
    <x v="1"/>
    <x v="2"/>
  </r>
  <r>
    <s v="E202403056"/>
    <x v="0"/>
    <x v="1"/>
    <x v="2"/>
    <s v="Bases de Dados"/>
    <n v="13.8"/>
    <n v="91.8"/>
    <x v="1"/>
    <x v="2"/>
  </r>
  <r>
    <s v="E202501003"/>
    <x v="1"/>
    <x v="0"/>
    <x v="1"/>
    <s v="Matematica"/>
    <n v="13.8"/>
    <n v="90.3"/>
    <x v="1"/>
    <x v="2"/>
  </r>
  <r>
    <s v="E202502048"/>
    <x v="1"/>
    <x v="0"/>
    <x v="0"/>
    <s v="Marketing"/>
    <n v="13.8"/>
    <n v="49.6"/>
    <x v="1"/>
    <x v="1"/>
  </r>
  <r>
    <s v="E202503015"/>
    <x v="1"/>
    <x v="0"/>
    <x v="2"/>
    <s v="Programacao"/>
    <n v="13.8"/>
    <n v="81.400000000000006"/>
    <x v="1"/>
    <x v="2"/>
  </r>
  <r>
    <s v="E202503051"/>
    <x v="1"/>
    <x v="0"/>
    <x v="2"/>
    <s v="Bases de Dados"/>
    <n v="13.8"/>
    <n v="71.5"/>
    <x v="1"/>
    <x v="0"/>
  </r>
  <r>
    <s v="E202502027"/>
    <x v="1"/>
    <x v="1"/>
    <x v="0"/>
    <s v="Contabilidade"/>
    <n v="13.8"/>
    <n v="93.5"/>
    <x v="1"/>
    <x v="2"/>
  </r>
  <r>
    <s v="E202502033"/>
    <x v="1"/>
    <x v="1"/>
    <x v="0"/>
    <s v="Marketing"/>
    <n v="13.8"/>
    <n v="68"/>
    <x v="1"/>
    <x v="0"/>
  </r>
  <r>
    <s v="E202503011"/>
    <x v="1"/>
    <x v="1"/>
    <x v="2"/>
    <s v="Programacao"/>
    <n v="13.8"/>
    <n v="80"/>
    <x v="1"/>
    <x v="2"/>
  </r>
  <r>
    <s v="E202602016"/>
    <x v="2"/>
    <x v="0"/>
    <x v="0"/>
    <s v="Estatistica"/>
    <n v="13.8"/>
    <n v="63.1"/>
    <x v="1"/>
    <x v="0"/>
  </r>
  <r>
    <s v="E202602041"/>
    <x v="2"/>
    <x v="0"/>
    <x v="0"/>
    <s v="Estatistica"/>
    <n v="13.8"/>
    <n v="92"/>
    <x v="1"/>
    <x v="2"/>
  </r>
  <r>
    <s v="E202603009"/>
    <x v="2"/>
    <x v="0"/>
    <x v="2"/>
    <s v="Redes"/>
    <n v="13.8"/>
    <n v="84.7"/>
    <x v="1"/>
    <x v="2"/>
  </r>
  <r>
    <s v="E202603019"/>
    <x v="2"/>
    <x v="0"/>
    <x v="2"/>
    <s v="Redes"/>
    <n v="13.8"/>
    <n v="94.2"/>
    <x v="1"/>
    <x v="2"/>
  </r>
  <r>
    <s v="E202601023"/>
    <x v="2"/>
    <x v="1"/>
    <x v="1"/>
    <s v="Matematica"/>
    <n v="13.8"/>
    <n v="91"/>
    <x v="1"/>
    <x v="2"/>
  </r>
  <r>
    <s v="E202601043"/>
    <x v="2"/>
    <x v="1"/>
    <x v="1"/>
    <s v="Redes"/>
    <n v="13.8"/>
    <n v="66.7"/>
    <x v="1"/>
    <x v="0"/>
  </r>
  <r>
    <s v="E202602011"/>
    <x v="2"/>
    <x v="1"/>
    <x v="0"/>
    <s v="Contabilidade"/>
    <n v="13.8"/>
    <n v="77.099999999999994"/>
    <x v="1"/>
    <x v="2"/>
  </r>
  <r>
    <s v="E202602050"/>
    <x v="2"/>
    <x v="1"/>
    <x v="0"/>
    <s v="Estatistica"/>
    <n v="13.8"/>
    <n v="83.4"/>
    <x v="1"/>
    <x v="2"/>
  </r>
  <r>
    <s v="E202602060"/>
    <x v="2"/>
    <x v="1"/>
    <x v="0"/>
    <s v="Marketing"/>
    <n v="13.8"/>
    <n v="91.8"/>
    <x v="1"/>
    <x v="2"/>
  </r>
  <r>
    <s v="E202603007"/>
    <x v="2"/>
    <x v="1"/>
    <x v="2"/>
    <s v="Redes"/>
    <n v="13.8"/>
    <n v="57.9"/>
    <x v="1"/>
    <x v="0"/>
  </r>
  <r>
    <s v="E202603034"/>
    <x v="2"/>
    <x v="1"/>
    <x v="2"/>
    <s v="Redes"/>
    <n v="13.8"/>
    <n v="85.2"/>
    <x v="1"/>
    <x v="2"/>
  </r>
  <r>
    <s v="E202603052"/>
    <x v="2"/>
    <x v="1"/>
    <x v="2"/>
    <s v="Redes"/>
    <n v="13.8"/>
    <n v="98.7"/>
    <x v="1"/>
    <x v="2"/>
  </r>
  <r>
    <s v="E202401011"/>
    <x v="0"/>
    <x v="0"/>
    <x v="1"/>
    <s v="Redes"/>
    <n v="13.9"/>
    <n v="46.2"/>
    <x v="1"/>
    <x v="1"/>
  </r>
  <r>
    <s v="E202403034"/>
    <x v="0"/>
    <x v="0"/>
    <x v="2"/>
    <s v="Redes"/>
    <n v="13.9"/>
    <n v="96.5"/>
    <x v="1"/>
    <x v="2"/>
  </r>
  <r>
    <s v="E202401006"/>
    <x v="0"/>
    <x v="1"/>
    <x v="1"/>
    <s v="Matematica"/>
    <n v="13.9"/>
    <n v="47.8"/>
    <x v="1"/>
    <x v="1"/>
  </r>
  <r>
    <s v="E202401033"/>
    <x v="0"/>
    <x v="1"/>
    <x v="1"/>
    <s v="Redes"/>
    <n v="13.9"/>
    <n v="97.5"/>
    <x v="1"/>
    <x v="2"/>
  </r>
  <r>
    <s v="E202402008"/>
    <x v="0"/>
    <x v="1"/>
    <x v="0"/>
    <s v="Estatistica"/>
    <n v="13.9"/>
    <n v="57.9"/>
    <x v="1"/>
    <x v="0"/>
  </r>
  <r>
    <s v="E202402013"/>
    <x v="0"/>
    <x v="1"/>
    <x v="0"/>
    <s v="Marketing"/>
    <n v="13.9"/>
    <n v="80"/>
    <x v="1"/>
    <x v="2"/>
  </r>
  <r>
    <s v="E202402058"/>
    <x v="0"/>
    <x v="1"/>
    <x v="0"/>
    <s v="Estatistica"/>
    <n v="13.9"/>
    <n v="81.5"/>
    <x v="1"/>
    <x v="2"/>
  </r>
  <r>
    <s v="E202403017"/>
    <x v="0"/>
    <x v="1"/>
    <x v="2"/>
    <s v="Programacao"/>
    <n v="13.9"/>
    <n v="82.8"/>
    <x v="1"/>
    <x v="2"/>
  </r>
  <r>
    <s v="E202503041"/>
    <x v="1"/>
    <x v="0"/>
    <x v="2"/>
    <s v="Bases de Dados"/>
    <n v="13.9"/>
    <n v="93"/>
    <x v="1"/>
    <x v="2"/>
  </r>
  <r>
    <s v="E202501016"/>
    <x v="1"/>
    <x v="1"/>
    <x v="1"/>
    <s v="Redes"/>
    <n v="13.9"/>
    <n v="79"/>
    <x v="1"/>
    <x v="2"/>
  </r>
  <r>
    <s v="E202501035"/>
    <x v="1"/>
    <x v="1"/>
    <x v="1"/>
    <s v="Sinais"/>
    <n v="13.9"/>
    <n v="63"/>
    <x v="1"/>
    <x v="0"/>
  </r>
  <r>
    <s v="E202502002"/>
    <x v="1"/>
    <x v="1"/>
    <x v="0"/>
    <s v="Estatistica"/>
    <n v="13.9"/>
    <n v="80.599999999999994"/>
    <x v="1"/>
    <x v="2"/>
  </r>
  <r>
    <s v="E202502009"/>
    <x v="1"/>
    <x v="1"/>
    <x v="0"/>
    <s v="Estatistica"/>
    <n v="13.9"/>
    <n v="88"/>
    <x v="1"/>
    <x v="2"/>
  </r>
  <r>
    <s v="E202502049"/>
    <x v="1"/>
    <x v="1"/>
    <x v="0"/>
    <s v="Estatistica"/>
    <n v="13.9"/>
    <n v="49.1"/>
    <x v="1"/>
    <x v="1"/>
  </r>
  <r>
    <s v="E202503056"/>
    <x v="1"/>
    <x v="1"/>
    <x v="2"/>
    <s v="Programacao"/>
    <n v="13.9"/>
    <n v="91.7"/>
    <x v="1"/>
    <x v="2"/>
  </r>
  <r>
    <s v="E202601039"/>
    <x v="2"/>
    <x v="0"/>
    <x v="1"/>
    <s v="Redes"/>
    <n v="13.9"/>
    <n v="51"/>
    <x v="1"/>
    <x v="0"/>
  </r>
  <r>
    <s v="E202602001"/>
    <x v="2"/>
    <x v="0"/>
    <x v="0"/>
    <s v="Estatistica"/>
    <n v="13.9"/>
    <n v="96.4"/>
    <x v="1"/>
    <x v="2"/>
  </r>
  <r>
    <s v="E202602007"/>
    <x v="2"/>
    <x v="0"/>
    <x v="0"/>
    <s v="Estatistica"/>
    <n v="13.9"/>
    <n v="75.7"/>
    <x v="1"/>
    <x v="2"/>
  </r>
  <r>
    <s v="E202602049"/>
    <x v="2"/>
    <x v="0"/>
    <x v="0"/>
    <s v="Contabilidade"/>
    <n v="13.9"/>
    <n v="92.4"/>
    <x v="1"/>
    <x v="2"/>
  </r>
  <r>
    <s v="E202603019"/>
    <x v="2"/>
    <x v="0"/>
    <x v="2"/>
    <s v="Programacao"/>
    <n v="13.9"/>
    <n v="85.8"/>
    <x v="1"/>
    <x v="2"/>
  </r>
  <r>
    <s v="E202603047"/>
    <x v="2"/>
    <x v="0"/>
    <x v="2"/>
    <s v="Bases de Dados"/>
    <n v="13.9"/>
    <n v="97.4"/>
    <x v="1"/>
    <x v="2"/>
  </r>
  <r>
    <s v="E202602046"/>
    <x v="2"/>
    <x v="1"/>
    <x v="0"/>
    <s v="Contabilidade"/>
    <n v="13.9"/>
    <n v="73.599999999999994"/>
    <x v="1"/>
    <x v="0"/>
  </r>
  <r>
    <s v="E202602047"/>
    <x v="2"/>
    <x v="1"/>
    <x v="0"/>
    <s v="Estatistica"/>
    <n v="13.9"/>
    <n v="86.1"/>
    <x v="1"/>
    <x v="2"/>
  </r>
  <r>
    <s v="E202603059"/>
    <x v="2"/>
    <x v="1"/>
    <x v="2"/>
    <s v="Programacao"/>
    <n v="13.9"/>
    <n v="90"/>
    <x v="1"/>
    <x v="2"/>
  </r>
  <r>
    <s v="E202401003"/>
    <x v="0"/>
    <x v="0"/>
    <x v="1"/>
    <s v="Matematica"/>
    <n v="14"/>
    <n v="68.099999999999994"/>
    <x v="1"/>
    <x v="0"/>
  </r>
  <r>
    <s v="E202402011"/>
    <x v="0"/>
    <x v="0"/>
    <x v="0"/>
    <s v="Marketing"/>
    <n v="14"/>
    <n v="62.8"/>
    <x v="1"/>
    <x v="0"/>
  </r>
  <r>
    <s v="E202403009"/>
    <x v="0"/>
    <x v="0"/>
    <x v="2"/>
    <s v="Bases de Dados"/>
    <n v="14"/>
    <n v="98"/>
    <x v="1"/>
    <x v="2"/>
  </r>
  <r>
    <s v="E202403029"/>
    <x v="0"/>
    <x v="0"/>
    <x v="2"/>
    <s v="Programacao"/>
    <n v="14"/>
    <n v="62.8"/>
    <x v="1"/>
    <x v="0"/>
  </r>
  <r>
    <s v="E202403034"/>
    <x v="0"/>
    <x v="0"/>
    <x v="2"/>
    <s v="Bases de Dados"/>
    <n v="14"/>
    <n v="72.099999999999994"/>
    <x v="1"/>
    <x v="0"/>
  </r>
  <r>
    <s v="E202403058"/>
    <x v="0"/>
    <x v="0"/>
    <x v="2"/>
    <s v="Programacao"/>
    <n v="14"/>
    <n v="76.3"/>
    <x v="1"/>
    <x v="2"/>
  </r>
  <r>
    <s v="E202401059"/>
    <x v="0"/>
    <x v="1"/>
    <x v="1"/>
    <s v="Redes"/>
    <n v="14"/>
    <n v="87.7"/>
    <x v="1"/>
    <x v="2"/>
  </r>
  <r>
    <s v="E202402003"/>
    <x v="0"/>
    <x v="1"/>
    <x v="0"/>
    <s v="Marketing"/>
    <n v="14"/>
    <n v="68.2"/>
    <x v="1"/>
    <x v="0"/>
  </r>
  <r>
    <s v="E202403022"/>
    <x v="0"/>
    <x v="1"/>
    <x v="2"/>
    <s v="Programacao"/>
    <n v="14"/>
    <n v="54.1"/>
    <x v="1"/>
    <x v="0"/>
  </r>
  <r>
    <s v="E202403034"/>
    <x v="0"/>
    <x v="1"/>
    <x v="2"/>
    <s v="Redes"/>
    <n v="14"/>
    <n v="86.5"/>
    <x v="1"/>
    <x v="2"/>
  </r>
  <r>
    <s v="E202403035"/>
    <x v="0"/>
    <x v="1"/>
    <x v="2"/>
    <s v="Programacao"/>
    <n v="14"/>
    <n v="68.400000000000006"/>
    <x v="1"/>
    <x v="0"/>
  </r>
  <r>
    <s v="E202501008"/>
    <x v="1"/>
    <x v="0"/>
    <x v="1"/>
    <s v="Matematica"/>
    <n v="14"/>
    <n v="88.3"/>
    <x v="1"/>
    <x v="2"/>
  </r>
  <r>
    <s v="E202502004"/>
    <x v="1"/>
    <x v="0"/>
    <x v="0"/>
    <s v="Contabilidade"/>
    <n v="14"/>
    <n v="72.7"/>
    <x v="1"/>
    <x v="0"/>
  </r>
  <r>
    <s v="E202502022"/>
    <x v="1"/>
    <x v="0"/>
    <x v="0"/>
    <s v="Contabilidade"/>
    <n v="14"/>
    <n v="80.8"/>
    <x v="1"/>
    <x v="2"/>
  </r>
  <r>
    <s v="E202502030"/>
    <x v="1"/>
    <x v="0"/>
    <x v="0"/>
    <s v="Marketing"/>
    <n v="14"/>
    <n v="99.7"/>
    <x v="1"/>
    <x v="2"/>
  </r>
  <r>
    <s v="E202502049"/>
    <x v="1"/>
    <x v="0"/>
    <x v="0"/>
    <s v="Contabilidade"/>
    <n v="14"/>
    <n v="85.9"/>
    <x v="1"/>
    <x v="2"/>
  </r>
  <r>
    <s v="E202502049"/>
    <x v="1"/>
    <x v="0"/>
    <x v="0"/>
    <s v="Estatistica"/>
    <n v="14"/>
    <n v="66.2"/>
    <x v="1"/>
    <x v="0"/>
  </r>
  <r>
    <s v="E202502056"/>
    <x v="1"/>
    <x v="0"/>
    <x v="0"/>
    <s v="Contabilidade"/>
    <n v="14"/>
    <n v="72"/>
    <x v="1"/>
    <x v="0"/>
  </r>
  <r>
    <s v="E202503032"/>
    <x v="1"/>
    <x v="0"/>
    <x v="2"/>
    <s v="Programacao"/>
    <n v="14"/>
    <n v="96.2"/>
    <x v="1"/>
    <x v="2"/>
  </r>
  <r>
    <s v="E202501021"/>
    <x v="1"/>
    <x v="1"/>
    <x v="1"/>
    <s v="Matematica"/>
    <n v="14"/>
    <n v="86.6"/>
    <x v="1"/>
    <x v="2"/>
  </r>
  <r>
    <s v="E202501040"/>
    <x v="1"/>
    <x v="1"/>
    <x v="1"/>
    <s v="Sinais"/>
    <n v="14"/>
    <n v="83.8"/>
    <x v="1"/>
    <x v="2"/>
  </r>
  <r>
    <s v="E202502041"/>
    <x v="1"/>
    <x v="1"/>
    <x v="0"/>
    <s v="Estatistica"/>
    <n v="14"/>
    <n v="92.7"/>
    <x v="1"/>
    <x v="2"/>
  </r>
  <r>
    <s v="E202503012"/>
    <x v="1"/>
    <x v="1"/>
    <x v="2"/>
    <s v="Redes"/>
    <n v="14"/>
    <n v="66.099999999999994"/>
    <x v="1"/>
    <x v="0"/>
  </r>
  <r>
    <s v="E202601055"/>
    <x v="2"/>
    <x v="0"/>
    <x v="1"/>
    <s v="Sinais"/>
    <n v="14"/>
    <n v="87.7"/>
    <x v="1"/>
    <x v="2"/>
  </r>
  <r>
    <s v="E202602029"/>
    <x v="2"/>
    <x v="0"/>
    <x v="0"/>
    <s v="Estatistica"/>
    <n v="14"/>
    <n v="91.2"/>
    <x v="1"/>
    <x v="2"/>
  </r>
  <r>
    <s v="E202601049"/>
    <x v="2"/>
    <x v="1"/>
    <x v="1"/>
    <s v="Sinais"/>
    <n v="14"/>
    <n v="83"/>
    <x v="1"/>
    <x v="2"/>
  </r>
  <r>
    <s v="E202602007"/>
    <x v="2"/>
    <x v="1"/>
    <x v="0"/>
    <s v="Contabilidade"/>
    <n v="14"/>
    <n v="56.1"/>
    <x v="1"/>
    <x v="0"/>
  </r>
  <r>
    <s v="E202401033"/>
    <x v="0"/>
    <x v="0"/>
    <x v="1"/>
    <s v="Redes"/>
    <n v="14.1"/>
    <n v="97.9"/>
    <x v="1"/>
    <x v="2"/>
  </r>
  <r>
    <s v="E202401045"/>
    <x v="0"/>
    <x v="0"/>
    <x v="1"/>
    <s v="Redes"/>
    <n v="14.1"/>
    <n v="74.400000000000006"/>
    <x v="1"/>
    <x v="0"/>
  </r>
  <r>
    <s v="E202403021"/>
    <x v="0"/>
    <x v="0"/>
    <x v="2"/>
    <s v="Redes"/>
    <n v="14.1"/>
    <n v="93.4"/>
    <x v="1"/>
    <x v="2"/>
  </r>
  <r>
    <s v="E202401017"/>
    <x v="0"/>
    <x v="1"/>
    <x v="1"/>
    <s v="Sinais"/>
    <n v="14.1"/>
    <n v="93.5"/>
    <x v="1"/>
    <x v="2"/>
  </r>
  <r>
    <s v="E202401053"/>
    <x v="0"/>
    <x v="1"/>
    <x v="1"/>
    <s v="Sinais"/>
    <n v="14.1"/>
    <n v="64.400000000000006"/>
    <x v="1"/>
    <x v="0"/>
  </r>
  <r>
    <s v="E202402024"/>
    <x v="0"/>
    <x v="1"/>
    <x v="0"/>
    <s v="Marketing"/>
    <n v="14.1"/>
    <n v="88.3"/>
    <x v="1"/>
    <x v="2"/>
  </r>
  <r>
    <s v="E202402026"/>
    <x v="0"/>
    <x v="1"/>
    <x v="0"/>
    <s v="Estatistica"/>
    <n v="14.1"/>
    <n v="97.7"/>
    <x v="1"/>
    <x v="2"/>
  </r>
  <r>
    <s v="E202402049"/>
    <x v="0"/>
    <x v="1"/>
    <x v="0"/>
    <s v="Estatistica"/>
    <n v="14.1"/>
    <n v="87.6"/>
    <x v="1"/>
    <x v="2"/>
  </r>
  <r>
    <s v="E202403027"/>
    <x v="0"/>
    <x v="1"/>
    <x v="2"/>
    <s v="Redes"/>
    <n v="14.1"/>
    <n v="98.8"/>
    <x v="1"/>
    <x v="2"/>
  </r>
  <r>
    <s v="E202403037"/>
    <x v="0"/>
    <x v="1"/>
    <x v="2"/>
    <s v="Bases de Dados"/>
    <n v="14.1"/>
    <n v="53.6"/>
    <x v="1"/>
    <x v="0"/>
  </r>
  <r>
    <s v="E202403047"/>
    <x v="0"/>
    <x v="1"/>
    <x v="2"/>
    <s v="Programacao"/>
    <n v="14.1"/>
    <n v="68.2"/>
    <x v="1"/>
    <x v="0"/>
  </r>
  <r>
    <s v="E202403059"/>
    <x v="0"/>
    <x v="1"/>
    <x v="2"/>
    <s v="Programacao"/>
    <n v="14.1"/>
    <n v="84.7"/>
    <x v="1"/>
    <x v="2"/>
  </r>
  <r>
    <s v="E202501013"/>
    <x v="1"/>
    <x v="0"/>
    <x v="1"/>
    <s v="Redes"/>
    <n v="14.1"/>
    <n v="97.3"/>
    <x v="1"/>
    <x v="2"/>
  </r>
  <r>
    <s v="E202501053"/>
    <x v="1"/>
    <x v="0"/>
    <x v="1"/>
    <s v="Matematica"/>
    <n v="14.1"/>
    <n v="90.5"/>
    <x v="1"/>
    <x v="2"/>
  </r>
  <r>
    <s v="E202501034"/>
    <x v="1"/>
    <x v="1"/>
    <x v="1"/>
    <s v="Redes"/>
    <n v="14.1"/>
    <n v="67.5"/>
    <x v="1"/>
    <x v="0"/>
  </r>
  <r>
    <s v="E202503026"/>
    <x v="1"/>
    <x v="1"/>
    <x v="2"/>
    <s v="Programacao"/>
    <n v="14.1"/>
    <n v="85.5"/>
    <x v="1"/>
    <x v="2"/>
  </r>
  <r>
    <s v="E202602011"/>
    <x v="2"/>
    <x v="0"/>
    <x v="0"/>
    <s v="Marketing"/>
    <n v="14.1"/>
    <n v="89.8"/>
    <x v="1"/>
    <x v="2"/>
  </r>
  <r>
    <s v="E202602045"/>
    <x v="2"/>
    <x v="0"/>
    <x v="0"/>
    <s v="Marketing"/>
    <n v="14.1"/>
    <n v="98.2"/>
    <x v="1"/>
    <x v="2"/>
  </r>
  <r>
    <s v="E202603002"/>
    <x v="2"/>
    <x v="0"/>
    <x v="2"/>
    <s v="Redes"/>
    <n v="14.1"/>
    <n v="82.6"/>
    <x v="1"/>
    <x v="2"/>
  </r>
  <r>
    <s v="E202603023"/>
    <x v="2"/>
    <x v="0"/>
    <x v="2"/>
    <s v="Bases de Dados"/>
    <n v="14.1"/>
    <n v="61.1"/>
    <x v="1"/>
    <x v="0"/>
  </r>
  <r>
    <s v="E202603029"/>
    <x v="2"/>
    <x v="0"/>
    <x v="2"/>
    <s v="Programacao"/>
    <n v="14.1"/>
    <n v="98.5"/>
    <x v="1"/>
    <x v="2"/>
  </r>
  <r>
    <s v="E202601045"/>
    <x v="2"/>
    <x v="1"/>
    <x v="1"/>
    <s v="Redes"/>
    <n v="14.1"/>
    <n v="75.900000000000006"/>
    <x v="1"/>
    <x v="2"/>
  </r>
  <r>
    <s v="E202602005"/>
    <x v="2"/>
    <x v="1"/>
    <x v="0"/>
    <s v="Marketing"/>
    <n v="14.1"/>
    <n v="76.3"/>
    <x v="1"/>
    <x v="2"/>
  </r>
  <r>
    <s v="E202603020"/>
    <x v="2"/>
    <x v="1"/>
    <x v="2"/>
    <s v="Bases de Dados"/>
    <n v="14.1"/>
    <n v="82.7"/>
    <x v="1"/>
    <x v="2"/>
  </r>
  <r>
    <s v="E202401055"/>
    <x v="0"/>
    <x v="0"/>
    <x v="1"/>
    <s v="Matematica"/>
    <n v="14.2"/>
    <n v="80.7"/>
    <x v="1"/>
    <x v="2"/>
  </r>
  <r>
    <s v="E202402009"/>
    <x v="0"/>
    <x v="1"/>
    <x v="0"/>
    <s v="Estatistica"/>
    <n v="14.2"/>
    <n v="98.3"/>
    <x v="1"/>
    <x v="2"/>
  </r>
  <r>
    <s v="E202402054"/>
    <x v="0"/>
    <x v="1"/>
    <x v="0"/>
    <s v="Estatistica"/>
    <n v="14.2"/>
    <n v="84.8"/>
    <x v="1"/>
    <x v="2"/>
  </r>
  <r>
    <s v="E202403032"/>
    <x v="0"/>
    <x v="1"/>
    <x v="2"/>
    <s v="Redes"/>
    <n v="14.2"/>
    <n v="88.2"/>
    <x v="1"/>
    <x v="2"/>
  </r>
  <r>
    <s v="E202501019"/>
    <x v="1"/>
    <x v="0"/>
    <x v="1"/>
    <s v="Redes"/>
    <n v="14.2"/>
    <n v="58.7"/>
    <x v="1"/>
    <x v="0"/>
  </r>
  <r>
    <s v="E202501038"/>
    <x v="1"/>
    <x v="0"/>
    <x v="1"/>
    <s v="Redes"/>
    <n v="14.2"/>
    <n v="77"/>
    <x v="1"/>
    <x v="2"/>
  </r>
  <r>
    <s v="E202503026"/>
    <x v="1"/>
    <x v="0"/>
    <x v="2"/>
    <s v="Redes"/>
    <n v="14.2"/>
    <n v="80.099999999999994"/>
    <x v="1"/>
    <x v="2"/>
  </r>
  <r>
    <s v="E202503046"/>
    <x v="1"/>
    <x v="0"/>
    <x v="2"/>
    <s v="Redes"/>
    <n v="14.2"/>
    <n v="80"/>
    <x v="1"/>
    <x v="2"/>
  </r>
  <r>
    <s v="E202501026"/>
    <x v="1"/>
    <x v="1"/>
    <x v="1"/>
    <s v="Sinais"/>
    <n v="14.2"/>
    <n v="78.2"/>
    <x v="1"/>
    <x v="2"/>
  </r>
  <r>
    <s v="E202501046"/>
    <x v="1"/>
    <x v="1"/>
    <x v="1"/>
    <s v="Redes"/>
    <n v="14.2"/>
    <n v="85.6"/>
    <x v="1"/>
    <x v="2"/>
  </r>
  <r>
    <s v="E202502016"/>
    <x v="1"/>
    <x v="1"/>
    <x v="0"/>
    <s v="Contabilidade"/>
    <n v="14.2"/>
    <n v="53.1"/>
    <x v="1"/>
    <x v="0"/>
  </r>
  <r>
    <s v="E202502039"/>
    <x v="1"/>
    <x v="1"/>
    <x v="0"/>
    <s v="Estatistica"/>
    <n v="14.2"/>
    <n v="86.3"/>
    <x v="1"/>
    <x v="2"/>
  </r>
  <r>
    <s v="E202503038"/>
    <x v="1"/>
    <x v="1"/>
    <x v="2"/>
    <s v="Redes"/>
    <n v="14.2"/>
    <n v="55.7"/>
    <x v="1"/>
    <x v="0"/>
  </r>
  <r>
    <s v="E202503052"/>
    <x v="1"/>
    <x v="1"/>
    <x v="2"/>
    <s v="Redes"/>
    <n v="14.2"/>
    <n v="94.7"/>
    <x v="1"/>
    <x v="2"/>
  </r>
  <r>
    <s v="E202601001"/>
    <x v="2"/>
    <x v="0"/>
    <x v="1"/>
    <s v="Matematica"/>
    <n v="14.2"/>
    <n v="93.6"/>
    <x v="1"/>
    <x v="2"/>
  </r>
  <r>
    <s v="E202601014"/>
    <x v="2"/>
    <x v="0"/>
    <x v="1"/>
    <s v="Sinais"/>
    <n v="14.2"/>
    <n v="63.3"/>
    <x v="1"/>
    <x v="0"/>
  </r>
  <r>
    <s v="E202601016"/>
    <x v="2"/>
    <x v="0"/>
    <x v="1"/>
    <s v="Redes"/>
    <n v="14.2"/>
    <n v="74.3"/>
    <x v="1"/>
    <x v="0"/>
  </r>
  <r>
    <s v="E202601033"/>
    <x v="2"/>
    <x v="0"/>
    <x v="1"/>
    <s v="Matematica"/>
    <n v="14.2"/>
    <n v="81.3"/>
    <x v="1"/>
    <x v="2"/>
  </r>
  <r>
    <s v="E202601048"/>
    <x v="2"/>
    <x v="0"/>
    <x v="1"/>
    <s v="Sinais"/>
    <n v="14.2"/>
    <n v="82.2"/>
    <x v="1"/>
    <x v="2"/>
  </r>
  <r>
    <s v="E202602035"/>
    <x v="2"/>
    <x v="0"/>
    <x v="0"/>
    <s v="Marketing"/>
    <n v="14.2"/>
    <n v="88.1"/>
    <x v="1"/>
    <x v="2"/>
  </r>
  <r>
    <s v="E202603018"/>
    <x v="2"/>
    <x v="0"/>
    <x v="2"/>
    <s v="Redes"/>
    <n v="14.2"/>
    <n v="87.7"/>
    <x v="1"/>
    <x v="2"/>
  </r>
  <r>
    <s v="E202601014"/>
    <x v="2"/>
    <x v="1"/>
    <x v="1"/>
    <s v="Redes"/>
    <n v="14.2"/>
    <n v="95.6"/>
    <x v="1"/>
    <x v="2"/>
  </r>
  <r>
    <s v="E202603001"/>
    <x v="2"/>
    <x v="1"/>
    <x v="2"/>
    <s v="Redes"/>
    <n v="14.2"/>
    <n v="54.2"/>
    <x v="1"/>
    <x v="0"/>
  </r>
  <r>
    <s v="E202401010"/>
    <x v="0"/>
    <x v="0"/>
    <x v="1"/>
    <s v="Matematica"/>
    <n v="14.3"/>
    <n v="98.1"/>
    <x v="1"/>
    <x v="2"/>
  </r>
  <r>
    <s v="E202401015"/>
    <x v="0"/>
    <x v="0"/>
    <x v="1"/>
    <s v="Sinais"/>
    <n v="14.3"/>
    <n v="92.6"/>
    <x v="1"/>
    <x v="2"/>
  </r>
  <r>
    <s v="E202401051"/>
    <x v="0"/>
    <x v="0"/>
    <x v="1"/>
    <s v="Matematica"/>
    <n v="14.3"/>
    <n v="95.4"/>
    <x v="1"/>
    <x v="2"/>
  </r>
  <r>
    <s v="E202402044"/>
    <x v="0"/>
    <x v="0"/>
    <x v="0"/>
    <s v="Marketing"/>
    <n v="14.3"/>
    <n v="99"/>
    <x v="1"/>
    <x v="2"/>
  </r>
  <r>
    <s v="E202403001"/>
    <x v="0"/>
    <x v="0"/>
    <x v="2"/>
    <s v="Programacao"/>
    <n v="14.3"/>
    <n v="87.9"/>
    <x v="1"/>
    <x v="2"/>
  </r>
  <r>
    <s v="E202401011"/>
    <x v="0"/>
    <x v="1"/>
    <x v="1"/>
    <s v="Matematica"/>
    <n v="14.3"/>
    <n v="95.9"/>
    <x v="1"/>
    <x v="2"/>
  </r>
  <r>
    <s v="E202402031"/>
    <x v="0"/>
    <x v="1"/>
    <x v="0"/>
    <s v="Contabilidade"/>
    <n v="14.3"/>
    <n v="83.3"/>
    <x v="1"/>
    <x v="2"/>
  </r>
  <r>
    <s v="E202402039"/>
    <x v="0"/>
    <x v="1"/>
    <x v="0"/>
    <s v="Estatistica"/>
    <n v="14.3"/>
    <n v="80.900000000000006"/>
    <x v="1"/>
    <x v="2"/>
  </r>
  <r>
    <s v="E202403008"/>
    <x v="0"/>
    <x v="1"/>
    <x v="2"/>
    <s v="Redes"/>
    <n v="14.3"/>
    <n v="61.7"/>
    <x v="1"/>
    <x v="0"/>
  </r>
  <r>
    <s v="E202403048"/>
    <x v="0"/>
    <x v="1"/>
    <x v="2"/>
    <s v="Bases de Dados"/>
    <n v="14.3"/>
    <n v="87.5"/>
    <x v="1"/>
    <x v="2"/>
  </r>
  <r>
    <s v="E202501025"/>
    <x v="1"/>
    <x v="0"/>
    <x v="1"/>
    <s v="Redes"/>
    <n v="14.3"/>
    <n v="95"/>
    <x v="1"/>
    <x v="2"/>
  </r>
  <r>
    <s v="E202502001"/>
    <x v="1"/>
    <x v="0"/>
    <x v="0"/>
    <s v="Contabilidade"/>
    <n v="14.3"/>
    <n v="75.900000000000006"/>
    <x v="1"/>
    <x v="2"/>
  </r>
  <r>
    <s v="E202502040"/>
    <x v="1"/>
    <x v="0"/>
    <x v="0"/>
    <s v="Marketing"/>
    <n v="14.3"/>
    <n v="84.3"/>
    <x v="1"/>
    <x v="2"/>
  </r>
  <r>
    <s v="E202503045"/>
    <x v="1"/>
    <x v="0"/>
    <x v="2"/>
    <s v="Redes"/>
    <n v="14.3"/>
    <n v="52.5"/>
    <x v="1"/>
    <x v="0"/>
  </r>
  <r>
    <s v="E202502025"/>
    <x v="1"/>
    <x v="1"/>
    <x v="0"/>
    <s v="Marketing"/>
    <n v="14.3"/>
    <n v="98.2"/>
    <x v="1"/>
    <x v="2"/>
  </r>
  <r>
    <s v="E202502042"/>
    <x v="1"/>
    <x v="1"/>
    <x v="0"/>
    <s v="Marketing"/>
    <n v="14.3"/>
    <n v="58.5"/>
    <x v="1"/>
    <x v="0"/>
  </r>
  <r>
    <s v="E202601003"/>
    <x v="2"/>
    <x v="0"/>
    <x v="1"/>
    <s v="Matematica"/>
    <n v="14.3"/>
    <n v="98.5"/>
    <x v="1"/>
    <x v="2"/>
  </r>
  <r>
    <s v="E202601041"/>
    <x v="2"/>
    <x v="0"/>
    <x v="1"/>
    <s v="Sinais"/>
    <n v="14.3"/>
    <n v="96.3"/>
    <x v="1"/>
    <x v="2"/>
  </r>
  <r>
    <s v="E202602021"/>
    <x v="2"/>
    <x v="0"/>
    <x v="0"/>
    <s v="Estatistica"/>
    <n v="14.3"/>
    <n v="85.5"/>
    <x v="1"/>
    <x v="2"/>
  </r>
  <r>
    <s v="E202602050"/>
    <x v="2"/>
    <x v="0"/>
    <x v="0"/>
    <s v="Marketing"/>
    <n v="14.3"/>
    <n v="97"/>
    <x v="1"/>
    <x v="2"/>
  </r>
  <r>
    <s v="E202602053"/>
    <x v="2"/>
    <x v="0"/>
    <x v="0"/>
    <s v="Estatistica"/>
    <n v="14.3"/>
    <n v="98"/>
    <x v="1"/>
    <x v="2"/>
  </r>
  <r>
    <s v="E202602001"/>
    <x v="2"/>
    <x v="1"/>
    <x v="0"/>
    <s v="Contabilidade"/>
    <n v="14.3"/>
    <n v="96.5"/>
    <x v="1"/>
    <x v="2"/>
  </r>
  <r>
    <s v="E202602055"/>
    <x v="2"/>
    <x v="1"/>
    <x v="0"/>
    <s v="Contabilidade"/>
    <n v="14.3"/>
    <n v="88.3"/>
    <x v="1"/>
    <x v="2"/>
  </r>
  <r>
    <s v="E202401001"/>
    <x v="0"/>
    <x v="0"/>
    <x v="1"/>
    <s v="Matematica"/>
    <n v="14.4"/>
    <n v="60.9"/>
    <x v="1"/>
    <x v="0"/>
  </r>
  <r>
    <s v="E202402053"/>
    <x v="0"/>
    <x v="0"/>
    <x v="0"/>
    <s v="Contabilidade"/>
    <n v="14.4"/>
    <n v="97.2"/>
    <x v="1"/>
    <x v="2"/>
  </r>
  <r>
    <s v="E202403028"/>
    <x v="0"/>
    <x v="0"/>
    <x v="2"/>
    <s v="Bases de Dados"/>
    <n v="14.4"/>
    <n v="89.9"/>
    <x v="1"/>
    <x v="2"/>
  </r>
  <r>
    <s v="E202403033"/>
    <x v="0"/>
    <x v="0"/>
    <x v="2"/>
    <s v="Bases de Dados"/>
    <n v="14.4"/>
    <n v="82.5"/>
    <x v="1"/>
    <x v="2"/>
  </r>
  <r>
    <s v="E202403059"/>
    <x v="0"/>
    <x v="0"/>
    <x v="2"/>
    <s v="Programacao"/>
    <n v="14.4"/>
    <n v="87.7"/>
    <x v="1"/>
    <x v="2"/>
  </r>
  <r>
    <s v="E202401001"/>
    <x v="0"/>
    <x v="1"/>
    <x v="1"/>
    <s v="Redes"/>
    <n v="14.4"/>
    <n v="81.900000000000006"/>
    <x v="1"/>
    <x v="2"/>
  </r>
  <r>
    <s v="E202401045"/>
    <x v="0"/>
    <x v="1"/>
    <x v="1"/>
    <s v="Matematica"/>
    <n v="14.4"/>
    <n v="92.2"/>
    <x v="1"/>
    <x v="2"/>
  </r>
  <r>
    <s v="E202401059"/>
    <x v="0"/>
    <x v="1"/>
    <x v="1"/>
    <s v="Matematica"/>
    <n v="14.4"/>
    <n v="66.900000000000006"/>
    <x v="1"/>
    <x v="0"/>
  </r>
  <r>
    <s v="E202402014"/>
    <x v="0"/>
    <x v="1"/>
    <x v="0"/>
    <s v="Estatistica"/>
    <n v="14.4"/>
    <n v="62.7"/>
    <x v="1"/>
    <x v="0"/>
  </r>
  <r>
    <s v="E202402029"/>
    <x v="0"/>
    <x v="1"/>
    <x v="0"/>
    <s v="Marketing"/>
    <n v="14.4"/>
    <n v="73.099999999999994"/>
    <x v="1"/>
    <x v="0"/>
  </r>
  <r>
    <s v="E202403003"/>
    <x v="0"/>
    <x v="1"/>
    <x v="2"/>
    <s v="Programacao"/>
    <n v="14.4"/>
    <n v="59.9"/>
    <x v="1"/>
    <x v="0"/>
  </r>
  <r>
    <s v="E202501054"/>
    <x v="1"/>
    <x v="0"/>
    <x v="1"/>
    <s v="Matematica"/>
    <n v="14.4"/>
    <n v="82.2"/>
    <x v="1"/>
    <x v="2"/>
  </r>
  <r>
    <s v="E202502035"/>
    <x v="1"/>
    <x v="0"/>
    <x v="0"/>
    <s v="Marketing"/>
    <n v="14.4"/>
    <n v="98.3"/>
    <x v="1"/>
    <x v="2"/>
  </r>
  <r>
    <s v="E202501009"/>
    <x v="1"/>
    <x v="1"/>
    <x v="1"/>
    <s v="Matematica"/>
    <n v="14.4"/>
    <n v="84.3"/>
    <x v="1"/>
    <x v="2"/>
  </r>
  <r>
    <s v="E202501015"/>
    <x v="1"/>
    <x v="1"/>
    <x v="1"/>
    <s v="Redes"/>
    <n v="14.4"/>
    <n v="77.8"/>
    <x v="1"/>
    <x v="2"/>
  </r>
  <r>
    <s v="E202502040"/>
    <x v="1"/>
    <x v="1"/>
    <x v="0"/>
    <s v="Estatistica"/>
    <n v="14.4"/>
    <n v="82.5"/>
    <x v="1"/>
    <x v="2"/>
  </r>
  <r>
    <s v="E202502045"/>
    <x v="1"/>
    <x v="1"/>
    <x v="0"/>
    <s v="Contabilidade"/>
    <n v="14.4"/>
    <n v="64"/>
    <x v="1"/>
    <x v="0"/>
  </r>
  <r>
    <s v="E202601018"/>
    <x v="2"/>
    <x v="0"/>
    <x v="1"/>
    <s v="Matematica"/>
    <n v="14.4"/>
    <n v="96.2"/>
    <x v="1"/>
    <x v="2"/>
  </r>
  <r>
    <s v="E202601050"/>
    <x v="2"/>
    <x v="0"/>
    <x v="1"/>
    <s v="Matematica"/>
    <n v="14.4"/>
    <n v="96.9"/>
    <x v="1"/>
    <x v="2"/>
  </r>
  <r>
    <s v="E202602033"/>
    <x v="2"/>
    <x v="0"/>
    <x v="0"/>
    <s v="Contabilidade"/>
    <n v="14.4"/>
    <n v="61.7"/>
    <x v="1"/>
    <x v="0"/>
  </r>
  <r>
    <s v="E202603013"/>
    <x v="2"/>
    <x v="0"/>
    <x v="2"/>
    <s v="Programacao"/>
    <n v="14.4"/>
    <n v="98.6"/>
    <x v="1"/>
    <x v="2"/>
  </r>
  <r>
    <s v="E202603013"/>
    <x v="2"/>
    <x v="0"/>
    <x v="2"/>
    <s v="Redes"/>
    <n v="14.4"/>
    <n v="75"/>
    <x v="1"/>
    <x v="2"/>
  </r>
  <r>
    <s v="E202603019"/>
    <x v="2"/>
    <x v="0"/>
    <x v="2"/>
    <s v="Bases de Dados"/>
    <n v="14.4"/>
    <n v="88.5"/>
    <x v="1"/>
    <x v="2"/>
  </r>
  <r>
    <s v="E202603025"/>
    <x v="2"/>
    <x v="0"/>
    <x v="2"/>
    <s v="Redes"/>
    <n v="14.4"/>
    <n v="58.9"/>
    <x v="1"/>
    <x v="0"/>
  </r>
  <r>
    <s v="E202603050"/>
    <x v="2"/>
    <x v="0"/>
    <x v="2"/>
    <s v="Programacao"/>
    <n v="14.4"/>
    <n v="73.5"/>
    <x v="1"/>
    <x v="0"/>
  </r>
  <r>
    <s v="E202601029"/>
    <x v="2"/>
    <x v="1"/>
    <x v="1"/>
    <s v="Redes"/>
    <n v="14.4"/>
    <n v="92.1"/>
    <x v="1"/>
    <x v="2"/>
  </r>
  <r>
    <s v="E202602020"/>
    <x v="2"/>
    <x v="1"/>
    <x v="0"/>
    <s v="Estatistica"/>
    <n v="14.4"/>
    <n v="80.7"/>
    <x v="1"/>
    <x v="2"/>
  </r>
  <r>
    <s v="E202602060"/>
    <x v="2"/>
    <x v="1"/>
    <x v="0"/>
    <s v="Contabilidade"/>
    <n v="14.4"/>
    <n v="96.3"/>
    <x v="1"/>
    <x v="2"/>
  </r>
  <r>
    <s v="E202603036"/>
    <x v="2"/>
    <x v="1"/>
    <x v="2"/>
    <s v="Bases de Dados"/>
    <n v="14.4"/>
    <n v="90.2"/>
    <x v="1"/>
    <x v="2"/>
  </r>
  <r>
    <s v="E202402024"/>
    <x v="0"/>
    <x v="0"/>
    <x v="0"/>
    <s v="Contabilidade"/>
    <n v="14.5"/>
    <n v="93.1"/>
    <x v="1"/>
    <x v="2"/>
  </r>
  <r>
    <s v="E202402042"/>
    <x v="0"/>
    <x v="0"/>
    <x v="0"/>
    <s v="Contabilidade"/>
    <n v="14.5"/>
    <n v="87.2"/>
    <x v="1"/>
    <x v="2"/>
  </r>
  <r>
    <s v="E202402046"/>
    <x v="0"/>
    <x v="0"/>
    <x v="0"/>
    <s v="Marketing"/>
    <n v="14.5"/>
    <n v="79.8"/>
    <x v="1"/>
    <x v="2"/>
  </r>
  <r>
    <s v="E202403033"/>
    <x v="0"/>
    <x v="0"/>
    <x v="2"/>
    <s v="Programacao"/>
    <n v="14.5"/>
    <n v="91"/>
    <x v="1"/>
    <x v="2"/>
  </r>
  <r>
    <s v="E202401040"/>
    <x v="0"/>
    <x v="1"/>
    <x v="1"/>
    <s v="Sinais"/>
    <n v="14.5"/>
    <n v="60.2"/>
    <x v="1"/>
    <x v="0"/>
  </r>
  <r>
    <s v="E202402002"/>
    <x v="0"/>
    <x v="1"/>
    <x v="0"/>
    <s v="Contabilidade"/>
    <n v="14.5"/>
    <n v="82"/>
    <x v="1"/>
    <x v="2"/>
  </r>
  <r>
    <s v="E202402024"/>
    <x v="0"/>
    <x v="1"/>
    <x v="0"/>
    <s v="Estatistica"/>
    <n v="14.5"/>
    <n v="91.8"/>
    <x v="1"/>
    <x v="2"/>
  </r>
  <r>
    <s v="E202403060"/>
    <x v="0"/>
    <x v="1"/>
    <x v="2"/>
    <s v="Programacao"/>
    <n v="14.5"/>
    <n v="59.9"/>
    <x v="1"/>
    <x v="0"/>
  </r>
  <r>
    <s v="E202503033"/>
    <x v="1"/>
    <x v="0"/>
    <x v="2"/>
    <s v="Programacao"/>
    <n v="14.5"/>
    <n v="91.2"/>
    <x v="1"/>
    <x v="2"/>
  </r>
  <r>
    <s v="E202501006"/>
    <x v="1"/>
    <x v="1"/>
    <x v="1"/>
    <s v="Sinais"/>
    <n v="14.5"/>
    <n v="74.3"/>
    <x v="1"/>
    <x v="0"/>
  </r>
  <r>
    <s v="E202501020"/>
    <x v="1"/>
    <x v="1"/>
    <x v="1"/>
    <s v="Redes"/>
    <n v="14.5"/>
    <n v="74.8"/>
    <x v="1"/>
    <x v="0"/>
  </r>
  <r>
    <s v="E202503011"/>
    <x v="1"/>
    <x v="1"/>
    <x v="2"/>
    <s v="Redes"/>
    <n v="14.5"/>
    <n v="80.7"/>
    <x v="1"/>
    <x v="2"/>
  </r>
  <r>
    <s v="E202503042"/>
    <x v="1"/>
    <x v="1"/>
    <x v="2"/>
    <s v="Redes"/>
    <n v="14.5"/>
    <n v="85.8"/>
    <x v="1"/>
    <x v="2"/>
  </r>
  <r>
    <s v="E202503049"/>
    <x v="1"/>
    <x v="1"/>
    <x v="2"/>
    <s v="Programacao"/>
    <n v="14.5"/>
    <n v="95.8"/>
    <x v="1"/>
    <x v="2"/>
  </r>
  <r>
    <s v="E202601005"/>
    <x v="2"/>
    <x v="0"/>
    <x v="1"/>
    <s v="Redes"/>
    <n v="14.5"/>
    <n v="84"/>
    <x v="1"/>
    <x v="2"/>
  </r>
  <r>
    <s v="E202602026"/>
    <x v="2"/>
    <x v="0"/>
    <x v="0"/>
    <s v="Estatistica"/>
    <n v="14.5"/>
    <n v="84.3"/>
    <x v="1"/>
    <x v="2"/>
  </r>
  <r>
    <s v="E202603026"/>
    <x v="2"/>
    <x v="0"/>
    <x v="2"/>
    <s v="Bases de Dados"/>
    <n v="14.5"/>
    <n v="77.8"/>
    <x v="1"/>
    <x v="2"/>
  </r>
  <r>
    <s v="E202601045"/>
    <x v="2"/>
    <x v="1"/>
    <x v="1"/>
    <s v="Sinais"/>
    <n v="14.5"/>
    <n v="99.6"/>
    <x v="1"/>
    <x v="2"/>
  </r>
  <r>
    <s v="E202602021"/>
    <x v="2"/>
    <x v="1"/>
    <x v="0"/>
    <s v="Marketing"/>
    <n v="14.5"/>
    <n v="96.2"/>
    <x v="1"/>
    <x v="2"/>
  </r>
  <r>
    <s v="E202602028"/>
    <x v="2"/>
    <x v="1"/>
    <x v="0"/>
    <s v="Contabilidade"/>
    <n v="14.5"/>
    <n v="47.3"/>
    <x v="1"/>
    <x v="1"/>
  </r>
  <r>
    <s v="E202603016"/>
    <x v="2"/>
    <x v="1"/>
    <x v="2"/>
    <s v="Programacao"/>
    <n v="14.5"/>
    <n v="94.4"/>
    <x v="1"/>
    <x v="2"/>
  </r>
  <r>
    <s v="E202402002"/>
    <x v="0"/>
    <x v="0"/>
    <x v="0"/>
    <s v="Marketing"/>
    <n v="14.6"/>
    <n v="82.2"/>
    <x v="1"/>
    <x v="2"/>
  </r>
  <r>
    <s v="E202402022"/>
    <x v="0"/>
    <x v="0"/>
    <x v="0"/>
    <s v="Estatistica"/>
    <n v="14.6"/>
    <n v="88.8"/>
    <x v="1"/>
    <x v="2"/>
  </r>
  <r>
    <s v="E202401051"/>
    <x v="0"/>
    <x v="1"/>
    <x v="1"/>
    <s v="Matematica"/>
    <n v="14.6"/>
    <n v="49"/>
    <x v="1"/>
    <x v="1"/>
  </r>
  <r>
    <s v="E202403012"/>
    <x v="0"/>
    <x v="1"/>
    <x v="2"/>
    <s v="Programacao"/>
    <n v="14.6"/>
    <n v="79.400000000000006"/>
    <x v="1"/>
    <x v="2"/>
  </r>
  <r>
    <s v="E202403043"/>
    <x v="0"/>
    <x v="1"/>
    <x v="2"/>
    <s v="Redes"/>
    <n v="14.6"/>
    <n v="99"/>
    <x v="1"/>
    <x v="2"/>
  </r>
  <r>
    <s v="E202501030"/>
    <x v="1"/>
    <x v="0"/>
    <x v="1"/>
    <s v="Matematica"/>
    <n v="14.6"/>
    <n v="87.3"/>
    <x v="1"/>
    <x v="2"/>
  </r>
  <r>
    <s v="E202502026"/>
    <x v="1"/>
    <x v="0"/>
    <x v="0"/>
    <s v="Estatistica"/>
    <n v="14.6"/>
    <n v="45"/>
    <x v="1"/>
    <x v="1"/>
  </r>
  <r>
    <s v="E202502052"/>
    <x v="1"/>
    <x v="0"/>
    <x v="0"/>
    <s v="Contabilidade"/>
    <n v="14.6"/>
    <n v="89.2"/>
    <x v="1"/>
    <x v="2"/>
  </r>
  <r>
    <s v="E202502004"/>
    <x v="1"/>
    <x v="1"/>
    <x v="0"/>
    <s v="Marketing"/>
    <n v="14.6"/>
    <n v="94.7"/>
    <x v="1"/>
    <x v="2"/>
  </r>
  <r>
    <s v="E202502007"/>
    <x v="1"/>
    <x v="1"/>
    <x v="0"/>
    <s v="Estatistica"/>
    <n v="14.6"/>
    <n v="70.900000000000006"/>
    <x v="1"/>
    <x v="0"/>
  </r>
  <r>
    <s v="E202502012"/>
    <x v="1"/>
    <x v="1"/>
    <x v="0"/>
    <s v="Contabilidade"/>
    <n v="14.6"/>
    <n v="73.599999999999994"/>
    <x v="1"/>
    <x v="0"/>
  </r>
  <r>
    <s v="E202503027"/>
    <x v="1"/>
    <x v="1"/>
    <x v="2"/>
    <s v="Bases de Dados"/>
    <n v="14.6"/>
    <n v="91.8"/>
    <x v="1"/>
    <x v="2"/>
  </r>
  <r>
    <s v="E202503053"/>
    <x v="1"/>
    <x v="1"/>
    <x v="2"/>
    <s v="Bases de Dados"/>
    <n v="14.6"/>
    <n v="88"/>
    <x v="1"/>
    <x v="2"/>
  </r>
  <r>
    <s v="E202601021"/>
    <x v="2"/>
    <x v="0"/>
    <x v="1"/>
    <s v="Matematica"/>
    <n v="14.6"/>
    <n v="72.900000000000006"/>
    <x v="1"/>
    <x v="0"/>
  </r>
  <r>
    <s v="E202602014"/>
    <x v="2"/>
    <x v="0"/>
    <x v="0"/>
    <s v="Marketing"/>
    <n v="14.6"/>
    <n v="78.599999999999994"/>
    <x v="1"/>
    <x v="2"/>
  </r>
  <r>
    <s v="E202602056"/>
    <x v="2"/>
    <x v="0"/>
    <x v="0"/>
    <s v="Estatistica"/>
    <n v="14.6"/>
    <n v="64.5"/>
    <x v="1"/>
    <x v="0"/>
  </r>
  <r>
    <s v="E202603027"/>
    <x v="2"/>
    <x v="0"/>
    <x v="2"/>
    <s v="Programacao"/>
    <n v="14.6"/>
    <n v="99.4"/>
    <x v="1"/>
    <x v="2"/>
  </r>
  <r>
    <s v="E202603037"/>
    <x v="2"/>
    <x v="0"/>
    <x v="2"/>
    <s v="Redes"/>
    <n v="14.6"/>
    <n v="64.099999999999994"/>
    <x v="1"/>
    <x v="0"/>
  </r>
  <r>
    <s v="E202603057"/>
    <x v="2"/>
    <x v="0"/>
    <x v="2"/>
    <s v="Bases de Dados"/>
    <n v="14.6"/>
    <n v="95.2"/>
    <x v="1"/>
    <x v="2"/>
  </r>
  <r>
    <s v="E202602015"/>
    <x v="2"/>
    <x v="1"/>
    <x v="0"/>
    <s v="Estatistica"/>
    <n v="14.6"/>
    <n v="90.3"/>
    <x v="1"/>
    <x v="2"/>
  </r>
  <r>
    <s v="E202602035"/>
    <x v="2"/>
    <x v="1"/>
    <x v="0"/>
    <s v="Estatistica"/>
    <n v="14.6"/>
    <n v="88.8"/>
    <x v="1"/>
    <x v="2"/>
  </r>
  <r>
    <s v="E202603004"/>
    <x v="2"/>
    <x v="1"/>
    <x v="2"/>
    <s v="Bases de Dados"/>
    <n v="14.6"/>
    <n v="96.1"/>
    <x v="1"/>
    <x v="2"/>
  </r>
  <r>
    <s v="E202603019"/>
    <x v="2"/>
    <x v="1"/>
    <x v="2"/>
    <s v="Programacao"/>
    <n v="14.6"/>
    <n v="94.9"/>
    <x v="1"/>
    <x v="2"/>
  </r>
  <r>
    <s v="E202603026"/>
    <x v="2"/>
    <x v="1"/>
    <x v="2"/>
    <s v="Redes"/>
    <n v="14.6"/>
    <n v="89.5"/>
    <x v="1"/>
    <x v="2"/>
  </r>
  <r>
    <s v="E202603031"/>
    <x v="2"/>
    <x v="1"/>
    <x v="2"/>
    <s v="Redes"/>
    <n v="14.6"/>
    <n v="92"/>
    <x v="1"/>
    <x v="2"/>
  </r>
  <r>
    <s v="E202403018"/>
    <x v="0"/>
    <x v="0"/>
    <x v="2"/>
    <s v="Programacao"/>
    <n v="14.7"/>
    <n v="51.8"/>
    <x v="1"/>
    <x v="0"/>
  </r>
  <r>
    <s v="E202403043"/>
    <x v="0"/>
    <x v="0"/>
    <x v="2"/>
    <s v="Redes"/>
    <n v="14.7"/>
    <n v="90.9"/>
    <x v="1"/>
    <x v="2"/>
  </r>
  <r>
    <s v="E202401019"/>
    <x v="0"/>
    <x v="1"/>
    <x v="1"/>
    <s v="Redes"/>
    <n v="14.7"/>
    <n v="92.7"/>
    <x v="1"/>
    <x v="2"/>
  </r>
  <r>
    <s v="E202403021"/>
    <x v="0"/>
    <x v="1"/>
    <x v="2"/>
    <s v="Bases de Dados"/>
    <n v="14.7"/>
    <n v="81.099999999999994"/>
    <x v="1"/>
    <x v="2"/>
  </r>
  <r>
    <s v="E202403051"/>
    <x v="0"/>
    <x v="1"/>
    <x v="2"/>
    <s v="Programacao"/>
    <n v="14.7"/>
    <n v="73.3"/>
    <x v="1"/>
    <x v="0"/>
  </r>
  <r>
    <s v="E202503058"/>
    <x v="1"/>
    <x v="0"/>
    <x v="2"/>
    <s v="Redes"/>
    <n v="14.7"/>
    <n v="96.3"/>
    <x v="1"/>
    <x v="2"/>
  </r>
  <r>
    <s v="E202502006"/>
    <x v="1"/>
    <x v="1"/>
    <x v="0"/>
    <s v="Contabilidade"/>
    <n v="14.7"/>
    <n v="85"/>
    <x v="1"/>
    <x v="2"/>
  </r>
  <r>
    <s v="E202503004"/>
    <x v="1"/>
    <x v="1"/>
    <x v="2"/>
    <s v="Programacao"/>
    <n v="14.7"/>
    <n v="84.9"/>
    <x v="1"/>
    <x v="2"/>
  </r>
  <r>
    <s v="E202503015"/>
    <x v="1"/>
    <x v="1"/>
    <x v="2"/>
    <s v="Bases de Dados"/>
    <n v="14.7"/>
    <n v="54.6"/>
    <x v="1"/>
    <x v="0"/>
  </r>
  <r>
    <s v="E202503044"/>
    <x v="1"/>
    <x v="1"/>
    <x v="2"/>
    <s v="Programacao"/>
    <n v="14.7"/>
    <n v="55.6"/>
    <x v="1"/>
    <x v="0"/>
  </r>
  <r>
    <s v="E202503045"/>
    <x v="1"/>
    <x v="1"/>
    <x v="2"/>
    <s v="Redes"/>
    <n v="14.7"/>
    <n v="70.5"/>
    <x v="1"/>
    <x v="0"/>
  </r>
  <r>
    <s v="E202503055"/>
    <x v="1"/>
    <x v="1"/>
    <x v="2"/>
    <s v="Programacao"/>
    <n v="14.7"/>
    <n v="96.6"/>
    <x v="1"/>
    <x v="2"/>
  </r>
  <r>
    <s v="E202601004"/>
    <x v="2"/>
    <x v="0"/>
    <x v="1"/>
    <s v="Sinais"/>
    <n v="14.7"/>
    <n v="98"/>
    <x v="1"/>
    <x v="2"/>
  </r>
  <r>
    <s v="E202601010"/>
    <x v="2"/>
    <x v="0"/>
    <x v="1"/>
    <s v="Sinais"/>
    <n v="14.7"/>
    <n v="87.1"/>
    <x v="1"/>
    <x v="2"/>
  </r>
  <r>
    <s v="E202601022"/>
    <x v="2"/>
    <x v="0"/>
    <x v="1"/>
    <s v="Sinais"/>
    <n v="14.7"/>
    <n v="98.2"/>
    <x v="1"/>
    <x v="2"/>
  </r>
  <r>
    <s v="E202601049"/>
    <x v="2"/>
    <x v="0"/>
    <x v="1"/>
    <s v="Matematica"/>
    <n v="14.7"/>
    <n v="94.9"/>
    <x v="1"/>
    <x v="2"/>
  </r>
  <r>
    <s v="E202601054"/>
    <x v="2"/>
    <x v="0"/>
    <x v="1"/>
    <s v="Redes"/>
    <n v="14.7"/>
    <n v="81.099999999999994"/>
    <x v="1"/>
    <x v="2"/>
  </r>
  <r>
    <s v="E202602047"/>
    <x v="2"/>
    <x v="0"/>
    <x v="0"/>
    <s v="Contabilidade"/>
    <n v="14.7"/>
    <n v="84.9"/>
    <x v="1"/>
    <x v="2"/>
  </r>
  <r>
    <s v="E202602058"/>
    <x v="2"/>
    <x v="0"/>
    <x v="0"/>
    <s v="Contabilidade"/>
    <n v="14.7"/>
    <n v="70.2"/>
    <x v="1"/>
    <x v="0"/>
  </r>
  <r>
    <s v="E202603058"/>
    <x v="2"/>
    <x v="0"/>
    <x v="2"/>
    <s v="Programacao"/>
    <n v="14.7"/>
    <n v="80.900000000000006"/>
    <x v="1"/>
    <x v="2"/>
  </r>
  <r>
    <s v="E202601016"/>
    <x v="2"/>
    <x v="1"/>
    <x v="1"/>
    <s v="Sinais"/>
    <n v="14.7"/>
    <n v="82.7"/>
    <x v="1"/>
    <x v="2"/>
  </r>
  <r>
    <s v="E202601050"/>
    <x v="2"/>
    <x v="1"/>
    <x v="1"/>
    <s v="Redes"/>
    <n v="14.7"/>
    <n v="99.8"/>
    <x v="1"/>
    <x v="2"/>
  </r>
  <r>
    <s v="E202603008"/>
    <x v="2"/>
    <x v="1"/>
    <x v="2"/>
    <s v="Redes"/>
    <n v="14.7"/>
    <n v="82.8"/>
    <x v="1"/>
    <x v="2"/>
  </r>
  <r>
    <s v="E202603013"/>
    <x v="2"/>
    <x v="1"/>
    <x v="2"/>
    <s v="Redes"/>
    <n v="14.7"/>
    <n v="48.5"/>
    <x v="1"/>
    <x v="1"/>
  </r>
  <r>
    <s v="E202603019"/>
    <x v="2"/>
    <x v="1"/>
    <x v="2"/>
    <s v="Redes"/>
    <n v="14.7"/>
    <n v="49.5"/>
    <x v="1"/>
    <x v="1"/>
  </r>
  <r>
    <s v="E202603027"/>
    <x v="2"/>
    <x v="1"/>
    <x v="2"/>
    <s v="Bases de Dados"/>
    <n v="14.7"/>
    <n v="63.2"/>
    <x v="1"/>
    <x v="0"/>
  </r>
  <r>
    <s v="E202603056"/>
    <x v="2"/>
    <x v="1"/>
    <x v="2"/>
    <s v="Bases de Dados"/>
    <n v="14.7"/>
    <n v="76.8"/>
    <x v="1"/>
    <x v="2"/>
  </r>
  <r>
    <s v="E202401009"/>
    <x v="0"/>
    <x v="0"/>
    <x v="1"/>
    <s v="Redes"/>
    <n v="14.8"/>
    <n v="70.7"/>
    <x v="1"/>
    <x v="0"/>
  </r>
  <r>
    <s v="E202401028"/>
    <x v="0"/>
    <x v="0"/>
    <x v="1"/>
    <s v="Redes"/>
    <n v="14.8"/>
    <n v="99.3"/>
    <x v="1"/>
    <x v="2"/>
  </r>
  <r>
    <s v="E202401048"/>
    <x v="0"/>
    <x v="0"/>
    <x v="1"/>
    <s v="Redes"/>
    <n v="14.8"/>
    <n v="83.3"/>
    <x v="1"/>
    <x v="2"/>
  </r>
  <r>
    <s v="E202402058"/>
    <x v="0"/>
    <x v="0"/>
    <x v="0"/>
    <s v="Contabilidade"/>
    <n v="14.8"/>
    <n v="98.6"/>
    <x v="1"/>
    <x v="2"/>
  </r>
  <r>
    <s v="E202401048"/>
    <x v="0"/>
    <x v="1"/>
    <x v="1"/>
    <s v="Redes"/>
    <n v="14.8"/>
    <n v="83.9"/>
    <x v="1"/>
    <x v="2"/>
  </r>
  <r>
    <s v="E202401048"/>
    <x v="0"/>
    <x v="1"/>
    <x v="1"/>
    <s v="Sinais"/>
    <n v="14.8"/>
    <n v="98.4"/>
    <x v="1"/>
    <x v="2"/>
  </r>
  <r>
    <s v="E202403007"/>
    <x v="0"/>
    <x v="1"/>
    <x v="2"/>
    <s v="Redes"/>
    <n v="14.8"/>
    <n v="95.2"/>
    <x v="1"/>
    <x v="2"/>
  </r>
  <r>
    <s v="E202403031"/>
    <x v="0"/>
    <x v="1"/>
    <x v="2"/>
    <s v="Redes"/>
    <n v="14.8"/>
    <n v="78.3"/>
    <x v="1"/>
    <x v="2"/>
  </r>
  <r>
    <s v="E202501057"/>
    <x v="1"/>
    <x v="0"/>
    <x v="1"/>
    <s v="Redes"/>
    <n v="14.8"/>
    <n v="88.3"/>
    <x v="1"/>
    <x v="2"/>
  </r>
  <r>
    <s v="E202502006"/>
    <x v="1"/>
    <x v="0"/>
    <x v="0"/>
    <s v="Marketing"/>
    <n v="14.8"/>
    <n v="93.2"/>
    <x v="1"/>
    <x v="2"/>
  </r>
  <r>
    <s v="E202501019"/>
    <x v="1"/>
    <x v="1"/>
    <x v="1"/>
    <s v="Sinais"/>
    <n v="14.8"/>
    <n v="95.9"/>
    <x v="1"/>
    <x v="2"/>
  </r>
  <r>
    <s v="E202501033"/>
    <x v="1"/>
    <x v="1"/>
    <x v="1"/>
    <s v="Sinais"/>
    <n v="14.8"/>
    <n v="95.6"/>
    <x v="1"/>
    <x v="2"/>
  </r>
  <r>
    <s v="E202502021"/>
    <x v="1"/>
    <x v="1"/>
    <x v="0"/>
    <s v="Contabilidade"/>
    <n v="14.8"/>
    <n v="84.3"/>
    <x v="1"/>
    <x v="2"/>
  </r>
  <r>
    <s v="E202503016"/>
    <x v="1"/>
    <x v="1"/>
    <x v="2"/>
    <s v="Programacao"/>
    <n v="14.8"/>
    <n v="80.599999999999994"/>
    <x v="1"/>
    <x v="2"/>
  </r>
  <r>
    <s v="E202503024"/>
    <x v="1"/>
    <x v="1"/>
    <x v="2"/>
    <s v="Programacao"/>
    <n v="14.8"/>
    <n v="99.6"/>
    <x v="1"/>
    <x v="2"/>
  </r>
  <r>
    <s v="E202503029"/>
    <x v="1"/>
    <x v="1"/>
    <x v="2"/>
    <s v="Redes"/>
    <n v="14.8"/>
    <n v="72.599999999999994"/>
    <x v="1"/>
    <x v="0"/>
  </r>
  <r>
    <s v="E202601015"/>
    <x v="2"/>
    <x v="0"/>
    <x v="1"/>
    <s v="Matematica"/>
    <n v="14.8"/>
    <n v="98.5"/>
    <x v="1"/>
    <x v="2"/>
  </r>
  <r>
    <s v="E202601041"/>
    <x v="2"/>
    <x v="0"/>
    <x v="1"/>
    <s v="Matematica"/>
    <n v="14.8"/>
    <n v="75.3"/>
    <x v="1"/>
    <x v="2"/>
  </r>
  <r>
    <s v="E202602045"/>
    <x v="2"/>
    <x v="0"/>
    <x v="0"/>
    <s v="Estatistica"/>
    <n v="14.8"/>
    <n v="87.7"/>
    <x v="1"/>
    <x v="2"/>
  </r>
  <r>
    <s v="E202602055"/>
    <x v="2"/>
    <x v="0"/>
    <x v="0"/>
    <s v="Estatistica"/>
    <n v="14.8"/>
    <n v="78.2"/>
    <x v="1"/>
    <x v="2"/>
  </r>
  <r>
    <s v="E202602041"/>
    <x v="2"/>
    <x v="1"/>
    <x v="0"/>
    <s v="Marketing"/>
    <n v="14.8"/>
    <n v="85.9"/>
    <x v="1"/>
    <x v="2"/>
  </r>
  <r>
    <s v="E202401025"/>
    <x v="0"/>
    <x v="0"/>
    <x v="1"/>
    <s v="Matematica"/>
    <n v="14.9"/>
    <n v="45.5"/>
    <x v="1"/>
    <x v="1"/>
  </r>
  <r>
    <s v="E202401035"/>
    <x v="0"/>
    <x v="0"/>
    <x v="1"/>
    <s v="Sinais"/>
    <n v="14.9"/>
    <n v="72.7"/>
    <x v="1"/>
    <x v="0"/>
  </r>
  <r>
    <s v="E202401057"/>
    <x v="0"/>
    <x v="0"/>
    <x v="1"/>
    <s v="Redes"/>
    <n v="14.9"/>
    <n v="72.3"/>
    <x v="1"/>
    <x v="0"/>
  </r>
  <r>
    <s v="E202402003"/>
    <x v="0"/>
    <x v="0"/>
    <x v="0"/>
    <s v="Marketing"/>
    <n v="14.9"/>
    <n v="82.9"/>
    <x v="1"/>
    <x v="2"/>
  </r>
  <r>
    <s v="E202402005"/>
    <x v="0"/>
    <x v="0"/>
    <x v="0"/>
    <s v="Estatistica"/>
    <n v="14.9"/>
    <n v="84.9"/>
    <x v="1"/>
    <x v="2"/>
  </r>
  <r>
    <s v="E202402026"/>
    <x v="0"/>
    <x v="0"/>
    <x v="0"/>
    <s v="Marketing"/>
    <n v="14.9"/>
    <n v="73.400000000000006"/>
    <x v="1"/>
    <x v="0"/>
  </r>
  <r>
    <s v="E202402058"/>
    <x v="0"/>
    <x v="0"/>
    <x v="0"/>
    <s v="Estatistica"/>
    <n v="14.9"/>
    <n v="73"/>
    <x v="1"/>
    <x v="0"/>
  </r>
  <r>
    <s v="E202403009"/>
    <x v="0"/>
    <x v="0"/>
    <x v="2"/>
    <s v="Programacao"/>
    <n v="14.9"/>
    <n v="84.8"/>
    <x v="1"/>
    <x v="2"/>
  </r>
  <r>
    <s v="E202401007"/>
    <x v="0"/>
    <x v="1"/>
    <x v="1"/>
    <s v="Sinais"/>
    <n v="14.9"/>
    <n v="93.6"/>
    <x v="1"/>
    <x v="2"/>
  </r>
  <r>
    <s v="E202401015"/>
    <x v="0"/>
    <x v="1"/>
    <x v="1"/>
    <s v="Sinais"/>
    <n v="14.9"/>
    <n v="88.5"/>
    <x v="1"/>
    <x v="2"/>
  </r>
  <r>
    <s v="E202401017"/>
    <x v="0"/>
    <x v="1"/>
    <x v="1"/>
    <s v="Redes"/>
    <n v="14.9"/>
    <n v="56.5"/>
    <x v="1"/>
    <x v="0"/>
  </r>
  <r>
    <s v="E202402018"/>
    <x v="0"/>
    <x v="1"/>
    <x v="0"/>
    <s v="Contabilidade"/>
    <n v="14.9"/>
    <n v="84.3"/>
    <x v="1"/>
    <x v="2"/>
  </r>
  <r>
    <s v="E202501044"/>
    <x v="1"/>
    <x v="0"/>
    <x v="1"/>
    <s v="Matematica"/>
    <n v="14.9"/>
    <n v="99.6"/>
    <x v="1"/>
    <x v="2"/>
  </r>
  <r>
    <s v="E202502027"/>
    <x v="1"/>
    <x v="0"/>
    <x v="0"/>
    <s v="Contabilidade"/>
    <n v="14.9"/>
    <n v="49.6"/>
    <x v="1"/>
    <x v="1"/>
  </r>
  <r>
    <s v="E202503023"/>
    <x v="1"/>
    <x v="1"/>
    <x v="2"/>
    <s v="Bases de Dados"/>
    <n v="14.9"/>
    <n v="74.3"/>
    <x v="1"/>
    <x v="0"/>
  </r>
  <r>
    <s v="E202601017"/>
    <x v="2"/>
    <x v="0"/>
    <x v="1"/>
    <s v="Redes"/>
    <n v="14.9"/>
    <n v="94"/>
    <x v="1"/>
    <x v="2"/>
  </r>
  <r>
    <s v="E202601040"/>
    <x v="2"/>
    <x v="0"/>
    <x v="1"/>
    <s v="Redes"/>
    <n v="14.9"/>
    <n v="93.6"/>
    <x v="1"/>
    <x v="2"/>
  </r>
  <r>
    <s v="E202602051"/>
    <x v="2"/>
    <x v="0"/>
    <x v="0"/>
    <s v="Contabilidade"/>
    <n v="14.9"/>
    <n v="85.8"/>
    <x v="1"/>
    <x v="2"/>
  </r>
  <r>
    <s v="E202602053"/>
    <x v="2"/>
    <x v="0"/>
    <x v="0"/>
    <s v="Contabilidade"/>
    <n v="14.9"/>
    <n v="99.8"/>
    <x v="1"/>
    <x v="2"/>
  </r>
  <r>
    <s v="E202603052"/>
    <x v="2"/>
    <x v="0"/>
    <x v="2"/>
    <s v="Programacao"/>
    <n v="14.9"/>
    <n v="99.9"/>
    <x v="1"/>
    <x v="2"/>
  </r>
  <r>
    <s v="E202601051"/>
    <x v="2"/>
    <x v="1"/>
    <x v="1"/>
    <s v="Matematica"/>
    <n v="14.9"/>
    <n v="97.6"/>
    <x v="1"/>
    <x v="2"/>
  </r>
  <r>
    <s v="E202602049"/>
    <x v="2"/>
    <x v="1"/>
    <x v="0"/>
    <s v="Contabilidade"/>
    <n v="14.9"/>
    <n v="89.8"/>
    <x v="1"/>
    <x v="2"/>
  </r>
  <r>
    <s v="E202603012"/>
    <x v="2"/>
    <x v="1"/>
    <x v="2"/>
    <s v="Bases de Dados"/>
    <n v="14.9"/>
    <n v="90.5"/>
    <x v="1"/>
    <x v="2"/>
  </r>
  <r>
    <s v="E202401048"/>
    <x v="0"/>
    <x v="0"/>
    <x v="1"/>
    <s v="Sinais"/>
    <n v="15"/>
    <n v="98.8"/>
    <x v="1"/>
    <x v="2"/>
  </r>
  <r>
    <s v="E202401039"/>
    <x v="0"/>
    <x v="1"/>
    <x v="1"/>
    <s v="Sinais"/>
    <n v="15"/>
    <n v="97.4"/>
    <x v="1"/>
    <x v="2"/>
  </r>
  <r>
    <s v="E202403036"/>
    <x v="0"/>
    <x v="1"/>
    <x v="2"/>
    <s v="Bases de Dados"/>
    <n v="15"/>
    <n v="94.9"/>
    <x v="1"/>
    <x v="2"/>
  </r>
  <r>
    <s v="E202403047"/>
    <x v="0"/>
    <x v="1"/>
    <x v="2"/>
    <s v="Bases de Dados"/>
    <n v="15"/>
    <n v="83.2"/>
    <x v="1"/>
    <x v="2"/>
  </r>
  <r>
    <s v="E202501021"/>
    <x v="1"/>
    <x v="0"/>
    <x v="1"/>
    <s v="Sinais"/>
    <n v="15"/>
    <n v="98.8"/>
    <x v="1"/>
    <x v="2"/>
  </r>
  <r>
    <s v="E202501034"/>
    <x v="1"/>
    <x v="0"/>
    <x v="1"/>
    <s v="Redes"/>
    <n v="15"/>
    <n v="85.9"/>
    <x v="1"/>
    <x v="2"/>
  </r>
  <r>
    <s v="E202501041"/>
    <x v="1"/>
    <x v="0"/>
    <x v="1"/>
    <s v="Matematica"/>
    <n v="15"/>
    <n v="94.8"/>
    <x v="1"/>
    <x v="2"/>
  </r>
  <r>
    <s v="E202501046"/>
    <x v="1"/>
    <x v="0"/>
    <x v="1"/>
    <s v="Matematica"/>
    <n v="15"/>
    <n v="66.5"/>
    <x v="1"/>
    <x v="0"/>
  </r>
  <r>
    <s v="E202502003"/>
    <x v="1"/>
    <x v="0"/>
    <x v="0"/>
    <s v="Marketing"/>
    <n v="15"/>
    <n v="92.3"/>
    <x v="1"/>
    <x v="2"/>
  </r>
  <r>
    <s v="E202502037"/>
    <x v="1"/>
    <x v="0"/>
    <x v="0"/>
    <s v="Marketing"/>
    <n v="15"/>
    <n v="55.7"/>
    <x v="1"/>
    <x v="0"/>
  </r>
  <r>
    <s v="E202502043"/>
    <x v="1"/>
    <x v="0"/>
    <x v="0"/>
    <s v="Estatistica"/>
    <n v="15"/>
    <n v="89.4"/>
    <x v="1"/>
    <x v="2"/>
  </r>
  <r>
    <s v="E202502054"/>
    <x v="1"/>
    <x v="0"/>
    <x v="0"/>
    <s v="Estatistica"/>
    <n v="15"/>
    <n v="83.7"/>
    <x v="1"/>
    <x v="2"/>
  </r>
  <r>
    <s v="E202503056"/>
    <x v="1"/>
    <x v="0"/>
    <x v="2"/>
    <s v="Bases de Dados"/>
    <n v="15"/>
    <n v="71.2"/>
    <x v="1"/>
    <x v="0"/>
  </r>
  <r>
    <s v="E202501037"/>
    <x v="1"/>
    <x v="1"/>
    <x v="1"/>
    <s v="Sinais"/>
    <n v="15"/>
    <n v="53.7"/>
    <x v="1"/>
    <x v="0"/>
  </r>
  <r>
    <s v="E202503023"/>
    <x v="1"/>
    <x v="1"/>
    <x v="2"/>
    <s v="Programacao"/>
    <n v="15"/>
    <n v="91.9"/>
    <x v="1"/>
    <x v="2"/>
  </r>
  <r>
    <s v="E202601009"/>
    <x v="2"/>
    <x v="0"/>
    <x v="1"/>
    <s v="Matematica"/>
    <n v="15"/>
    <n v="62.3"/>
    <x v="1"/>
    <x v="0"/>
  </r>
  <r>
    <s v="E202601012"/>
    <x v="2"/>
    <x v="0"/>
    <x v="1"/>
    <s v="Redes"/>
    <n v="15"/>
    <n v="82.7"/>
    <x v="1"/>
    <x v="2"/>
  </r>
  <r>
    <s v="E202602011"/>
    <x v="2"/>
    <x v="0"/>
    <x v="0"/>
    <s v="Estatistica"/>
    <n v="15"/>
    <n v="90.3"/>
    <x v="1"/>
    <x v="2"/>
  </r>
  <r>
    <s v="E202602034"/>
    <x v="2"/>
    <x v="0"/>
    <x v="0"/>
    <s v="Contabilidade"/>
    <n v="15"/>
    <n v="94.6"/>
    <x v="1"/>
    <x v="2"/>
  </r>
  <r>
    <s v="E202602046"/>
    <x v="2"/>
    <x v="0"/>
    <x v="0"/>
    <s v="Contabilidade"/>
    <n v="15"/>
    <n v="96.4"/>
    <x v="1"/>
    <x v="2"/>
  </r>
  <r>
    <s v="E202602047"/>
    <x v="2"/>
    <x v="0"/>
    <x v="0"/>
    <s v="Marketing"/>
    <n v="15"/>
    <n v="98.2"/>
    <x v="1"/>
    <x v="2"/>
  </r>
  <r>
    <s v="E202601009"/>
    <x v="2"/>
    <x v="1"/>
    <x v="1"/>
    <s v="Redes"/>
    <n v="15"/>
    <n v="77.400000000000006"/>
    <x v="1"/>
    <x v="2"/>
  </r>
  <r>
    <s v="E202601014"/>
    <x v="2"/>
    <x v="1"/>
    <x v="1"/>
    <s v="Sinais"/>
    <n v="15"/>
    <n v="98.7"/>
    <x v="1"/>
    <x v="2"/>
  </r>
  <r>
    <s v="E202602027"/>
    <x v="2"/>
    <x v="1"/>
    <x v="0"/>
    <s v="Estatistica"/>
    <n v="15"/>
    <n v="77.599999999999994"/>
    <x v="1"/>
    <x v="2"/>
  </r>
  <r>
    <s v="E202602030"/>
    <x v="2"/>
    <x v="1"/>
    <x v="0"/>
    <s v="Contabilidade"/>
    <n v="15"/>
    <n v="79.5"/>
    <x v="1"/>
    <x v="2"/>
  </r>
  <r>
    <s v="E202603015"/>
    <x v="2"/>
    <x v="1"/>
    <x v="2"/>
    <s v="Programacao"/>
    <n v="15"/>
    <n v="96.4"/>
    <x v="1"/>
    <x v="2"/>
  </r>
  <r>
    <s v="E202401035"/>
    <x v="0"/>
    <x v="0"/>
    <x v="1"/>
    <s v="Matematica"/>
    <n v="15.1"/>
    <n v="56.9"/>
    <x v="1"/>
    <x v="0"/>
  </r>
  <r>
    <s v="E202401056"/>
    <x v="0"/>
    <x v="0"/>
    <x v="1"/>
    <s v="Sinais"/>
    <n v="15.1"/>
    <n v="69.599999999999994"/>
    <x v="1"/>
    <x v="0"/>
  </r>
  <r>
    <s v="E202403003"/>
    <x v="0"/>
    <x v="0"/>
    <x v="2"/>
    <s v="Bases de Dados"/>
    <n v="15.1"/>
    <n v="91"/>
    <x v="1"/>
    <x v="2"/>
  </r>
  <r>
    <s v="E202401027"/>
    <x v="0"/>
    <x v="1"/>
    <x v="1"/>
    <s v="Redes"/>
    <n v="15.1"/>
    <n v="68.8"/>
    <x v="1"/>
    <x v="0"/>
  </r>
  <r>
    <s v="E202401042"/>
    <x v="0"/>
    <x v="1"/>
    <x v="1"/>
    <s v="Redes"/>
    <n v="15.1"/>
    <n v="93.2"/>
    <x v="1"/>
    <x v="2"/>
  </r>
  <r>
    <s v="E202403054"/>
    <x v="0"/>
    <x v="1"/>
    <x v="2"/>
    <s v="Programacao"/>
    <n v="15.1"/>
    <n v="93.1"/>
    <x v="1"/>
    <x v="2"/>
  </r>
  <r>
    <s v="E202501042"/>
    <x v="1"/>
    <x v="0"/>
    <x v="1"/>
    <s v="Redes"/>
    <n v="15.1"/>
    <n v="90.4"/>
    <x v="1"/>
    <x v="2"/>
  </r>
  <r>
    <s v="E202502002"/>
    <x v="1"/>
    <x v="0"/>
    <x v="0"/>
    <s v="Marketing"/>
    <n v="15.1"/>
    <n v="89.5"/>
    <x v="1"/>
    <x v="2"/>
  </r>
  <r>
    <s v="E202501023"/>
    <x v="1"/>
    <x v="1"/>
    <x v="1"/>
    <s v="Matematica"/>
    <n v="15.1"/>
    <n v="61.4"/>
    <x v="1"/>
    <x v="0"/>
  </r>
  <r>
    <s v="E202501038"/>
    <x v="1"/>
    <x v="1"/>
    <x v="1"/>
    <s v="Redes"/>
    <n v="15.1"/>
    <n v="74.5"/>
    <x v="1"/>
    <x v="0"/>
  </r>
  <r>
    <s v="E202502001"/>
    <x v="1"/>
    <x v="1"/>
    <x v="0"/>
    <s v="Contabilidade"/>
    <n v="15.1"/>
    <n v="95.4"/>
    <x v="1"/>
    <x v="2"/>
  </r>
  <r>
    <s v="E202601027"/>
    <x v="2"/>
    <x v="0"/>
    <x v="1"/>
    <s v="Redes"/>
    <n v="15.1"/>
    <n v="99"/>
    <x v="1"/>
    <x v="2"/>
  </r>
  <r>
    <s v="E202602019"/>
    <x v="2"/>
    <x v="0"/>
    <x v="0"/>
    <s v="Contabilidade"/>
    <n v="15.1"/>
    <n v="96"/>
    <x v="1"/>
    <x v="2"/>
  </r>
  <r>
    <s v="E202603029"/>
    <x v="2"/>
    <x v="0"/>
    <x v="2"/>
    <s v="Bases de Dados"/>
    <n v="15.1"/>
    <n v="99.1"/>
    <x v="1"/>
    <x v="2"/>
  </r>
  <r>
    <s v="E202603055"/>
    <x v="2"/>
    <x v="0"/>
    <x v="2"/>
    <s v="Bases de Dados"/>
    <n v="15.1"/>
    <n v="75.400000000000006"/>
    <x v="1"/>
    <x v="2"/>
  </r>
  <r>
    <s v="E202601006"/>
    <x v="2"/>
    <x v="1"/>
    <x v="1"/>
    <s v="Matematica"/>
    <n v="15.1"/>
    <n v="78.5"/>
    <x v="1"/>
    <x v="2"/>
  </r>
  <r>
    <s v="E202601032"/>
    <x v="2"/>
    <x v="1"/>
    <x v="1"/>
    <s v="Sinais"/>
    <n v="15.1"/>
    <n v="76.900000000000006"/>
    <x v="1"/>
    <x v="2"/>
  </r>
  <r>
    <s v="E202401043"/>
    <x v="0"/>
    <x v="0"/>
    <x v="1"/>
    <s v="Matematica"/>
    <n v="15.2"/>
    <n v="85.4"/>
    <x v="1"/>
    <x v="2"/>
  </r>
  <r>
    <s v="E202403017"/>
    <x v="0"/>
    <x v="0"/>
    <x v="2"/>
    <s v="Programacao"/>
    <n v="15.2"/>
    <n v="87"/>
    <x v="1"/>
    <x v="2"/>
  </r>
  <r>
    <s v="E202402039"/>
    <x v="0"/>
    <x v="1"/>
    <x v="0"/>
    <s v="Contabilidade"/>
    <n v="15.2"/>
    <n v="83.1"/>
    <x v="1"/>
    <x v="2"/>
  </r>
  <r>
    <s v="E202501051"/>
    <x v="1"/>
    <x v="0"/>
    <x v="1"/>
    <s v="Matematica"/>
    <n v="15.2"/>
    <n v="83.6"/>
    <x v="1"/>
    <x v="2"/>
  </r>
  <r>
    <s v="E202501047"/>
    <x v="1"/>
    <x v="1"/>
    <x v="1"/>
    <s v="Sinais"/>
    <n v="15.2"/>
    <n v="97"/>
    <x v="1"/>
    <x v="2"/>
  </r>
  <r>
    <s v="E202502025"/>
    <x v="1"/>
    <x v="1"/>
    <x v="0"/>
    <s v="Contabilidade"/>
    <n v="15.2"/>
    <n v="98.3"/>
    <x v="1"/>
    <x v="2"/>
  </r>
  <r>
    <s v="E202503019"/>
    <x v="1"/>
    <x v="1"/>
    <x v="2"/>
    <s v="Programacao"/>
    <n v="15.2"/>
    <n v="99.9"/>
    <x v="1"/>
    <x v="2"/>
  </r>
  <r>
    <s v="E202603021"/>
    <x v="2"/>
    <x v="0"/>
    <x v="2"/>
    <s v="Programacao"/>
    <n v="15.2"/>
    <n v="92.2"/>
    <x v="1"/>
    <x v="2"/>
  </r>
  <r>
    <s v="E202603057"/>
    <x v="2"/>
    <x v="0"/>
    <x v="2"/>
    <s v="Redes"/>
    <n v="15.2"/>
    <n v="78.400000000000006"/>
    <x v="1"/>
    <x v="2"/>
  </r>
  <r>
    <s v="E202601037"/>
    <x v="2"/>
    <x v="1"/>
    <x v="1"/>
    <s v="Redes"/>
    <n v="15.2"/>
    <n v="81.2"/>
    <x v="1"/>
    <x v="2"/>
  </r>
  <r>
    <s v="E202602025"/>
    <x v="2"/>
    <x v="1"/>
    <x v="0"/>
    <s v="Estatistica"/>
    <n v="15.2"/>
    <n v="67.8"/>
    <x v="1"/>
    <x v="0"/>
  </r>
  <r>
    <s v="E202603005"/>
    <x v="2"/>
    <x v="1"/>
    <x v="2"/>
    <s v="Programacao"/>
    <n v="15.2"/>
    <n v="70.400000000000006"/>
    <x v="1"/>
    <x v="0"/>
  </r>
  <r>
    <s v="E202402036"/>
    <x v="0"/>
    <x v="0"/>
    <x v="0"/>
    <s v="Estatistica"/>
    <n v="15.3"/>
    <n v="92.7"/>
    <x v="1"/>
    <x v="2"/>
  </r>
  <r>
    <s v="E202402050"/>
    <x v="0"/>
    <x v="0"/>
    <x v="0"/>
    <s v="Marketing"/>
    <n v="15.3"/>
    <n v="81.5"/>
    <x v="1"/>
    <x v="2"/>
  </r>
  <r>
    <s v="E202402059"/>
    <x v="0"/>
    <x v="0"/>
    <x v="0"/>
    <s v="Marketing"/>
    <n v="15.3"/>
    <n v="84.6"/>
    <x v="1"/>
    <x v="2"/>
  </r>
  <r>
    <s v="E202403004"/>
    <x v="0"/>
    <x v="0"/>
    <x v="2"/>
    <s v="Redes"/>
    <n v="15.3"/>
    <n v="91.8"/>
    <x v="1"/>
    <x v="2"/>
  </r>
  <r>
    <s v="E202401015"/>
    <x v="0"/>
    <x v="1"/>
    <x v="1"/>
    <s v="Matematica"/>
    <n v="15.3"/>
    <n v="72.099999999999994"/>
    <x v="1"/>
    <x v="0"/>
  </r>
  <r>
    <s v="E202501017"/>
    <x v="1"/>
    <x v="0"/>
    <x v="1"/>
    <s v="Matematica"/>
    <n v="15.3"/>
    <n v="98.5"/>
    <x v="1"/>
    <x v="2"/>
  </r>
  <r>
    <s v="E202502013"/>
    <x v="1"/>
    <x v="0"/>
    <x v="0"/>
    <s v="Marketing"/>
    <n v="15.3"/>
    <n v="84.3"/>
    <x v="1"/>
    <x v="2"/>
  </r>
  <r>
    <s v="E202502016"/>
    <x v="1"/>
    <x v="0"/>
    <x v="0"/>
    <s v="Marketing"/>
    <n v="15.3"/>
    <n v="78.400000000000006"/>
    <x v="1"/>
    <x v="2"/>
  </r>
  <r>
    <s v="E202502016"/>
    <x v="1"/>
    <x v="1"/>
    <x v="0"/>
    <s v="Estatistica"/>
    <n v="15.3"/>
    <n v="66.2"/>
    <x v="1"/>
    <x v="0"/>
  </r>
  <r>
    <s v="E202601003"/>
    <x v="2"/>
    <x v="0"/>
    <x v="1"/>
    <s v="Sinais"/>
    <n v="15.3"/>
    <n v="99.5"/>
    <x v="1"/>
    <x v="2"/>
  </r>
  <r>
    <s v="E202602018"/>
    <x v="2"/>
    <x v="0"/>
    <x v="0"/>
    <s v="Contabilidade"/>
    <n v="15.3"/>
    <n v="91.5"/>
    <x v="1"/>
    <x v="2"/>
  </r>
  <r>
    <s v="E202602046"/>
    <x v="2"/>
    <x v="1"/>
    <x v="0"/>
    <s v="Estatistica"/>
    <n v="15.3"/>
    <n v="87.7"/>
    <x v="1"/>
    <x v="2"/>
  </r>
  <r>
    <s v="E202401011"/>
    <x v="0"/>
    <x v="0"/>
    <x v="1"/>
    <s v="Sinais"/>
    <n v="15.4"/>
    <n v="53.3"/>
    <x v="1"/>
    <x v="0"/>
  </r>
  <r>
    <s v="E202402046"/>
    <x v="0"/>
    <x v="0"/>
    <x v="0"/>
    <s v="Contabilidade"/>
    <n v="15.4"/>
    <n v="75.400000000000006"/>
    <x v="1"/>
    <x v="2"/>
  </r>
  <r>
    <s v="E202403053"/>
    <x v="0"/>
    <x v="0"/>
    <x v="2"/>
    <s v="Redes"/>
    <n v="15.4"/>
    <n v="94.4"/>
    <x v="1"/>
    <x v="2"/>
  </r>
  <r>
    <s v="E202402021"/>
    <x v="0"/>
    <x v="1"/>
    <x v="0"/>
    <s v="Contabilidade"/>
    <n v="15.4"/>
    <n v="96.6"/>
    <x v="1"/>
    <x v="2"/>
  </r>
  <r>
    <s v="E202403020"/>
    <x v="0"/>
    <x v="1"/>
    <x v="2"/>
    <s v="Programacao"/>
    <n v="15.4"/>
    <n v="88.4"/>
    <x v="1"/>
    <x v="2"/>
  </r>
  <r>
    <s v="E202501002"/>
    <x v="1"/>
    <x v="0"/>
    <x v="1"/>
    <s v="Sinais"/>
    <n v="15.4"/>
    <n v="95"/>
    <x v="1"/>
    <x v="2"/>
  </r>
  <r>
    <s v="E202501046"/>
    <x v="1"/>
    <x v="0"/>
    <x v="1"/>
    <s v="Sinais"/>
    <n v="15.4"/>
    <n v="90.4"/>
    <x v="1"/>
    <x v="2"/>
  </r>
  <r>
    <s v="E202501052"/>
    <x v="1"/>
    <x v="0"/>
    <x v="1"/>
    <s v="Redes"/>
    <n v="15.4"/>
    <n v="75.599999999999994"/>
    <x v="1"/>
    <x v="2"/>
  </r>
  <r>
    <s v="E202502040"/>
    <x v="1"/>
    <x v="0"/>
    <x v="0"/>
    <s v="Contabilidade"/>
    <n v="15.4"/>
    <n v="79.099999999999994"/>
    <x v="1"/>
    <x v="2"/>
  </r>
  <r>
    <s v="E202502025"/>
    <x v="1"/>
    <x v="1"/>
    <x v="0"/>
    <s v="Estatistica"/>
    <n v="15.4"/>
    <n v="95.7"/>
    <x v="1"/>
    <x v="2"/>
  </r>
  <r>
    <s v="E202502030"/>
    <x v="1"/>
    <x v="1"/>
    <x v="0"/>
    <s v="Marketing"/>
    <n v="15.4"/>
    <n v="96.5"/>
    <x v="1"/>
    <x v="2"/>
  </r>
  <r>
    <s v="E202502044"/>
    <x v="1"/>
    <x v="1"/>
    <x v="0"/>
    <s v="Estatistica"/>
    <n v="15.4"/>
    <n v="98.3"/>
    <x v="1"/>
    <x v="2"/>
  </r>
  <r>
    <s v="E202503017"/>
    <x v="1"/>
    <x v="1"/>
    <x v="2"/>
    <s v="Programacao"/>
    <n v="15.4"/>
    <n v="88.4"/>
    <x v="1"/>
    <x v="2"/>
  </r>
  <r>
    <s v="E202503041"/>
    <x v="1"/>
    <x v="1"/>
    <x v="2"/>
    <s v="Programacao"/>
    <n v="15.4"/>
    <n v="96.4"/>
    <x v="1"/>
    <x v="2"/>
  </r>
  <r>
    <s v="E202601009"/>
    <x v="2"/>
    <x v="0"/>
    <x v="1"/>
    <s v="Sinais"/>
    <n v="15.4"/>
    <n v="91.9"/>
    <x v="1"/>
    <x v="2"/>
  </r>
  <r>
    <s v="E202601012"/>
    <x v="2"/>
    <x v="1"/>
    <x v="1"/>
    <s v="Matematica"/>
    <n v="15.4"/>
    <n v="94.3"/>
    <x v="1"/>
    <x v="2"/>
  </r>
  <r>
    <s v="E202602036"/>
    <x v="2"/>
    <x v="1"/>
    <x v="0"/>
    <s v="Estatistica"/>
    <n v="15.4"/>
    <n v="65.5"/>
    <x v="1"/>
    <x v="0"/>
  </r>
  <r>
    <s v="E202403019"/>
    <x v="0"/>
    <x v="0"/>
    <x v="2"/>
    <s v="Redes"/>
    <n v="15.5"/>
    <n v="89.3"/>
    <x v="1"/>
    <x v="2"/>
  </r>
  <r>
    <s v="E202403020"/>
    <x v="0"/>
    <x v="0"/>
    <x v="2"/>
    <s v="Programacao"/>
    <n v="15.5"/>
    <n v="89.4"/>
    <x v="1"/>
    <x v="2"/>
  </r>
  <r>
    <s v="E202401035"/>
    <x v="0"/>
    <x v="1"/>
    <x v="1"/>
    <s v="Matematica"/>
    <n v="15.5"/>
    <n v="67.599999999999994"/>
    <x v="1"/>
    <x v="0"/>
  </r>
  <r>
    <s v="E202403049"/>
    <x v="0"/>
    <x v="1"/>
    <x v="2"/>
    <s v="Redes"/>
    <n v="15.5"/>
    <n v="58.2"/>
    <x v="1"/>
    <x v="0"/>
  </r>
  <r>
    <s v="E202503027"/>
    <x v="1"/>
    <x v="0"/>
    <x v="2"/>
    <s v="Redes"/>
    <n v="15.5"/>
    <n v="84.4"/>
    <x v="1"/>
    <x v="2"/>
  </r>
  <r>
    <s v="E202503030"/>
    <x v="1"/>
    <x v="0"/>
    <x v="2"/>
    <s v="Redes"/>
    <n v="15.5"/>
    <n v="87.8"/>
    <x v="1"/>
    <x v="2"/>
  </r>
  <r>
    <s v="E202503047"/>
    <x v="1"/>
    <x v="0"/>
    <x v="2"/>
    <s v="Programacao"/>
    <n v="15.5"/>
    <n v="75.5"/>
    <x v="1"/>
    <x v="2"/>
  </r>
  <r>
    <s v="E202501004"/>
    <x v="1"/>
    <x v="1"/>
    <x v="1"/>
    <s v="Redes"/>
    <n v="15.5"/>
    <n v="94.8"/>
    <x v="1"/>
    <x v="2"/>
  </r>
  <r>
    <s v="E202501060"/>
    <x v="1"/>
    <x v="1"/>
    <x v="1"/>
    <s v="Matematica"/>
    <n v="15.5"/>
    <n v="84.9"/>
    <x v="1"/>
    <x v="2"/>
  </r>
  <r>
    <s v="E202502054"/>
    <x v="1"/>
    <x v="1"/>
    <x v="0"/>
    <s v="Contabilidade"/>
    <n v="15.5"/>
    <n v="94.6"/>
    <x v="1"/>
    <x v="2"/>
  </r>
  <r>
    <s v="E202601019"/>
    <x v="2"/>
    <x v="0"/>
    <x v="1"/>
    <s v="Matematica"/>
    <n v="15.5"/>
    <n v="92.2"/>
    <x v="1"/>
    <x v="2"/>
  </r>
  <r>
    <s v="E202601025"/>
    <x v="2"/>
    <x v="0"/>
    <x v="1"/>
    <s v="Sinais"/>
    <n v="15.5"/>
    <n v="54.8"/>
    <x v="1"/>
    <x v="0"/>
  </r>
  <r>
    <s v="E202602022"/>
    <x v="2"/>
    <x v="0"/>
    <x v="0"/>
    <s v="Marketing"/>
    <n v="15.5"/>
    <n v="70.2"/>
    <x v="1"/>
    <x v="0"/>
  </r>
  <r>
    <s v="E202601023"/>
    <x v="2"/>
    <x v="1"/>
    <x v="1"/>
    <s v="Redes"/>
    <n v="15.5"/>
    <n v="48.6"/>
    <x v="1"/>
    <x v="1"/>
  </r>
  <r>
    <s v="E202601052"/>
    <x v="2"/>
    <x v="1"/>
    <x v="1"/>
    <s v="Sinais"/>
    <n v="15.5"/>
    <n v="94.7"/>
    <x v="1"/>
    <x v="2"/>
  </r>
  <r>
    <s v="E202603054"/>
    <x v="2"/>
    <x v="1"/>
    <x v="2"/>
    <s v="Programacao"/>
    <n v="15.5"/>
    <n v="85.2"/>
    <x v="1"/>
    <x v="2"/>
  </r>
  <r>
    <s v="E202403054"/>
    <x v="0"/>
    <x v="0"/>
    <x v="2"/>
    <s v="Programacao"/>
    <n v="15.6"/>
    <n v="81.099999999999994"/>
    <x v="1"/>
    <x v="2"/>
  </r>
  <r>
    <s v="E202401044"/>
    <x v="0"/>
    <x v="1"/>
    <x v="1"/>
    <s v="Redes"/>
    <n v="15.6"/>
    <n v="74"/>
    <x v="1"/>
    <x v="0"/>
  </r>
  <r>
    <s v="E202401051"/>
    <x v="0"/>
    <x v="1"/>
    <x v="1"/>
    <s v="Sinais"/>
    <n v="15.6"/>
    <n v="87"/>
    <x v="1"/>
    <x v="2"/>
  </r>
  <r>
    <s v="E202402040"/>
    <x v="0"/>
    <x v="1"/>
    <x v="0"/>
    <s v="Contabilidade"/>
    <n v="15.6"/>
    <n v="95.8"/>
    <x v="1"/>
    <x v="2"/>
  </r>
  <r>
    <s v="E202503038"/>
    <x v="1"/>
    <x v="0"/>
    <x v="2"/>
    <s v="Programacao"/>
    <n v="15.6"/>
    <n v="66.900000000000006"/>
    <x v="1"/>
    <x v="0"/>
  </r>
  <r>
    <s v="E202501008"/>
    <x v="1"/>
    <x v="1"/>
    <x v="1"/>
    <s v="Matematica"/>
    <n v="15.6"/>
    <n v="96.3"/>
    <x v="1"/>
    <x v="2"/>
  </r>
  <r>
    <s v="E202501022"/>
    <x v="1"/>
    <x v="1"/>
    <x v="1"/>
    <s v="Matematica"/>
    <n v="15.6"/>
    <n v="75.3"/>
    <x v="1"/>
    <x v="2"/>
  </r>
  <r>
    <s v="E202502008"/>
    <x v="1"/>
    <x v="1"/>
    <x v="0"/>
    <s v="Contabilidade"/>
    <n v="15.6"/>
    <n v="89.6"/>
    <x v="1"/>
    <x v="2"/>
  </r>
  <r>
    <s v="E202602020"/>
    <x v="2"/>
    <x v="0"/>
    <x v="0"/>
    <s v="Contabilidade"/>
    <n v="15.6"/>
    <n v="94.3"/>
    <x v="1"/>
    <x v="2"/>
  </r>
  <r>
    <s v="E202603001"/>
    <x v="2"/>
    <x v="0"/>
    <x v="2"/>
    <s v="Bases de Dados"/>
    <n v="15.6"/>
    <n v="79.5"/>
    <x v="1"/>
    <x v="2"/>
  </r>
  <r>
    <s v="E202603004"/>
    <x v="2"/>
    <x v="0"/>
    <x v="2"/>
    <s v="Programacao"/>
    <n v="15.6"/>
    <n v="63.4"/>
    <x v="1"/>
    <x v="0"/>
  </r>
  <r>
    <s v="E202601047"/>
    <x v="2"/>
    <x v="1"/>
    <x v="1"/>
    <s v="Matematica"/>
    <n v="15.6"/>
    <n v="99.8"/>
    <x v="1"/>
    <x v="2"/>
  </r>
  <r>
    <s v="E202602024"/>
    <x v="2"/>
    <x v="1"/>
    <x v="0"/>
    <s v="Contabilidade"/>
    <n v="15.6"/>
    <n v="77.8"/>
    <x v="1"/>
    <x v="2"/>
  </r>
  <r>
    <s v="E202602037"/>
    <x v="2"/>
    <x v="1"/>
    <x v="0"/>
    <s v="Contabilidade"/>
    <n v="15.6"/>
    <n v="97.3"/>
    <x v="1"/>
    <x v="2"/>
  </r>
  <r>
    <s v="E202602037"/>
    <x v="2"/>
    <x v="1"/>
    <x v="0"/>
    <s v="Estatistica"/>
    <n v="15.6"/>
    <n v="82.9"/>
    <x v="1"/>
    <x v="2"/>
  </r>
  <r>
    <s v="E202401019"/>
    <x v="0"/>
    <x v="0"/>
    <x v="1"/>
    <s v="Matematica"/>
    <n v="15.7"/>
    <n v="94.2"/>
    <x v="1"/>
    <x v="2"/>
  </r>
  <r>
    <s v="E202402015"/>
    <x v="0"/>
    <x v="0"/>
    <x v="0"/>
    <s v="Marketing"/>
    <n v="15.7"/>
    <n v="94.4"/>
    <x v="1"/>
    <x v="2"/>
  </r>
  <r>
    <s v="E202402011"/>
    <x v="0"/>
    <x v="1"/>
    <x v="0"/>
    <s v="Marketing"/>
    <n v="15.7"/>
    <n v="58.7"/>
    <x v="1"/>
    <x v="0"/>
  </r>
  <r>
    <s v="E202403014"/>
    <x v="0"/>
    <x v="1"/>
    <x v="2"/>
    <s v="Bases de Dados"/>
    <n v="15.7"/>
    <n v="90"/>
    <x v="1"/>
    <x v="2"/>
  </r>
  <r>
    <s v="E202501048"/>
    <x v="1"/>
    <x v="0"/>
    <x v="1"/>
    <s v="Matematica"/>
    <n v="15.7"/>
    <n v="93.2"/>
    <x v="1"/>
    <x v="2"/>
  </r>
  <r>
    <s v="E202502031"/>
    <x v="1"/>
    <x v="0"/>
    <x v="0"/>
    <s v="Marketing"/>
    <n v="15.7"/>
    <n v="90.7"/>
    <x v="1"/>
    <x v="2"/>
  </r>
  <r>
    <s v="E202503005"/>
    <x v="1"/>
    <x v="0"/>
    <x v="2"/>
    <s v="Redes"/>
    <n v="15.7"/>
    <n v="82.2"/>
    <x v="1"/>
    <x v="2"/>
  </r>
  <r>
    <s v="E202503009"/>
    <x v="1"/>
    <x v="0"/>
    <x v="2"/>
    <s v="Bases de Dados"/>
    <n v="15.7"/>
    <n v="91.6"/>
    <x v="1"/>
    <x v="2"/>
  </r>
  <r>
    <s v="E202503041"/>
    <x v="1"/>
    <x v="0"/>
    <x v="2"/>
    <s v="Redes"/>
    <n v="15.7"/>
    <n v="79.099999999999994"/>
    <x v="1"/>
    <x v="2"/>
  </r>
  <r>
    <s v="E202502039"/>
    <x v="1"/>
    <x v="1"/>
    <x v="0"/>
    <s v="Contabilidade"/>
    <n v="15.7"/>
    <n v="80.599999999999994"/>
    <x v="1"/>
    <x v="2"/>
  </r>
  <r>
    <s v="E202601035"/>
    <x v="2"/>
    <x v="0"/>
    <x v="1"/>
    <s v="Redes"/>
    <n v="15.7"/>
    <n v="83.8"/>
    <x v="1"/>
    <x v="2"/>
  </r>
  <r>
    <s v="E202602024"/>
    <x v="2"/>
    <x v="0"/>
    <x v="0"/>
    <s v="Contabilidade"/>
    <n v="15.7"/>
    <n v="93.7"/>
    <x v="1"/>
    <x v="2"/>
  </r>
  <r>
    <s v="E202603014"/>
    <x v="2"/>
    <x v="0"/>
    <x v="2"/>
    <s v="Programacao"/>
    <n v="15.7"/>
    <n v="94.5"/>
    <x v="1"/>
    <x v="2"/>
  </r>
  <r>
    <s v="E202603039"/>
    <x v="2"/>
    <x v="0"/>
    <x v="2"/>
    <s v="Bases de Dados"/>
    <n v="15.7"/>
    <n v="86.5"/>
    <x v="1"/>
    <x v="2"/>
  </r>
  <r>
    <s v="E202601043"/>
    <x v="2"/>
    <x v="1"/>
    <x v="1"/>
    <s v="Matematica"/>
    <n v="15.7"/>
    <n v="94.1"/>
    <x v="1"/>
    <x v="2"/>
  </r>
  <r>
    <s v="E202601045"/>
    <x v="2"/>
    <x v="1"/>
    <x v="1"/>
    <s v="Matematica"/>
    <n v="15.7"/>
    <n v="93.6"/>
    <x v="1"/>
    <x v="2"/>
  </r>
  <r>
    <s v="E202601052"/>
    <x v="2"/>
    <x v="1"/>
    <x v="1"/>
    <s v="Redes"/>
    <n v="15.7"/>
    <n v="98.4"/>
    <x v="1"/>
    <x v="2"/>
  </r>
  <r>
    <s v="E202602018"/>
    <x v="2"/>
    <x v="1"/>
    <x v="0"/>
    <s v="Marketing"/>
    <n v="15.7"/>
    <n v="96.7"/>
    <x v="1"/>
    <x v="2"/>
  </r>
  <r>
    <s v="E202603002"/>
    <x v="2"/>
    <x v="1"/>
    <x v="2"/>
    <s v="Redes"/>
    <n v="15.7"/>
    <n v="58.2"/>
    <x v="1"/>
    <x v="0"/>
  </r>
  <r>
    <s v="E202603003"/>
    <x v="2"/>
    <x v="1"/>
    <x v="2"/>
    <s v="Bases de Dados"/>
    <n v="15.7"/>
    <n v="83.1"/>
    <x v="1"/>
    <x v="2"/>
  </r>
  <r>
    <s v="E202603006"/>
    <x v="2"/>
    <x v="1"/>
    <x v="2"/>
    <s v="Programacao"/>
    <n v="15.7"/>
    <n v="88.9"/>
    <x v="1"/>
    <x v="2"/>
  </r>
  <r>
    <s v="E202603014"/>
    <x v="2"/>
    <x v="1"/>
    <x v="2"/>
    <s v="Programacao"/>
    <n v="15.7"/>
    <n v="80.599999999999994"/>
    <x v="1"/>
    <x v="2"/>
  </r>
  <r>
    <s v="E202603045"/>
    <x v="2"/>
    <x v="1"/>
    <x v="2"/>
    <s v="Bases de Dados"/>
    <n v="15.7"/>
    <n v="81.7"/>
    <x v="1"/>
    <x v="2"/>
  </r>
  <r>
    <s v="E202401027"/>
    <x v="0"/>
    <x v="0"/>
    <x v="1"/>
    <s v="Sinais"/>
    <n v="15.8"/>
    <n v="98.9"/>
    <x v="1"/>
    <x v="2"/>
  </r>
  <r>
    <s v="E202402042"/>
    <x v="0"/>
    <x v="1"/>
    <x v="0"/>
    <s v="Contabilidade"/>
    <n v="15.8"/>
    <n v="81.7"/>
    <x v="1"/>
    <x v="2"/>
  </r>
  <r>
    <s v="E202501008"/>
    <x v="1"/>
    <x v="1"/>
    <x v="1"/>
    <s v="Redes"/>
    <n v="15.8"/>
    <n v="93.1"/>
    <x v="1"/>
    <x v="2"/>
  </r>
  <r>
    <s v="E202501010"/>
    <x v="1"/>
    <x v="1"/>
    <x v="1"/>
    <s v="Redes"/>
    <n v="15.8"/>
    <n v="95.2"/>
    <x v="1"/>
    <x v="2"/>
  </r>
  <r>
    <s v="E202501039"/>
    <x v="1"/>
    <x v="1"/>
    <x v="1"/>
    <s v="Sinais"/>
    <n v="15.8"/>
    <n v="95"/>
    <x v="1"/>
    <x v="2"/>
  </r>
  <r>
    <s v="E202502013"/>
    <x v="1"/>
    <x v="1"/>
    <x v="0"/>
    <s v="Estatistica"/>
    <n v="15.8"/>
    <n v="95.4"/>
    <x v="1"/>
    <x v="2"/>
  </r>
  <r>
    <s v="E202601042"/>
    <x v="2"/>
    <x v="0"/>
    <x v="1"/>
    <s v="Sinais"/>
    <n v="15.8"/>
    <n v="91.6"/>
    <x v="1"/>
    <x v="2"/>
  </r>
  <r>
    <s v="E202602008"/>
    <x v="2"/>
    <x v="0"/>
    <x v="0"/>
    <s v="Estatistica"/>
    <n v="15.8"/>
    <n v="97.8"/>
    <x v="1"/>
    <x v="2"/>
  </r>
  <r>
    <s v="E202601040"/>
    <x v="2"/>
    <x v="1"/>
    <x v="1"/>
    <s v="Redes"/>
    <n v="15.8"/>
    <n v="95.8"/>
    <x v="1"/>
    <x v="2"/>
  </r>
  <r>
    <s v="E202601053"/>
    <x v="2"/>
    <x v="1"/>
    <x v="1"/>
    <s v="Matematica"/>
    <n v="15.8"/>
    <n v="46.9"/>
    <x v="1"/>
    <x v="1"/>
  </r>
  <r>
    <s v="E202602022"/>
    <x v="2"/>
    <x v="1"/>
    <x v="0"/>
    <s v="Marketing"/>
    <n v="15.8"/>
    <n v="79.599999999999994"/>
    <x v="1"/>
    <x v="2"/>
  </r>
  <r>
    <s v="E202602036"/>
    <x v="2"/>
    <x v="1"/>
    <x v="0"/>
    <s v="Contabilidade"/>
    <n v="15.8"/>
    <n v="85.2"/>
    <x v="1"/>
    <x v="2"/>
  </r>
  <r>
    <s v="E202401054"/>
    <x v="0"/>
    <x v="0"/>
    <x v="1"/>
    <s v="Sinais"/>
    <n v="15.9"/>
    <n v="100"/>
    <x v="1"/>
    <x v="2"/>
  </r>
  <r>
    <s v="E202402012"/>
    <x v="0"/>
    <x v="0"/>
    <x v="0"/>
    <s v="Estatistica"/>
    <n v="15.9"/>
    <n v="68"/>
    <x v="1"/>
    <x v="0"/>
  </r>
  <r>
    <s v="E202402014"/>
    <x v="0"/>
    <x v="0"/>
    <x v="0"/>
    <s v="Estatistica"/>
    <n v="15.9"/>
    <n v="83.9"/>
    <x v="1"/>
    <x v="2"/>
  </r>
  <r>
    <s v="E202402058"/>
    <x v="0"/>
    <x v="0"/>
    <x v="0"/>
    <s v="Marketing"/>
    <n v="15.9"/>
    <n v="92.4"/>
    <x v="1"/>
    <x v="2"/>
  </r>
  <r>
    <s v="E202403005"/>
    <x v="0"/>
    <x v="0"/>
    <x v="2"/>
    <s v="Redes"/>
    <n v="15.9"/>
    <n v="91.9"/>
    <x v="1"/>
    <x v="2"/>
  </r>
  <r>
    <s v="E202403019"/>
    <x v="0"/>
    <x v="1"/>
    <x v="2"/>
    <s v="Programacao"/>
    <n v="15.9"/>
    <n v="93.7"/>
    <x v="1"/>
    <x v="2"/>
  </r>
  <r>
    <s v="E202403037"/>
    <x v="0"/>
    <x v="1"/>
    <x v="2"/>
    <s v="Programacao"/>
    <n v="15.9"/>
    <n v="74.400000000000006"/>
    <x v="1"/>
    <x v="0"/>
  </r>
  <r>
    <s v="E202501047"/>
    <x v="1"/>
    <x v="0"/>
    <x v="1"/>
    <s v="Matematica"/>
    <n v="15.9"/>
    <n v="95.3"/>
    <x v="1"/>
    <x v="2"/>
  </r>
  <r>
    <s v="E202501023"/>
    <x v="1"/>
    <x v="1"/>
    <x v="1"/>
    <s v="Sinais"/>
    <n v="15.9"/>
    <n v="90.7"/>
    <x v="1"/>
    <x v="2"/>
  </r>
  <r>
    <s v="E202603053"/>
    <x v="2"/>
    <x v="0"/>
    <x v="2"/>
    <s v="Bases de Dados"/>
    <n v="15.9"/>
    <n v="70.8"/>
    <x v="1"/>
    <x v="0"/>
  </r>
  <r>
    <s v="E202602039"/>
    <x v="2"/>
    <x v="1"/>
    <x v="0"/>
    <s v="Contabilidade"/>
    <n v="15.9"/>
    <n v="85.3"/>
    <x v="1"/>
    <x v="2"/>
  </r>
  <r>
    <s v="E202603036"/>
    <x v="2"/>
    <x v="1"/>
    <x v="2"/>
    <s v="Redes"/>
    <n v="15.9"/>
    <n v="92.9"/>
    <x v="1"/>
    <x v="2"/>
  </r>
  <r>
    <s v="E202401010"/>
    <x v="0"/>
    <x v="0"/>
    <x v="1"/>
    <s v="Sinais"/>
    <n v="16"/>
    <n v="98.5"/>
    <x v="1"/>
    <x v="2"/>
  </r>
  <r>
    <s v="E202402010"/>
    <x v="0"/>
    <x v="0"/>
    <x v="0"/>
    <s v="Estatistica"/>
    <n v="16"/>
    <n v="93.8"/>
    <x v="1"/>
    <x v="2"/>
  </r>
  <r>
    <s v="E202403005"/>
    <x v="0"/>
    <x v="0"/>
    <x v="2"/>
    <s v="Bases de Dados"/>
    <n v="16"/>
    <n v="84.8"/>
    <x v="1"/>
    <x v="2"/>
  </r>
  <r>
    <s v="E202401047"/>
    <x v="0"/>
    <x v="1"/>
    <x v="1"/>
    <s v="Sinais"/>
    <n v="16"/>
    <n v="94.3"/>
    <x v="1"/>
    <x v="2"/>
  </r>
  <r>
    <s v="E202402015"/>
    <x v="0"/>
    <x v="1"/>
    <x v="0"/>
    <s v="Contabilidade"/>
    <n v="16"/>
    <n v="91.8"/>
    <x v="1"/>
    <x v="2"/>
  </r>
  <r>
    <s v="E202403016"/>
    <x v="0"/>
    <x v="1"/>
    <x v="2"/>
    <s v="Redes"/>
    <n v="16"/>
    <n v="95.9"/>
    <x v="1"/>
    <x v="2"/>
  </r>
  <r>
    <s v="E202403024"/>
    <x v="0"/>
    <x v="1"/>
    <x v="2"/>
    <s v="Programacao"/>
    <n v="16"/>
    <n v="78.599999999999994"/>
    <x v="1"/>
    <x v="2"/>
  </r>
  <r>
    <s v="E202502054"/>
    <x v="1"/>
    <x v="0"/>
    <x v="0"/>
    <s v="Contabilidade"/>
    <n v="16"/>
    <n v="79"/>
    <x v="1"/>
    <x v="2"/>
  </r>
  <r>
    <s v="E202502058"/>
    <x v="1"/>
    <x v="1"/>
    <x v="0"/>
    <s v="Contabilidade"/>
    <n v="16"/>
    <n v="63.2"/>
    <x v="1"/>
    <x v="0"/>
  </r>
  <r>
    <s v="E202503035"/>
    <x v="1"/>
    <x v="1"/>
    <x v="2"/>
    <s v="Bases de Dados"/>
    <n v="16"/>
    <n v="87.5"/>
    <x v="1"/>
    <x v="2"/>
  </r>
  <r>
    <s v="E202602029"/>
    <x v="2"/>
    <x v="1"/>
    <x v="0"/>
    <s v="Marketing"/>
    <n v="16"/>
    <n v="84.7"/>
    <x v="1"/>
    <x v="2"/>
  </r>
  <r>
    <s v="E202403023"/>
    <x v="0"/>
    <x v="0"/>
    <x v="2"/>
    <s v="Programacao"/>
    <n v="16.100000000000001"/>
    <n v="86"/>
    <x v="1"/>
    <x v="2"/>
  </r>
  <r>
    <s v="E202402021"/>
    <x v="0"/>
    <x v="1"/>
    <x v="0"/>
    <s v="Estatistica"/>
    <n v="16.100000000000001"/>
    <n v="77.7"/>
    <x v="1"/>
    <x v="2"/>
  </r>
  <r>
    <s v="E202403030"/>
    <x v="0"/>
    <x v="1"/>
    <x v="2"/>
    <s v="Bases de Dados"/>
    <n v="16.100000000000001"/>
    <n v="84.5"/>
    <x v="1"/>
    <x v="2"/>
  </r>
  <r>
    <s v="E202403048"/>
    <x v="0"/>
    <x v="1"/>
    <x v="2"/>
    <s v="Programacao"/>
    <n v="16.100000000000001"/>
    <n v="78.900000000000006"/>
    <x v="1"/>
    <x v="2"/>
  </r>
  <r>
    <s v="E202503009"/>
    <x v="1"/>
    <x v="0"/>
    <x v="2"/>
    <s v="Redes"/>
    <n v="16.100000000000001"/>
    <n v="94.7"/>
    <x v="1"/>
    <x v="2"/>
  </r>
  <r>
    <s v="E202501012"/>
    <x v="1"/>
    <x v="1"/>
    <x v="1"/>
    <s v="Matematica"/>
    <n v="16.100000000000001"/>
    <n v="77.5"/>
    <x v="1"/>
    <x v="2"/>
  </r>
  <r>
    <s v="E202501041"/>
    <x v="1"/>
    <x v="1"/>
    <x v="1"/>
    <s v="Redes"/>
    <n v="16.100000000000001"/>
    <n v="77.5"/>
    <x v="1"/>
    <x v="2"/>
  </r>
  <r>
    <s v="E202501045"/>
    <x v="1"/>
    <x v="1"/>
    <x v="1"/>
    <s v="Redes"/>
    <n v="16.100000000000001"/>
    <n v="90.2"/>
    <x v="1"/>
    <x v="2"/>
  </r>
  <r>
    <s v="E202602039"/>
    <x v="2"/>
    <x v="0"/>
    <x v="0"/>
    <s v="Contabilidade"/>
    <n v="16.100000000000001"/>
    <n v="67.8"/>
    <x v="1"/>
    <x v="0"/>
  </r>
  <r>
    <s v="E202601022"/>
    <x v="2"/>
    <x v="1"/>
    <x v="1"/>
    <s v="Sinais"/>
    <n v="16.100000000000001"/>
    <n v="52.6"/>
    <x v="1"/>
    <x v="0"/>
  </r>
  <r>
    <s v="E202601026"/>
    <x v="2"/>
    <x v="1"/>
    <x v="1"/>
    <s v="Matematica"/>
    <n v="16.100000000000001"/>
    <n v="66.7"/>
    <x v="1"/>
    <x v="0"/>
  </r>
  <r>
    <s v="E202603024"/>
    <x v="2"/>
    <x v="1"/>
    <x v="2"/>
    <s v="Redes"/>
    <n v="16.100000000000001"/>
    <n v="64.8"/>
    <x v="1"/>
    <x v="0"/>
  </r>
  <r>
    <s v="E202603042"/>
    <x v="2"/>
    <x v="1"/>
    <x v="2"/>
    <s v="Bases de Dados"/>
    <n v="16.100000000000001"/>
    <n v="88.9"/>
    <x v="1"/>
    <x v="2"/>
  </r>
  <r>
    <s v="E202603057"/>
    <x v="2"/>
    <x v="1"/>
    <x v="2"/>
    <s v="Programacao"/>
    <n v="16.100000000000001"/>
    <n v="73"/>
    <x v="1"/>
    <x v="0"/>
  </r>
  <r>
    <s v="E202403006"/>
    <x v="0"/>
    <x v="1"/>
    <x v="2"/>
    <s v="Programacao"/>
    <n v="16.2"/>
    <n v="88.1"/>
    <x v="1"/>
    <x v="2"/>
  </r>
  <r>
    <s v="E202403029"/>
    <x v="0"/>
    <x v="1"/>
    <x v="2"/>
    <s v="Bases de Dados"/>
    <n v="16.2"/>
    <n v="95.6"/>
    <x v="1"/>
    <x v="2"/>
  </r>
  <r>
    <s v="E202403052"/>
    <x v="0"/>
    <x v="1"/>
    <x v="2"/>
    <s v="Bases de Dados"/>
    <n v="16.2"/>
    <n v="99.4"/>
    <x v="1"/>
    <x v="2"/>
  </r>
  <r>
    <s v="E202501011"/>
    <x v="1"/>
    <x v="0"/>
    <x v="1"/>
    <s v="Matematica"/>
    <n v="16.2"/>
    <n v="57.7"/>
    <x v="1"/>
    <x v="0"/>
  </r>
  <r>
    <s v="E202501033"/>
    <x v="1"/>
    <x v="0"/>
    <x v="1"/>
    <s v="Matematica"/>
    <n v="16.2"/>
    <n v="99.3"/>
    <x v="1"/>
    <x v="2"/>
  </r>
  <r>
    <s v="E202501043"/>
    <x v="1"/>
    <x v="0"/>
    <x v="1"/>
    <s v="Redes"/>
    <n v="16.2"/>
    <n v="99.9"/>
    <x v="1"/>
    <x v="2"/>
  </r>
  <r>
    <s v="E202501049"/>
    <x v="1"/>
    <x v="0"/>
    <x v="1"/>
    <s v="Redes"/>
    <n v="16.2"/>
    <n v="95.7"/>
    <x v="1"/>
    <x v="2"/>
  </r>
  <r>
    <s v="E202503024"/>
    <x v="1"/>
    <x v="0"/>
    <x v="2"/>
    <s v="Bases de Dados"/>
    <n v="16.2"/>
    <n v="96.4"/>
    <x v="1"/>
    <x v="2"/>
  </r>
  <r>
    <s v="E202501025"/>
    <x v="1"/>
    <x v="1"/>
    <x v="1"/>
    <s v="Redes"/>
    <n v="16.2"/>
    <n v="91.6"/>
    <x v="1"/>
    <x v="2"/>
  </r>
  <r>
    <s v="E202502003"/>
    <x v="1"/>
    <x v="1"/>
    <x v="0"/>
    <s v="Contabilidade"/>
    <n v="16.2"/>
    <n v="89.9"/>
    <x v="1"/>
    <x v="2"/>
  </r>
  <r>
    <s v="E202502021"/>
    <x v="1"/>
    <x v="1"/>
    <x v="0"/>
    <s v="Estatistica"/>
    <n v="16.2"/>
    <n v="88.4"/>
    <x v="1"/>
    <x v="2"/>
  </r>
  <r>
    <s v="E202502057"/>
    <x v="1"/>
    <x v="1"/>
    <x v="0"/>
    <s v="Marketing"/>
    <n v="16.2"/>
    <n v="95.7"/>
    <x v="1"/>
    <x v="2"/>
  </r>
  <r>
    <s v="E202503053"/>
    <x v="1"/>
    <x v="1"/>
    <x v="2"/>
    <s v="Programacao"/>
    <n v="16.2"/>
    <n v="71"/>
    <x v="1"/>
    <x v="0"/>
  </r>
  <r>
    <s v="E202601026"/>
    <x v="2"/>
    <x v="0"/>
    <x v="1"/>
    <s v="Redes"/>
    <n v="16.2"/>
    <n v="74.7"/>
    <x v="1"/>
    <x v="0"/>
  </r>
  <r>
    <s v="E202601029"/>
    <x v="2"/>
    <x v="0"/>
    <x v="1"/>
    <s v="Matematica"/>
    <n v="16.2"/>
    <n v="94"/>
    <x v="1"/>
    <x v="2"/>
  </r>
  <r>
    <s v="E202602049"/>
    <x v="2"/>
    <x v="0"/>
    <x v="0"/>
    <s v="Marketing"/>
    <n v="16.2"/>
    <n v="94.3"/>
    <x v="1"/>
    <x v="2"/>
  </r>
  <r>
    <s v="E202603015"/>
    <x v="2"/>
    <x v="1"/>
    <x v="2"/>
    <s v="Bases de Dados"/>
    <n v="16.2"/>
    <n v="93.3"/>
    <x v="1"/>
    <x v="2"/>
  </r>
  <r>
    <s v="E202603030"/>
    <x v="2"/>
    <x v="1"/>
    <x v="2"/>
    <s v="Bases de Dados"/>
    <n v="16.2"/>
    <n v="97.3"/>
    <x v="1"/>
    <x v="2"/>
  </r>
  <r>
    <s v="E202401002"/>
    <x v="0"/>
    <x v="0"/>
    <x v="1"/>
    <s v="Redes"/>
    <n v="16.3"/>
    <n v="98.6"/>
    <x v="1"/>
    <x v="2"/>
  </r>
  <r>
    <s v="E202401021"/>
    <x v="0"/>
    <x v="0"/>
    <x v="1"/>
    <s v="Redes"/>
    <n v="16.3"/>
    <n v="96.7"/>
    <x v="1"/>
    <x v="2"/>
  </r>
  <r>
    <s v="E202501002"/>
    <x v="1"/>
    <x v="0"/>
    <x v="1"/>
    <s v="Matematica"/>
    <n v="16.3"/>
    <n v="95.7"/>
    <x v="1"/>
    <x v="2"/>
  </r>
  <r>
    <s v="E202501009"/>
    <x v="1"/>
    <x v="1"/>
    <x v="1"/>
    <s v="Sinais"/>
    <n v="16.3"/>
    <n v="71.599999999999994"/>
    <x v="1"/>
    <x v="0"/>
  </r>
  <r>
    <s v="E202503037"/>
    <x v="1"/>
    <x v="1"/>
    <x v="2"/>
    <s v="Programacao"/>
    <n v="16.3"/>
    <n v="98.1"/>
    <x v="1"/>
    <x v="2"/>
  </r>
  <r>
    <s v="E202503037"/>
    <x v="1"/>
    <x v="1"/>
    <x v="2"/>
    <s v="Bases de Dados"/>
    <n v="16.3"/>
    <n v="84.3"/>
    <x v="1"/>
    <x v="2"/>
  </r>
  <r>
    <s v="E202601017"/>
    <x v="2"/>
    <x v="0"/>
    <x v="1"/>
    <s v="Matematica"/>
    <n v="16.3"/>
    <n v="87.9"/>
    <x v="1"/>
    <x v="2"/>
  </r>
  <r>
    <s v="E202601048"/>
    <x v="2"/>
    <x v="0"/>
    <x v="1"/>
    <s v="Matematica"/>
    <n v="16.3"/>
    <n v="89.4"/>
    <x v="1"/>
    <x v="2"/>
  </r>
  <r>
    <s v="E202602007"/>
    <x v="2"/>
    <x v="0"/>
    <x v="0"/>
    <s v="Contabilidade"/>
    <n v="16.3"/>
    <n v="77.900000000000006"/>
    <x v="1"/>
    <x v="2"/>
  </r>
  <r>
    <s v="E202602012"/>
    <x v="2"/>
    <x v="0"/>
    <x v="0"/>
    <s v="Contabilidade"/>
    <n v="16.3"/>
    <n v="71.3"/>
    <x v="1"/>
    <x v="0"/>
  </r>
  <r>
    <s v="E202601049"/>
    <x v="2"/>
    <x v="1"/>
    <x v="1"/>
    <s v="Matematica"/>
    <n v="16.3"/>
    <n v="90"/>
    <x v="1"/>
    <x v="2"/>
  </r>
  <r>
    <s v="E202401016"/>
    <x v="0"/>
    <x v="1"/>
    <x v="1"/>
    <s v="Sinais"/>
    <n v="16.399999999999999"/>
    <n v="98"/>
    <x v="1"/>
    <x v="2"/>
  </r>
  <r>
    <s v="E202401041"/>
    <x v="0"/>
    <x v="1"/>
    <x v="1"/>
    <s v="Redes"/>
    <n v="16.399999999999999"/>
    <n v="96.5"/>
    <x v="1"/>
    <x v="2"/>
  </r>
  <r>
    <s v="E202402044"/>
    <x v="0"/>
    <x v="1"/>
    <x v="0"/>
    <s v="Contabilidade"/>
    <n v="16.399999999999999"/>
    <n v="94.3"/>
    <x v="1"/>
    <x v="2"/>
  </r>
  <r>
    <s v="E202502003"/>
    <x v="1"/>
    <x v="0"/>
    <x v="0"/>
    <s v="Contabilidade"/>
    <n v="16.399999999999999"/>
    <n v="98.9"/>
    <x v="1"/>
    <x v="2"/>
  </r>
  <r>
    <s v="E202503060"/>
    <x v="1"/>
    <x v="0"/>
    <x v="2"/>
    <s v="Programacao"/>
    <n v="16.399999999999999"/>
    <n v="99.7"/>
    <x v="1"/>
    <x v="2"/>
  </r>
  <r>
    <s v="E202503017"/>
    <x v="1"/>
    <x v="1"/>
    <x v="2"/>
    <s v="Bases de Dados"/>
    <n v="16.399999999999999"/>
    <n v="97.6"/>
    <x v="1"/>
    <x v="2"/>
  </r>
  <r>
    <s v="E202503051"/>
    <x v="1"/>
    <x v="1"/>
    <x v="2"/>
    <s v="Programacao"/>
    <n v="16.399999999999999"/>
    <n v="75.2"/>
    <x v="1"/>
    <x v="2"/>
  </r>
  <r>
    <s v="E202503056"/>
    <x v="1"/>
    <x v="1"/>
    <x v="2"/>
    <s v="Redes"/>
    <n v="16.399999999999999"/>
    <n v="73.400000000000006"/>
    <x v="1"/>
    <x v="0"/>
  </r>
  <r>
    <s v="E202601050"/>
    <x v="2"/>
    <x v="0"/>
    <x v="1"/>
    <s v="Redes"/>
    <n v="16.399999999999999"/>
    <n v="83.3"/>
    <x v="1"/>
    <x v="2"/>
  </r>
  <r>
    <s v="E202603054"/>
    <x v="2"/>
    <x v="0"/>
    <x v="2"/>
    <s v="Redes"/>
    <n v="16.399999999999999"/>
    <n v="94.8"/>
    <x v="1"/>
    <x v="2"/>
  </r>
  <r>
    <s v="E202501010"/>
    <x v="1"/>
    <x v="0"/>
    <x v="1"/>
    <s v="Redes"/>
    <n v="16.5"/>
    <n v="77"/>
    <x v="1"/>
    <x v="2"/>
  </r>
  <r>
    <s v="E202501048"/>
    <x v="1"/>
    <x v="0"/>
    <x v="1"/>
    <s v="Sinais"/>
    <n v="16.5"/>
    <n v="85.5"/>
    <x v="1"/>
    <x v="2"/>
  </r>
  <r>
    <s v="E202501002"/>
    <x v="1"/>
    <x v="1"/>
    <x v="1"/>
    <s v="Sinais"/>
    <n v="16.5"/>
    <n v="98.1"/>
    <x v="1"/>
    <x v="2"/>
  </r>
  <r>
    <s v="E202502032"/>
    <x v="1"/>
    <x v="1"/>
    <x v="0"/>
    <s v="Contabilidade"/>
    <n v="16.5"/>
    <n v="75.099999999999994"/>
    <x v="1"/>
    <x v="2"/>
  </r>
  <r>
    <s v="E202502052"/>
    <x v="1"/>
    <x v="1"/>
    <x v="0"/>
    <s v="Estatistica"/>
    <n v="16.5"/>
    <n v="92.5"/>
    <x v="1"/>
    <x v="2"/>
  </r>
  <r>
    <s v="E202602037"/>
    <x v="2"/>
    <x v="0"/>
    <x v="0"/>
    <s v="Contabilidade"/>
    <n v="16.5"/>
    <n v="88.3"/>
    <x v="1"/>
    <x v="2"/>
  </r>
  <r>
    <s v="E202602052"/>
    <x v="2"/>
    <x v="0"/>
    <x v="0"/>
    <s v="Estatistica"/>
    <n v="16.5"/>
    <n v="95.4"/>
    <x v="1"/>
    <x v="2"/>
  </r>
  <r>
    <s v="E202601019"/>
    <x v="2"/>
    <x v="1"/>
    <x v="1"/>
    <s v="Matematica"/>
    <n v="16.5"/>
    <n v="89.5"/>
    <x v="1"/>
    <x v="2"/>
  </r>
  <r>
    <s v="E202602041"/>
    <x v="2"/>
    <x v="1"/>
    <x v="0"/>
    <s v="Estatistica"/>
    <n v="16.5"/>
    <n v="93.4"/>
    <x v="1"/>
    <x v="2"/>
  </r>
  <r>
    <s v="E202402005"/>
    <x v="0"/>
    <x v="0"/>
    <x v="0"/>
    <s v="Marketing"/>
    <n v="16.600000000000001"/>
    <n v="98.2"/>
    <x v="1"/>
    <x v="2"/>
  </r>
  <r>
    <s v="E202403033"/>
    <x v="0"/>
    <x v="0"/>
    <x v="2"/>
    <s v="Redes"/>
    <n v="16.600000000000001"/>
    <n v="47.1"/>
    <x v="1"/>
    <x v="1"/>
  </r>
  <r>
    <s v="E202401032"/>
    <x v="0"/>
    <x v="1"/>
    <x v="1"/>
    <s v="Sinais"/>
    <n v="16.600000000000001"/>
    <n v="71.099999999999994"/>
    <x v="1"/>
    <x v="0"/>
  </r>
  <r>
    <s v="E202402007"/>
    <x v="0"/>
    <x v="1"/>
    <x v="0"/>
    <s v="Marketing"/>
    <n v="16.600000000000001"/>
    <n v="95.3"/>
    <x v="1"/>
    <x v="2"/>
  </r>
  <r>
    <s v="E202402045"/>
    <x v="0"/>
    <x v="1"/>
    <x v="0"/>
    <s v="Contabilidade"/>
    <n v="16.600000000000001"/>
    <n v="92.8"/>
    <x v="1"/>
    <x v="2"/>
  </r>
  <r>
    <s v="E202502026"/>
    <x v="1"/>
    <x v="0"/>
    <x v="0"/>
    <s v="Contabilidade"/>
    <n v="16.600000000000001"/>
    <n v="56.1"/>
    <x v="1"/>
    <x v="0"/>
  </r>
  <r>
    <s v="E202502032"/>
    <x v="1"/>
    <x v="0"/>
    <x v="0"/>
    <s v="Contabilidade"/>
    <n v="16.600000000000001"/>
    <n v="90.5"/>
    <x v="1"/>
    <x v="2"/>
  </r>
  <r>
    <s v="E202502042"/>
    <x v="1"/>
    <x v="0"/>
    <x v="0"/>
    <s v="Contabilidade"/>
    <n v="16.600000000000001"/>
    <n v="81"/>
    <x v="1"/>
    <x v="2"/>
  </r>
  <r>
    <s v="E202501014"/>
    <x v="1"/>
    <x v="1"/>
    <x v="1"/>
    <s v="Matematica"/>
    <n v="16.600000000000001"/>
    <n v="95"/>
    <x v="1"/>
    <x v="2"/>
  </r>
  <r>
    <s v="E202503043"/>
    <x v="1"/>
    <x v="1"/>
    <x v="2"/>
    <s v="Programacao"/>
    <n v="16.600000000000001"/>
    <n v="99.6"/>
    <x v="1"/>
    <x v="2"/>
  </r>
  <r>
    <s v="E202602018"/>
    <x v="2"/>
    <x v="0"/>
    <x v="0"/>
    <s v="Marketing"/>
    <n v="16.600000000000001"/>
    <n v="88.5"/>
    <x v="1"/>
    <x v="2"/>
  </r>
  <r>
    <s v="E202603043"/>
    <x v="2"/>
    <x v="1"/>
    <x v="2"/>
    <s v="Programacao"/>
    <n v="16.600000000000001"/>
    <n v="71.2"/>
    <x v="1"/>
    <x v="0"/>
  </r>
  <r>
    <s v="E202402051"/>
    <x v="0"/>
    <x v="0"/>
    <x v="0"/>
    <s v="Contabilidade"/>
    <n v="16.7"/>
    <n v="84"/>
    <x v="1"/>
    <x v="2"/>
  </r>
  <r>
    <s v="E202402016"/>
    <x v="0"/>
    <x v="1"/>
    <x v="0"/>
    <s v="Estatistica"/>
    <n v="16.7"/>
    <n v="96.7"/>
    <x v="1"/>
    <x v="2"/>
  </r>
  <r>
    <s v="E202502005"/>
    <x v="1"/>
    <x v="0"/>
    <x v="0"/>
    <s v="Marketing"/>
    <n v="16.7"/>
    <n v="98.1"/>
    <x v="1"/>
    <x v="2"/>
  </r>
  <r>
    <s v="E202503008"/>
    <x v="1"/>
    <x v="0"/>
    <x v="2"/>
    <s v="Redes"/>
    <n v="16.7"/>
    <n v="73.8"/>
    <x v="1"/>
    <x v="0"/>
  </r>
  <r>
    <s v="E202502038"/>
    <x v="1"/>
    <x v="1"/>
    <x v="0"/>
    <s v="Marketing"/>
    <n v="16.7"/>
    <n v="80.7"/>
    <x v="1"/>
    <x v="2"/>
  </r>
  <r>
    <s v="E202503059"/>
    <x v="1"/>
    <x v="1"/>
    <x v="2"/>
    <s v="Programacao"/>
    <n v="16.7"/>
    <n v="99.5"/>
    <x v="1"/>
    <x v="2"/>
  </r>
  <r>
    <s v="E202602043"/>
    <x v="2"/>
    <x v="0"/>
    <x v="0"/>
    <s v="Marketing"/>
    <n v="16.7"/>
    <n v="73.400000000000006"/>
    <x v="1"/>
    <x v="0"/>
  </r>
  <r>
    <s v="E202403053"/>
    <x v="0"/>
    <x v="1"/>
    <x v="2"/>
    <s v="Programacao"/>
    <n v="16.8"/>
    <n v="71.900000000000006"/>
    <x v="1"/>
    <x v="0"/>
  </r>
  <r>
    <s v="E202502014"/>
    <x v="1"/>
    <x v="0"/>
    <x v="0"/>
    <s v="Marketing"/>
    <n v="16.8"/>
    <n v="80.2"/>
    <x v="1"/>
    <x v="2"/>
  </r>
  <r>
    <s v="E202502034"/>
    <x v="1"/>
    <x v="0"/>
    <x v="0"/>
    <s v="Estatistica"/>
    <n v="16.8"/>
    <n v="93.4"/>
    <x v="1"/>
    <x v="2"/>
  </r>
  <r>
    <s v="E202503039"/>
    <x v="1"/>
    <x v="1"/>
    <x v="2"/>
    <s v="Redes"/>
    <n v="16.8"/>
    <n v="80.3"/>
    <x v="1"/>
    <x v="2"/>
  </r>
  <r>
    <s v="E202603006"/>
    <x v="2"/>
    <x v="0"/>
    <x v="2"/>
    <s v="Redes"/>
    <n v="16.8"/>
    <n v="92.2"/>
    <x v="1"/>
    <x v="2"/>
  </r>
  <r>
    <s v="E202603028"/>
    <x v="2"/>
    <x v="1"/>
    <x v="2"/>
    <s v="Programacao"/>
    <n v="16.8"/>
    <n v="97.7"/>
    <x v="1"/>
    <x v="2"/>
  </r>
  <r>
    <s v="E202402004"/>
    <x v="0"/>
    <x v="0"/>
    <x v="0"/>
    <s v="Marketing"/>
    <n v="16.899999999999999"/>
    <n v="85.7"/>
    <x v="1"/>
    <x v="2"/>
  </r>
  <r>
    <s v="E202403057"/>
    <x v="0"/>
    <x v="0"/>
    <x v="2"/>
    <s v="Redes"/>
    <n v="16.899999999999999"/>
    <n v="96.8"/>
    <x v="1"/>
    <x v="2"/>
  </r>
  <r>
    <s v="E202402007"/>
    <x v="0"/>
    <x v="1"/>
    <x v="0"/>
    <s v="Estatistica"/>
    <n v="16.899999999999999"/>
    <n v="81.900000000000006"/>
    <x v="1"/>
    <x v="2"/>
  </r>
  <r>
    <s v="E202501026"/>
    <x v="1"/>
    <x v="0"/>
    <x v="1"/>
    <s v="Redes"/>
    <n v="16.899999999999999"/>
    <n v="94.5"/>
    <x v="1"/>
    <x v="2"/>
  </r>
  <r>
    <s v="E202502008"/>
    <x v="1"/>
    <x v="0"/>
    <x v="0"/>
    <s v="Marketing"/>
    <n v="16.899999999999999"/>
    <n v="45"/>
    <x v="1"/>
    <x v="1"/>
  </r>
  <r>
    <s v="E202503019"/>
    <x v="1"/>
    <x v="0"/>
    <x v="2"/>
    <s v="Bases de Dados"/>
    <n v="16.899999999999999"/>
    <n v="87.9"/>
    <x v="1"/>
    <x v="2"/>
  </r>
  <r>
    <s v="E202503058"/>
    <x v="1"/>
    <x v="0"/>
    <x v="2"/>
    <s v="Programacao"/>
    <n v="16.899999999999999"/>
    <n v="79.599999999999994"/>
    <x v="1"/>
    <x v="2"/>
  </r>
  <r>
    <s v="E202501003"/>
    <x v="1"/>
    <x v="1"/>
    <x v="1"/>
    <s v="Sinais"/>
    <n v="16.899999999999999"/>
    <n v="76.900000000000006"/>
    <x v="1"/>
    <x v="2"/>
  </r>
  <r>
    <s v="E202502052"/>
    <x v="1"/>
    <x v="1"/>
    <x v="0"/>
    <s v="Contabilidade"/>
    <n v="16.899999999999999"/>
    <n v="80.3"/>
    <x v="1"/>
    <x v="2"/>
  </r>
  <r>
    <s v="E202503033"/>
    <x v="1"/>
    <x v="1"/>
    <x v="2"/>
    <s v="Programacao"/>
    <n v="16.899999999999999"/>
    <n v="64.2"/>
    <x v="1"/>
    <x v="0"/>
  </r>
  <r>
    <s v="E202601060"/>
    <x v="2"/>
    <x v="1"/>
    <x v="1"/>
    <s v="Matematica"/>
    <n v="16.899999999999999"/>
    <n v="82.2"/>
    <x v="1"/>
    <x v="2"/>
  </r>
  <r>
    <s v="E202401038"/>
    <x v="0"/>
    <x v="0"/>
    <x v="1"/>
    <s v="Redes"/>
    <n v="17"/>
    <n v="83.6"/>
    <x v="1"/>
    <x v="2"/>
  </r>
  <r>
    <s v="E202403046"/>
    <x v="0"/>
    <x v="0"/>
    <x v="2"/>
    <s v="Programacao"/>
    <n v="17"/>
    <n v="73.7"/>
    <x v="1"/>
    <x v="0"/>
  </r>
  <r>
    <s v="E202401021"/>
    <x v="0"/>
    <x v="1"/>
    <x v="1"/>
    <s v="Sinais"/>
    <n v="17"/>
    <n v="93.6"/>
    <x v="1"/>
    <x v="2"/>
  </r>
  <r>
    <s v="E202502008"/>
    <x v="1"/>
    <x v="0"/>
    <x v="0"/>
    <s v="Contabilidade"/>
    <n v="17"/>
    <n v="60.7"/>
    <x v="1"/>
    <x v="0"/>
  </r>
  <r>
    <s v="E202502052"/>
    <x v="1"/>
    <x v="0"/>
    <x v="0"/>
    <s v="Estatistica"/>
    <n v="17"/>
    <n v="89.9"/>
    <x v="1"/>
    <x v="2"/>
  </r>
  <r>
    <s v="E202502019"/>
    <x v="1"/>
    <x v="1"/>
    <x v="0"/>
    <s v="Marketing"/>
    <n v="17"/>
    <n v="84"/>
    <x v="1"/>
    <x v="2"/>
  </r>
  <r>
    <s v="E202603007"/>
    <x v="2"/>
    <x v="0"/>
    <x v="2"/>
    <s v="Redes"/>
    <n v="17"/>
    <n v="70.3"/>
    <x v="1"/>
    <x v="0"/>
  </r>
  <r>
    <s v="E202601011"/>
    <x v="2"/>
    <x v="1"/>
    <x v="1"/>
    <s v="Sinais"/>
    <n v="17"/>
    <n v="94.3"/>
    <x v="1"/>
    <x v="2"/>
  </r>
  <r>
    <s v="E202401013"/>
    <x v="0"/>
    <x v="0"/>
    <x v="1"/>
    <s v="Redes"/>
    <n v="17.100000000000001"/>
    <n v="79.5"/>
    <x v="1"/>
    <x v="2"/>
  </r>
  <r>
    <s v="E202401010"/>
    <x v="0"/>
    <x v="1"/>
    <x v="1"/>
    <s v="Matematica"/>
    <n v="17.100000000000001"/>
    <n v="99.1"/>
    <x v="1"/>
    <x v="2"/>
  </r>
  <r>
    <s v="E202402049"/>
    <x v="0"/>
    <x v="1"/>
    <x v="0"/>
    <s v="Marketing"/>
    <n v="17.100000000000001"/>
    <n v="93.5"/>
    <x v="1"/>
    <x v="2"/>
  </r>
  <r>
    <s v="E202401016"/>
    <x v="0"/>
    <x v="0"/>
    <x v="1"/>
    <s v="Redes"/>
    <n v="17.2"/>
    <n v="93.2"/>
    <x v="1"/>
    <x v="2"/>
  </r>
  <r>
    <s v="E202401041"/>
    <x v="0"/>
    <x v="0"/>
    <x v="1"/>
    <s v="Redes"/>
    <n v="17.2"/>
    <n v="97.8"/>
    <x v="1"/>
    <x v="2"/>
  </r>
  <r>
    <s v="E202403055"/>
    <x v="0"/>
    <x v="0"/>
    <x v="2"/>
    <s v="Redes"/>
    <n v="17.2"/>
    <n v="73.2"/>
    <x v="1"/>
    <x v="0"/>
  </r>
  <r>
    <s v="E202401011"/>
    <x v="0"/>
    <x v="1"/>
    <x v="1"/>
    <s v="Sinais"/>
    <n v="17.2"/>
    <n v="97.4"/>
    <x v="1"/>
    <x v="2"/>
  </r>
  <r>
    <s v="E202402059"/>
    <x v="0"/>
    <x v="1"/>
    <x v="0"/>
    <s v="Estatistica"/>
    <n v="17.2"/>
    <n v="93.6"/>
    <x v="1"/>
    <x v="2"/>
  </r>
  <r>
    <s v="E202502036"/>
    <x v="1"/>
    <x v="0"/>
    <x v="0"/>
    <s v="Contabilidade"/>
    <n v="17.2"/>
    <n v="90.5"/>
    <x v="1"/>
    <x v="2"/>
  </r>
  <r>
    <s v="E202501021"/>
    <x v="1"/>
    <x v="1"/>
    <x v="1"/>
    <s v="Sinais"/>
    <n v="17.2"/>
    <n v="94.1"/>
    <x v="1"/>
    <x v="2"/>
  </r>
  <r>
    <s v="E202501051"/>
    <x v="1"/>
    <x v="1"/>
    <x v="1"/>
    <s v="Sinais"/>
    <n v="17.2"/>
    <n v="98.7"/>
    <x v="1"/>
    <x v="2"/>
  </r>
  <r>
    <s v="E202502050"/>
    <x v="1"/>
    <x v="1"/>
    <x v="0"/>
    <s v="Estatistica"/>
    <n v="17.2"/>
    <n v="94.4"/>
    <x v="1"/>
    <x v="2"/>
  </r>
  <r>
    <s v="E202603042"/>
    <x v="2"/>
    <x v="0"/>
    <x v="2"/>
    <s v="Bases de Dados"/>
    <n v="17.2"/>
    <n v="51"/>
    <x v="1"/>
    <x v="0"/>
  </r>
  <r>
    <s v="E202602018"/>
    <x v="2"/>
    <x v="1"/>
    <x v="0"/>
    <s v="Contabilidade"/>
    <n v="17.2"/>
    <n v="65.400000000000006"/>
    <x v="1"/>
    <x v="0"/>
  </r>
  <r>
    <s v="E202602026"/>
    <x v="2"/>
    <x v="1"/>
    <x v="0"/>
    <s v="Contabilidade"/>
    <n v="17.2"/>
    <n v="94.5"/>
    <x v="1"/>
    <x v="2"/>
  </r>
  <r>
    <s v="E202403001"/>
    <x v="0"/>
    <x v="1"/>
    <x v="2"/>
    <s v="Redes"/>
    <n v="17.3"/>
    <n v="99.2"/>
    <x v="1"/>
    <x v="2"/>
  </r>
  <r>
    <s v="E202602041"/>
    <x v="2"/>
    <x v="0"/>
    <x v="0"/>
    <s v="Contabilidade"/>
    <n v="17.3"/>
    <n v="83.6"/>
    <x v="1"/>
    <x v="2"/>
  </r>
  <r>
    <s v="E202603033"/>
    <x v="2"/>
    <x v="0"/>
    <x v="2"/>
    <s v="Programacao"/>
    <n v="17.3"/>
    <n v="84.1"/>
    <x v="1"/>
    <x v="2"/>
  </r>
  <r>
    <s v="E202601051"/>
    <x v="2"/>
    <x v="1"/>
    <x v="1"/>
    <s v="Redes"/>
    <n v="17.3"/>
    <n v="97.4"/>
    <x v="1"/>
    <x v="2"/>
  </r>
  <r>
    <s v="E202602056"/>
    <x v="2"/>
    <x v="1"/>
    <x v="0"/>
    <s v="Contabilidade"/>
    <n v="17.3"/>
    <n v="99.5"/>
    <x v="1"/>
    <x v="2"/>
  </r>
  <r>
    <s v="E202401049"/>
    <x v="0"/>
    <x v="0"/>
    <x v="1"/>
    <s v="Matematica"/>
    <n v="17.399999999999999"/>
    <n v="89.3"/>
    <x v="1"/>
    <x v="2"/>
  </r>
  <r>
    <s v="E202402006"/>
    <x v="0"/>
    <x v="0"/>
    <x v="0"/>
    <s v="Marketing"/>
    <n v="17.399999999999999"/>
    <n v="78.8"/>
    <x v="1"/>
    <x v="2"/>
  </r>
  <r>
    <s v="E202402005"/>
    <x v="0"/>
    <x v="1"/>
    <x v="0"/>
    <s v="Marketing"/>
    <n v="17.399999999999999"/>
    <n v="81.400000000000006"/>
    <x v="1"/>
    <x v="2"/>
  </r>
  <r>
    <s v="E202501052"/>
    <x v="1"/>
    <x v="0"/>
    <x v="1"/>
    <s v="Sinais"/>
    <n v="17.399999999999999"/>
    <n v="81.599999999999994"/>
    <x v="1"/>
    <x v="2"/>
  </r>
  <r>
    <s v="E202502055"/>
    <x v="1"/>
    <x v="1"/>
    <x v="0"/>
    <s v="Contabilidade"/>
    <n v="17.399999999999999"/>
    <n v="84.7"/>
    <x v="1"/>
    <x v="2"/>
  </r>
  <r>
    <s v="E202402016"/>
    <x v="0"/>
    <x v="0"/>
    <x v="0"/>
    <s v="Contabilidade"/>
    <n v="17.5"/>
    <n v="74.7"/>
    <x v="1"/>
    <x v="0"/>
  </r>
  <r>
    <s v="E202403056"/>
    <x v="0"/>
    <x v="0"/>
    <x v="2"/>
    <s v="Bases de Dados"/>
    <n v="17.5"/>
    <n v="76.900000000000006"/>
    <x v="1"/>
    <x v="2"/>
  </r>
  <r>
    <s v="E202401003"/>
    <x v="0"/>
    <x v="1"/>
    <x v="1"/>
    <s v="Redes"/>
    <n v="17.5"/>
    <n v="61.5"/>
    <x v="1"/>
    <x v="0"/>
  </r>
  <r>
    <s v="E202402018"/>
    <x v="0"/>
    <x v="1"/>
    <x v="0"/>
    <s v="Marketing"/>
    <n v="17.5"/>
    <n v="89.7"/>
    <x v="1"/>
    <x v="2"/>
  </r>
  <r>
    <s v="E202402037"/>
    <x v="0"/>
    <x v="1"/>
    <x v="0"/>
    <s v="Marketing"/>
    <n v="17.5"/>
    <n v="94.5"/>
    <x v="1"/>
    <x v="2"/>
  </r>
  <r>
    <s v="E202503035"/>
    <x v="1"/>
    <x v="0"/>
    <x v="2"/>
    <s v="Bases de Dados"/>
    <n v="17.5"/>
    <n v="95.8"/>
    <x v="1"/>
    <x v="2"/>
  </r>
  <r>
    <s v="E202501029"/>
    <x v="1"/>
    <x v="1"/>
    <x v="1"/>
    <s v="Sinais"/>
    <n v="17.5"/>
    <n v="96.5"/>
    <x v="1"/>
    <x v="2"/>
  </r>
  <r>
    <s v="E202501040"/>
    <x v="1"/>
    <x v="1"/>
    <x v="1"/>
    <s v="Redes"/>
    <n v="17.5"/>
    <n v="99.7"/>
    <x v="1"/>
    <x v="2"/>
  </r>
  <r>
    <s v="E202503032"/>
    <x v="1"/>
    <x v="1"/>
    <x v="2"/>
    <s v="Bases de Dados"/>
    <n v="17.5"/>
    <n v="90.4"/>
    <x v="1"/>
    <x v="2"/>
  </r>
  <r>
    <s v="E202602051"/>
    <x v="2"/>
    <x v="0"/>
    <x v="0"/>
    <s v="Marketing"/>
    <n v="17.5"/>
    <n v="61.1"/>
    <x v="1"/>
    <x v="0"/>
  </r>
  <r>
    <s v="E202603053"/>
    <x v="2"/>
    <x v="0"/>
    <x v="2"/>
    <s v="Redes"/>
    <n v="17.5"/>
    <n v="56"/>
    <x v="1"/>
    <x v="0"/>
  </r>
  <r>
    <s v="E202601013"/>
    <x v="2"/>
    <x v="1"/>
    <x v="1"/>
    <s v="Matematica"/>
    <n v="17.5"/>
    <n v="97.2"/>
    <x v="1"/>
    <x v="2"/>
  </r>
  <r>
    <s v="E202602051"/>
    <x v="2"/>
    <x v="1"/>
    <x v="0"/>
    <s v="Estatistica"/>
    <n v="17.5"/>
    <n v="97.2"/>
    <x v="1"/>
    <x v="2"/>
  </r>
  <r>
    <s v="E202402042"/>
    <x v="0"/>
    <x v="1"/>
    <x v="0"/>
    <s v="Estatistica"/>
    <n v="17.600000000000001"/>
    <n v="99.3"/>
    <x v="1"/>
    <x v="2"/>
  </r>
  <r>
    <s v="E202501006"/>
    <x v="1"/>
    <x v="0"/>
    <x v="1"/>
    <s v="Sinais"/>
    <n v="17.600000000000001"/>
    <n v="81.900000000000006"/>
    <x v="1"/>
    <x v="2"/>
  </r>
  <r>
    <s v="E202502033"/>
    <x v="1"/>
    <x v="0"/>
    <x v="0"/>
    <s v="Marketing"/>
    <n v="17.600000000000001"/>
    <n v="98.8"/>
    <x v="1"/>
    <x v="2"/>
  </r>
  <r>
    <s v="E202402002"/>
    <x v="0"/>
    <x v="0"/>
    <x v="0"/>
    <s v="Contabilidade"/>
    <n v="17.7"/>
    <n v="47.1"/>
    <x v="1"/>
    <x v="1"/>
  </r>
  <r>
    <s v="E202403017"/>
    <x v="0"/>
    <x v="0"/>
    <x v="2"/>
    <s v="Redes"/>
    <n v="17.7"/>
    <n v="72.400000000000006"/>
    <x v="1"/>
    <x v="0"/>
  </r>
  <r>
    <s v="E202503029"/>
    <x v="1"/>
    <x v="0"/>
    <x v="2"/>
    <s v="Programacao"/>
    <n v="17.7"/>
    <n v="97.1"/>
    <x v="1"/>
    <x v="2"/>
  </r>
  <r>
    <s v="E202601053"/>
    <x v="2"/>
    <x v="1"/>
    <x v="1"/>
    <s v="Sinais"/>
    <n v="17.7"/>
    <n v="90.6"/>
    <x v="1"/>
    <x v="2"/>
  </r>
  <r>
    <s v="E202402056"/>
    <x v="0"/>
    <x v="1"/>
    <x v="0"/>
    <s v="Contabilidade"/>
    <n v="17.8"/>
    <n v="95.6"/>
    <x v="1"/>
    <x v="2"/>
  </r>
  <r>
    <s v="E202501004"/>
    <x v="1"/>
    <x v="0"/>
    <x v="1"/>
    <s v="Sinais"/>
    <n v="17.8"/>
    <n v="87.2"/>
    <x v="1"/>
    <x v="2"/>
  </r>
  <r>
    <s v="E202502038"/>
    <x v="1"/>
    <x v="0"/>
    <x v="0"/>
    <s v="Contabilidade"/>
    <n v="17.8"/>
    <n v="96.9"/>
    <x v="1"/>
    <x v="2"/>
  </r>
  <r>
    <s v="E202603030"/>
    <x v="2"/>
    <x v="0"/>
    <x v="2"/>
    <s v="Bases de Dados"/>
    <n v="17.8"/>
    <n v="70.7"/>
    <x v="1"/>
    <x v="0"/>
  </r>
  <r>
    <s v="E202603044"/>
    <x v="2"/>
    <x v="0"/>
    <x v="2"/>
    <s v="Bases de Dados"/>
    <n v="17.8"/>
    <n v="82.5"/>
    <x v="1"/>
    <x v="2"/>
  </r>
  <r>
    <s v="E202602012"/>
    <x v="2"/>
    <x v="1"/>
    <x v="0"/>
    <s v="Contabilidade"/>
    <n v="17.8"/>
    <n v="71.5"/>
    <x v="1"/>
    <x v="0"/>
  </r>
  <r>
    <s v="E202603008"/>
    <x v="2"/>
    <x v="1"/>
    <x v="2"/>
    <s v="Bases de Dados"/>
    <n v="17.8"/>
    <n v="56"/>
    <x v="1"/>
    <x v="0"/>
  </r>
  <r>
    <s v="E202401016"/>
    <x v="0"/>
    <x v="0"/>
    <x v="1"/>
    <s v="Sinais"/>
    <n v="17.899999999999999"/>
    <n v="86.9"/>
    <x v="1"/>
    <x v="2"/>
  </r>
  <r>
    <s v="E202401040"/>
    <x v="0"/>
    <x v="0"/>
    <x v="1"/>
    <s v="Redes"/>
    <n v="17.899999999999999"/>
    <n v="93.6"/>
    <x v="1"/>
    <x v="2"/>
  </r>
  <r>
    <s v="E202402020"/>
    <x v="0"/>
    <x v="1"/>
    <x v="0"/>
    <s v="Contabilidade"/>
    <n v="17.899999999999999"/>
    <n v="88"/>
    <x v="1"/>
    <x v="2"/>
  </r>
  <r>
    <s v="E202403048"/>
    <x v="0"/>
    <x v="1"/>
    <x v="2"/>
    <s v="Redes"/>
    <n v="17.899999999999999"/>
    <n v="78.7"/>
    <x v="1"/>
    <x v="2"/>
  </r>
  <r>
    <s v="E202502042"/>
    <x v="1"/>
    <x v="0"/>
    <x v="0"/>
    <s v="Estatistica"/>
    <n v="17.899999999999999"/>
    <n v="81.8"/>
    <x v="1"/>
    <x v="2"/>
  </r>
  <r>
    <s v="E202601046"/>
    <x v="2"/>
    <x v="0"/>
    <x v="1"/>
    <s v="Sinais"/>
    <n v="17.899999999999999"/>
    <n v="70.900000000000006"/>
    <x v="1"/>
    <x v="0"/>
  </r>
  <r>
    <s v="E202603059"/>
    <x v="2"/>
    <x v="0"/>
    <x v="2"/>
    <s v="Programacao"/>
    <n v="17.899999999999999"/>
    <n v="79.900000000000006"/>
    <x v="1"/>
    <x v="2"/>
  </r>
  <r>
    <s v="E202601023"/>
    <x v="2"/>
    <x v="1"/>
    <x v="1"/>
    <s v="Sinais"/>
    <n v="17.899999999999999"/>
    <n v="84.2"/>
    <x v="1"/>
    <x v="2"/>
  </r>
  <r>
    <s v="E202402019"/>
    <x v="0"/>
    <x v="0"/>
    <x v="0"/>
    <s v="Marketing"/>
    <n v="18"/>
    <n v="59"/>
    <x v="1"/>
    <x v="0"/>
  </r>
  <r>
    <s v="E202402009"/>
    <x v="0"/>
    <x v="1"/>
    <x v="0"/>
    <s v="Marketing"/>
    <n v="18"/>
    <n v="99"/>
    <x v="1"/>
    <x v="2"/>
  </r>
  <r>
    <s v="E202501053"/>
    <x v="1"/>
    <x v="0"/>
    <x v="1"/>
    <s v="Sinais"/>
    <n v="18"/>
    <n v="96.5"/>
    <x v="1"/>
    <x v="2"/>
  </r>
  <r>
    <s v="E202502060"/>
    <x v="1"/>
    <x v="0"/>
    <x v="0"/>
    <s v="Contabilidade"/>
    <n v="18.100000000000001"/>
    <n v="94.8"/>
    <x v="1"/>
    <x v="2"/>
  </r>
  <r>
    <s v="E202503024"/>
    <x v="1"/>
    <x v="0"/>
    <x v="2"/>
    <s v="Redes"/>
    <n v="18.100000000000001"/>
    <n v="94"/>
    <x v="1"/>
    <x v="2"/>
  </r>
  <r>
    <s v="E202501045"/>
    <x v="1"/>
    <x v="1"/>
    <x v="1"/>
    <s v="Matematica"/>
    <n v="18.100000000000001"/>
    <n v="79"/>
    <x v="1"/>
    <x v="2"/>
  </r>
  <r>
    <s v="E202502039"/>
    <x v="1"/>
    <x v="1"/>
    <x v="0"/>
    <s v="Marketing"/>
    <n v="18.100000000000001"/>
    <n v="82.7"/>
    <x v="1"/>
    <x v="2"/>
  </r>
  <r>
    <s v="E202502042"/>
    <x v="1"/>
    <x v="1"/>
    <x v="0"/>
    <s v="Contabilidade"/>
    <n v="18.100000000000001"/>
    <n v="69.7"/>
    <x v="1"/>
    <x v="0"/>
  </r>
  <r>
    <s v="E202401049"/>
    <x v="0"/>
    <x v="1"/>
    <x v="1"/>
    <s v="Matematica"/>
    <n v="18.2"/>
    <n v="91.3"/>
    <x v="1"/>
    <x v="2"/>
  </r>
  <r>
    <s v="E202402009"/>
    <x v="0"/>
    <x v="1"/>
    <x v="0"/>
    <s v="Contabilidade"/>
    <n v="18.2"/>
    <n v="92.1"/>
    <x v="1"/>
    <x v="2"/>
  </r>
  <r>
    <s v="E202503004"/>
    <x v="1"/>
    <x v="1"/>
    <x v="2"/>
    <s v="Redes"/>
    <n v="18.2"/>
    <n v="86.1"/>
    <x v="1"/>
    <x v="2"/>
  </r>
  <r>
    <s v="E202601013"/>
    <x v="2"/>
    <x v="1"/>
    <x v="1"/>
    <s v="Sinais"/>
    <n v="18.2"/>
    <n v="88.1"/>
    <x v="1"/>
    <x v="2"/>
  </r>
  <r>
    <s v="E202602040"/>
    <x v="2"/>
    <x v="1"/>
    <x v="0"/>
    <s v="Contabilidade"/>
    <n v="18.2"/>
    <n v="85"/>
    <x v="1"/>
    <x v="2"/>
  </r>
  <r>
    <s v="E202501057"/>
    <x v="1"/>
    <x v="0"/>
    <x v="1"/>
    <s v="Matematica"/>
    <n v="18.3"/>
    <n v="90.8"/>
    <x v="1"/>
    <x v="2"/>
  </r>
  <r>
    <s v="E202502025"/>
    <x v="1"/>
    <x v="0"/>
    <x v="0"/>
    <s v="Estatistica"/>
    <n v="18.3"/>
    <n v="88.6"/>
    <x v="1"/>
    <x v="2"/>
  </r>
  <r>
    <s v="E202502038"/>
    <x v="1"/>
    <x v="1"/>
    <x v="0"/>
    <s v="Estatistica"/>
    <n v="18.3"/>
    <n v="99.8"/>
    <x v="1"/>
    <x v="2"/>
  </r>
  <r>
    <s v="E202503060"/>
    <x v="1"/>
    <x v="1"/>
    <x v="2"/>
    <s v="Redes"/>
    <n v="18.3"/>
    <n v="79.599999999999994"/>
    <x v="1"/>
    <x v="2"/>
  </r>
  <r>
    <s v="E202601053"/>
    <x v="2"/>
    <x v="0"/>
    <x v="1"/>
    <s v="Sinais"/>
    <n v="18.3"/>
    <n v="94.5"/>
    <x v="1"/>
    <x v="2"/>
  </r>
  <r>
    <s v="E202401013"/>
    <x v="0"/>
    <x v="1"/>
    <x v="1"/>
    <s v="Redes"/>
    <n v="18.399999999999999"/>
    <n v="78.3"/>
    <x v="1"/>
    <x v="2"/>
  </r>
  <r>
    <s v="E202502030"/>
    <x v="1"/>
    <x v="1"/>
    <x v="0"/>
    <s v="Contabilidade"/>
    <n v="18.399999999999999"/>
    <n v="96.4"/>
    <x v="1"/>
    <x v="2"/>
  </r>
  <r>
    <s v="E202602026"/>
    <x v="2"/>
    <x v="0"/>
    <x v="0"/>
    <s v="Marketing"/>
    <n v="18.399999999999999"/>
    <n v="97.3"/>
    <x v="1"/>
    <x v="2"/>
  </r>
  <r>
    <s v="E202601054"/>
    <x v="2"/>
    <x v="1"/>
    <x v="1"/>
    <s v="Matematica"/>
    <n v="18.399999999999999"/>
    <n v="82.2"/>
    <x v="1"/>
    <x v="2"/>
  </r>
  <r>
    <s v="E202502023"/>
    <x v="1"/>
    <x v="1"/>
    <x v="0"/>
    <s v="Contabilidade"/>
    <n v="18.5"/>
    <n v="91.2"/>
    <x v="1"/>
    <x v="2"/>
  </r>
  <r>
    <s v="E202503016"/>
    <x v="1"/>
    <x v="1"/>
    <x v="2"/>
    <s v="Bases de Dados"/>
    <n v="18.5"/>
    <n v="62.5"/>
    <x v="1"/>
    <x v="0"/>
  </r>
  <r>
    <s v="E202402007"/>
    <x v="0"/>
    <x v="0"/>
    <x v="0"/>
    <s v="Marketing"/>
    <n v="18.600000000000001"/>
    <n v="87.7"/>
    <x v="1"/>
    <x v="2"/>
  </r>
  <r>
    <s v="E202501044"/>
    <x v="1"/>
    <x v="0"/>
    <x v="1"/>
    <s v="Redes"/>
    <n v="18.600000000000001"/>
    <n v="94.7"/>
    <x v="1"/>
    <x v="2"/>
  </r>
  <r>
    <s v="E202502059"/>
    <x v="1"/>
    <x v="1"/>
    <x v="0"/>
    <s v="Contabilidade"/>
    <n v="18.600000000000001"/>
    <n v="99.3"/>
    <x v="1"/>
    <x v="2"/>
  </r>
  <r>
    <s v="E202402013"/>
    <x v="0"/>
    <x v="1"/>
    <x v="0"/>
    <s v="Contabilidade"/>
    <n v="18.7"/>
    <n v="95.7"/>
    <x v="1"/>
    <x v="2"/>
  </r>
  <r>
    <s v="E202502047"/>
    <x v="1"/>
    <x v="1"/>
    <x v="0"/>
    <s v="Contabilidade"/>
    <n v="18.7"/>
    <n v="97.4"/>
    <x v="1"/>
    <x v="2"/>
  </r>
  <r>
    <s v="E202601047"/>
    <x v="2"/>
    <x v="0"/>
    <x v="1"/>
    <s v="Redes"/>
    <n v="18.7"/>
    <n v="74.8"/>
    <x v="1"/>
    <x v="0"/>
  </r>
  <r>
    <s v="E202602035"/>
    <x v="2"/>
    <x v="0"/>
    <x v="0"/>
    <s v="Estatistica"/>
    <n v="18.7"/>
    <n v="92.4"/>
    <x v="1"/>
    <x v="2"/>
  </r>
  <r>
    <s v="E202603059"/>
    <x v="2"/>
    <x v="0"/>
    <x v="2"/>
    <s v="Bases de Dados"/>
    <n v="18.7"/>
    <n v="95.3"/>
    <x v="1"/>
    <x v="2"/>
  </r>
  <r>
    <s v="E202501028"/>
    <x v="1"/>
    <x v="0"/>
    <x v="1"/>
    <s v="Redes"/>
    <n v="18.8"/>
    <n v="87.9"/>
    <x v="1"/>
    <x v="2"/>
  </r>
  <r>
    <s v="E202501050"/>
    <x v="1"/>
    <x v="0"/>
    <x v="1"/>
    <s v="Matematica"/>
    <n v="18.8"/>
    <n v="64.400000000000006"/>
    <x v="1"/>
    <x v="0"/>
  </r>
  <r>
    <s v="E202501039"/>
    <x v="1"/>
    <x v="1"/>
    <x v="1"/>
    <s v="Redes"/>
    <n v="18.8"/>
    <n v="92.8"/>
    <x v="1"/>
    <x v="2"/>
  </r>
  <r>
    <s v="E202601006"/>
    <x v="2"/>
    <x v="0"/>
    <x v="1"/>
    <s v="Redes"/>
    <n v="18.8"/>
    <n v="89.7"/>
    <x v="1"/>
    <x v="2"/>
  </r>
  <r>
    <s v="E202602017"/>
    <x v="2"/>
    <x v="1"/>
    <x v="0"/>
    <s v="Estatistica"/>
    <n v="18.8"/>
    <n v="78"/>
    <x v="1"/>
    <x v="2"/>
  </r>
  <r>
    <s v="E202501001"/>
    <x v="1"/>
    <x v="0"/>
    <x v="1"/>
    <s v="Matematica"/>
    <n v="18.899999999999999"/>
    <n v="99.8"/>
    <x v="1"/>
    <x v="2"/>
  </r>
  <r>
    <s v="E202602028"/>
    <x v="2"/>
    <x v="1"/>
    <x v="0"/>
    <s v="Estatistica"/>
    <n v="18.899999999999999"/>
    <n v="84"/>
    <x v="1"/>
    <x v="2"/>
  </r>
  <r>
    <s v="E202401033"/>
    <x v="0"/>
    <x v="1"/>
    <x v="1"/>
    <s v="Sinais"/>
    <n v="19"/>
    <n v="96.6"/>
    <x v="1"/>
    <x v="2"/>
  </r>
  <r>
    <s v="E202602036"/>
    <x v="2"/>
    <x v="0"/>
    <x v="0"/>
    <s v="Marketing"/>
    <n v="19"/>
    <n v="82.3"/>
    <x v="1"/>
    <x v="2"/>
  </r>
  <r>
    <s v="E202602059"/>
    <x v="2"/>
    <x v="1"/>
    <x v="0"/>
    <s v="Marketing"/>
    <n v="19"/>
    <n v="95.5"/>
    <x v="1"/>
    <x v="2"/>
  </r>
  <r>
    <s v="E202402049"/>
    <x v="0"/>
    <x v="0"/>
    <x v="0"/>
    <s v="Marketing"/>
    <n v="19.100000000000001"/>
    <n v="96"/>
    <x v="1"/>
    <x v="2"/>
  </r>
  <r>
    <s v="E202403007"/>
    <x v="0"/>
    <x v="1"/>
    <x v="2"/>
    <s v="Bases de Dados"/>
    <n v="19.100000000000001"/>
    <n v="96.6"/>
    <x v="1"/>
    <x v="2"/>
  </r>
  <r>
    <s v="E202503058"/>
    <x v="1"/>
    <x v="0"/>
    <x v="2"/>
    <s v="Bases de Dados"/>
    <n v="19.100000000000001"/>
    <n v="98.8"/>
    <x v="1"/>
    <x v="2"/>
  </r>
  <r>
    <s v="E202401029"/>
    <x v="0"/>
    <x v="1"/>
    <x v="1"/>
    <s v="Matematica"/>
    <n v="19.2"/>
    <n v="94.3"/>
    <x v="1"/>
    <x v="2"/>
  </r>
  <r>
    <s v="E202502026"/>
    <x v="1"/>
    <x v="1"/>
    <x v="0"/>
    <s v="Estatistica"/>
    <n v="19.2"/>
    <n v="90.8"/>
    <x v="1"/>
    <x v="2"/>
  </r>
  <r>
    <s v="E202503014"/>
    <x v="1"/>
    <x v="1"/>
    <x v="2"/>
    <s v="Bases de Dados"/>
    <n v="19.2"/>
    <n v="72.8"/>
    <x v="1"/>
    <x v="0"/>
  </r>
  <r>
    <s v="E202503023"/>
    <x v="1"/>
    <x v="1"/>
    <x v="2"/>
    <s v="Redes"/>
    <n v="19.2"/>
    <n v="80.8"/>
    <x v="1"/>
    <x v="2"/>
  </r>
  <r>
    <s v="E202601048"/>
    <x v="2"/>
    <x v="1"/>
    <x v="1"/>
    <s v="Sinais"/>
    <n v="19.2"/>
    <n v="89.7"/>
    <x v="1"/>
    <x v="2"/>
  </r>
  <r>
    <s v="E202401049"/>
    <x v="0"/>
    <x v="0"/>
    <x v="1"/>
    <s v="Redes"/>
    <n v="19.3"/>
    <n v="98.1"/>
    <x v="1"/>
    <x v="2"/>
  </r>
  <r>
    <s v="E202403027"/>
    <x v="0"/>
    <x v="0"/>
    <x v="2"/>
    <s v="Redes"/>
    <n v="19.3"/>
    <n v="93.7"/>
    <x v="1"/>
    <x v="2"/>
  </r>
  <r>
    <s v="E202403044"/>
    <x v="0"/>
    <x v="1"/>
    <x v="2"/>
    <s v="Programacao"/>
    <n v="19.3"/>
    <n v="78.599999999999994"/>
    <x v="1"/>
    <x v="2"/>
  </r>
  <r>
    <s v="E202503003"/>
    <x v="1"/>
    <x v="1"/>
    <x v="2"/>
    <s v="Bases de Dados"/>
    <n v="19.3"/>
    <n v="86.2"/>
    <x v="1"/>
    <x v="2"/>
  </r>
  <r>
    <s v="E202603016"/>
    <x v="2"/>
    <x v="0"/>
    <x v="2"/>
    <s v="Bases de Dados"/>
    <n v="19.3"/>
    <n v="83.1"/>
    <x v="1"/>
    <x v="2"/>
  </r>
  <r>
    <s v="E202403008"/>
    <x v="0"/>
    <x v="1"/>
    <x v="2"/>
    <s v="Programacao"/>
    <n v="19.600000000000001"/>
    <n v="90.9"/>
    <x v="1"/>
    <x v="2"/>
  </r>
  <r>
    <s v="E202403044"/>
    <x v="0"/>
    <x v="1"/>
    <x v="2"/>
    <s v="Bases de Dados"/>
    <n v="19.600000000000001"/>
    <n v="99.7"/>
    <x v="1"/>
    <x v="2"/>
  </r>
  <r>
    <s v="E202401052"/>
    <x v="0"/>
    <x v="0"/>
    <x v="1"/>
    <s v="Matematica"/>
    <n v="19.7"/>
    <n v="90.3"/>
    <x v="1"/>
    <x v="2"/>
  </r>
  <r>
    <s v="E202403050"/>
    <x v="0"/>
    <x v="0"/>
    <x v="2"/>
    <s v="Programacao"/>
    <n v="19.7"/>
    <n v="98.8"/>
    <x v="1"/>
    <x v="2"/>
  </r>
  <r>
    <s v="E202601008"/>
    <x v="2"/>
    <x v="0"/>
    <x v="1"/>
    <s v="Redes"/>
    <n v="19.7"/>
    <n v="98.4"/>
    <x v="1"/>
    <x v="2"/>
  </r>
  <r>
    <s v="E202502046"/>
    <x v="1"/>
    <x v="1"/>
    <x v="0"/>
    <s v="Marketing"/>
    <n v="19.8"/>
    <n v="90.4"/>
    <x v="1"/>
    <x v="2"/>
  </r>
  <r>
    <s v="E202502009"/>
    <x v="1"/>
    <x v="0"/>
    <x v="0"/>
    <s v="Marketing"/>
    <n v="19.899999999999999"/>
    <n v="94.5"/>
    <x v="1"/>
    <x v="2"/>
  </r>
  <r>
    <s v="E202401006"/>
    <x v="0"/>
    <x v="1"/>
    <x v="1"/>
    <s v="Sinais"/>
    <n v="20"/>
    <n v="97.2"/>
    <x v="1"/>
    <x v="2"/>
  </r>
  <r>
    <s v="E202402053"/>
    <x v="0"/>
    <x v="1"/>
    <x v="0"/>
    <s v="Estatistica"/>
    <n v="20"/>
    <n v="99.5"/>
    <x v="1"/>
    <x v="2"/>
  </r>
  <r>
    <s v="E202502057"/>
    <x v="1"/>
    <x v="0"/>
    <x v="0"/>
    <s v="Estatistica"/>
    <n v="20"/>
    <n v="83"/>
    <x v="1"/>
    <x v="2"/>
  </r>
  <r>
    <s v="E202503006"/>
    <x v="1"/>
    <x v="0"/>
    <x v="2"/>
    <s v="Redes"/>
    <n v="20"/>
    <n v="98.7"/>
    <x v="1"/>
    <x v="2"/>
  </r>
  <r>
    <s v="E202501042"/>
    <x v="1"/>
    <x v="1"/>
    <x v="1"/>
    <s v="Matematica"/>
    <n v="20"/>
    <n v="67.2"/>
    <x v="1"/>
    <x v="0"/>
  </r>
  <r>
    <s v="E202501051"/>
    <x v="1"/>
    <x v="1"/>
    <x v="1"/>
    <s v="Matematica"/>
    <n v="20"/>
    <n v="92.8"/>
    <x v="1"/>
    <x v="2"/>
  </r>
  <r>
    <s v="E202502043"/>
    <x v="1"/>
    <x v="1"/>
    <x v="0"/>
    <s v="Estatistica"/>
    <n v="20"/>
    <n v="99.9"/>
    <x v="1"/>
    <x v="2"/>
  </r>
  <r>
    <s v="E202503025"/>
    <x v="1"/>
    <x v="1"/>
    <x v="2"/>
    <s v="Programacao"/>
    <n v="20"/>
    <n v="78.400000000000006"/>
    <x v="1"/>
    <x v="2"/>
  </r>
  <r>
    <s v="E202601057"/>
    <x v="2"/>
    <x v="0"/>
    <x v="1"/>
    <s v="Redes"/>
    <n v="20"/>
    <n v="90.6"/>
    <x v="1"/>
    <x v="2"/>
  </r>
  <r>
    <s v="E202602023"/>
    <x v="2"/>
    <x v="0"/>
    <x v="0"/>
    <s v="Contabilidade"/>
    <n v="20"/>
    <n v="96.4"/>
    <x v="1"/>
    <x v="2"/>
  </r>
  <r>
    <s v="E202602034"/>
    <x v="2"/>
    <x v="0"/>
    <x v="0"/>
    <s v="Marketing"/>
    <n v="20"/>
    <n v="93.7"/>
    <x v="1"/>
    <x v="2"/>
  </r>
  <r>
    <s v="E202603025"/>
    <x v="2"/>
    <x v="0"/>
    <x v="2"/>
    <s v="Programacao"/>
    <n v="20"/>
    <n v="96"/>
    <x v="1"/>
    <x v="2"/>
  </r>
  <r>
    <s v="E202601020"/>
    <x v="2"/>
    <x v="1"/>
    <x v="1"/>
    <s v="Redes"/>
    <n v="20"/>
    <n v="98.7"/>
    <x v="1"/>
    <x v="2"/>
  </r>
  <r>
    <s v="E202602009"/>
    <x v="2"/>
    <x v="1"/>
    <x v="0"/>
    <s v="Contabilidade"/>
    <n v="20"/>
    <n v="75.099999999999994"/>
    <x v="1"/>
    <x v="2"/>
  </r>
  <r>
    <s v="E202603039"/>
    <x v="2"/>
    <x v="1"/>
    <x v="2"/>
    <s v="Programacao"/>
    <n v="20"/>
    <n v="86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8DA52-F0D0-E940-AEA0-EF80C12665F1}" name="Aprovações vs Reprovações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8" firstHeaderRow="1" firstDataRow="2" firstDataCol="1"/>
  <pivotFields count="9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id_estudante" fld="0" subtotal="count" baseField="0" baseItem="0"/>
  </dataFields>
  <chartFormats count="6"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9C74E-4B21-1343-8EF0-60461B056600}" name="PivotTable9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2" firstHeaderRow="1" firstDataRow="1" firstDataCol="1"/>
  <pivotFields count="9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ota_final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F8B7A-43D4-514E-B79F-617996A21BC5}" name="PivotTable7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9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Average of nota_final2" fld="5" subtotal="average" baseField="0" baseItem="0" numFmtId="2"/>
  </dataFields>
  <formats count="3">
    <format dxfId="3">
      <pivotArea collapsedLevelsAreSubtotals="1" fieldPosition="0">
        <references count="1">
          <reference field="8" count="1">
            <x v="1"/>
          </reference>
        </references>
      </pivotArea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24A11-056B-E342-9182-630E4585FFF1}" name="PivotTable13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12" firstHeaderRow="1" firstDataRow="2" firstDataCol="1"/>
  <pivotFields count="9">
    <pivotField dataField="1" showAll="0"/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</pivotFields>
  <rowFields count="2">
    <field x="1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id_estudan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valiacoes" displayName="Avaliacoes" ref="A1:I3241" totalsRowShown="0">
  <sortState xmlns:xlrd2="http://schemas.microsoft.com/office/spreadsheetml/2017/richdata2" ref="A2:H3241">
    <sortCondition ref="F2:F3241"/>
  </sortState>
  <tableColumns count="9">
    <tableColumn id="1" xr3:uid="{00000000-0010-0000-0000-000001000000}" name="id_estudante"/>
    <tableColumn id="2" xr3:uid="{00000000-0010-0000-0000-000002000000}" name="ano"/>
    <tableColumn id="3" xr3:uid="{00000000-0010-0000-0000-000003000000}" name="semestre"/>
    <tableColumn id="4" xr3:uid="{00000000-0010-0000-0000-000004000000}" name="curso"/>
    <tableColumn id="5" xr3:uid="{00000000-0010-0000-0000-000005000000}" name="disciplina"/>
    <tableColumn id="6" xr3:uid="{00000000-0010-0000-0000-000006000000}" name="nota_final"/>
    <tableColumn id="7" xr3:uid="{00000000-0010-0000-0000-000007000000}" name="assiduidade_pct"/>
    <tableColumn id="8" xr3:uid="{00000000-0010-0000-0000-000008000000}" name="situacao"/>
    <tableColumn id="9" xr3:uid="{CA7C88A9-482F-1848-9933-4319D2E3A789}" name="faixa_assiduidade" dataDxfId="4">
      <calculatedColumnFormula>IF(G2&lt;50,"Baixa",IF(G2&lt;75,"Média","Alta"))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B9F3B3-7B66-8545-AEFB-00129CFE0670}" name="Table6" displayName="Table6" ref="A15:D21" totalsRowShown="0">
  <autoFilter ref="A15:D21" xr:uid="{69B9F3B3-7B66-8545-AEFB-00129CFE0670}"/>
  <tableColumns count="4">
    <tableColumn id="1" xr3:uid="{8FD0DB0B-5682-5C4B-B0AD-321ABA00CBB0}" name="Periodo"/>
    <tableColumn id="2" xr3:uid="{6D34D9AC-78B8-D14D-A338-4471E815D6BA}" name="Aprovados"/>
    <tableColumn id="3" xr3:uid="{E5A213A8-96C0-3F4C-B728-6EA38916A52C}" name="Reprovados"/>
    <tableColumn id="4" xr3:uid="{C19658B1-31A5-344F-92AF-518F42804AEC}" name="Taxa de Aprovação" dataDxfId="0" dataCellStyle="Per cent">
      <calculatedColumnFormula>IFERROR(B16/(B16+C16),0)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4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4"/>
  <cols>
    <col min="1" max="1" width="20" customWidth="1"/>
    <col min="2" max="2" width="12" customWidth="1"/>
    <col min="3" max="3" width="14" customWidth="1"/>
    <col min="4" max="4" width="35" customWidth="1"/>
    <col min="5" max="5" width="22" customWidth="1"/>
    <col min="6" max="6" width="17" customWidth="1"/>
    <col min="7" max="7" width="22" customWidth="1"/>
    <col min="8" max="8" width="17" customWidth="1"/>
    <col min="9" max="9" width="17.1640625" bestFit="1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578</v>
      </c>
    </row>
    <row r="2" spans="1:9">
      <c r="A2" t="s">
        <v>124</v>
      </c>
      <c r="B2">
        <v>2024</v>
      </c>
      <c r="C2">
        <v>1</v>
      </c>
      <c r="D2" t="s">
        <v>75</v>
      </c>
      <c r="E2" t="s">
        <v>76</v>
      </c>
      <c r="F2">
        <v>0</v>
      </c>
      <c r="G2">
        <v>58.3</v>
      </c>
      <c r="H2" t="s">
        <v>11</v>
      </c>
      <c r="I2" t="str">
        <f t="shared" ref="I2:I65" si="0">IF(G2&lt;50,"Baixa",IF(G2&lt;75,"Média","Alta"))</f>
        <v>Média</v>
      </c>
    </row>
    <row r="3" spans="1:9">
      <c r="A3" t="s">
        <v>132</v>
      </c>
      <c r="B3">
        <v>2024</v>
      </c>
      <c r="C3">
        <v>1</v>
      </c>
      <c r="D3" t="s">
        <v>75</v>
      </c>
      <c r="E3" t="s">
        <v>77</v>
      </c>
      <c r="F3">
        <v>0</v>
      </c>
      <c r="G3">
        <v>53</v>
      </c>
      <c r="H3" t="s">
        <v>11</v>
      </c>
      <c r="I3" t="str">
        <f t="shared" si="0"/>
        <v>Média</v>
      </c>
    </row>
    <row r="4" spans="1:9">
      <c r="A4" t="s">
        <v>15</v>
      </c>
      <c r="B4">
        <v>2024</v>
      </c>
      <c r="C4">
        <v>2</v>
      </c>
      <c r="D4" t="s">
        <v>9</v>
      </c>
      <c r="E4" t="s">
        <v>10</v>
      </c>
      <c r="F4">
        <v>0</v>
      </c>
      <c r="G4">
        <v>54.9</v>
      </c>
      <c r="H4" t="s">
        <v>11</v>
      </c>
      <c r="I4" t="str">
        <f t="shared" si="0"/>
        <v>Média</v>
      </c>
    </row>
    <row r="5" spans="1:9">
      <c r="A5" t="s">
        <v>358</v>
      </c>
      <c r="B5">
        <v>2025</v>
      </c>
      <c r="C5">
        <v>1</v>
      </c>
      <c r="D5" t="s">
        <v>139</v>
      </c>
      <c r="E5" t="s">
        <v>10</v>
      </c>
      <c r="F5">
        <v>0</v>
      </c>
      <c r="G5">
        <v>49</v>
      </c>
      <c r="H5" t="s">
        <v>11</v>
      </c>
      <c r="I5" t="str">
        <f t="shared" si="0"/>
        <v>Baixa</v>
      </c>
    </row>
    <row r="6" spans="1:9">
      <c r="A6" t="s">
        <v>253</v>
      </c>
      <c r="B6">
        <v>2025</v>
      </c>
      <c r="C6">
        <v>2</v>
      </c>
      <c r="D6" t="s">
        <v>9</v>
      </c>
      <c r="E6" t="s">
        <v>10</v>
      </c>
      <c r="F6">
        <v>0</v>
      </c>
      <c r="G6">
        <v>47.7</v>
      </c>
      <c r="H6" t="s">
        <v>11</v>
      </c>
      <c r="I6" t="str">
        <f t="shared" si="0"/>
        <v>Baixa</v>
      </c>
    </row>
    <row r="7" spans="1:9">
      <c r="A7" t="s">
        <v>536</v>
      </c>
      <c r="B7">
        <v>2026</v>
      </c>
      <c r="C7">
        <v>1</v>
      </c>
      <c r="D7" t="s">
        <v>139</v>
      </c>
      <c r="E7" t="s">
        <v>140</v>
      </c>
      <c r="F7">
        <v>0</v>
      </c>
      <c r="G7">
        <v>52.2</v>
      </c>
      <c r="H7" t="s">
        <v>11</v>
      </c>
      <c r="I7" t="str">
        <f t="shared" si="0"/>
        <v>Média</v>
      </c>
    </row>
    <row r="8" spans="1:9">
      <c r="A8" t="s">
        <v>324</v>
      </c>
      <c r="B8">
        <v>2025</v>
      </c>
      <c r="C8">
        <v>2</v>
      </c>
      <c r="D8" t="s">
        <v>139</v>
      </c>
      <c r="E8" t="s">
        <v>141</v>
      </c>
      <c r="F8">
        <v>0.1</v>
      </c>
      <c r="G8">
        <v>67.2</v>
      </c>
      <c r="H8" t="s">
        <v>11</v>
      </c>
      <c r="I8" t="str">
        <f t="shared" si="0"/>
        <v>Média</v>
      </c>
    </row>
    <row r="9" spans="1:9">
      <c r="A9" t="s">
        <v>36</v>
      </c>
      <c r="B9">
        <v>2024</v>
      </c>
      <c r="C9">
        <v>1</v>
      </c>
      <c r="D9" t="s">
        <v>9</v>
      </c>
      <c r="E9" t="s">
        <v>10</v>
      </c>
      <c r="F9">
        <v>0.2</v>
      </c>
      <c r="G9">
        <v>47.9</v>
      </c>
      <c r="H9" t="s">
        <v>11</v>
      </c>
      <c r="I9" t="str">
        <f t="shared" si="0"/>
        <v>Baixa</v>
      </c>
    </row>
    <row r="10" spans="1:9">
      <c r="A10" t="s">
        <v>557</v>
      </c>
      <c r="B10">
        <v>2026</v>
      </c>
      <c r="C10">
        <v>2</v>
      </c>
      <c r="D10" t="s">
        <v>139</v>
      </c>
      <c r="E10" t="s">
        <v>10</v>
      </c>
      <c r="F10">
        <v>0.2</v>
      </c>
      <c r="G10">
        <v>50.1</v>
      </c>
      <c r="H10" t="s">
        <v>11</v>
      </c>
      <c r="I10" t="str">
        <f t="shared" si="0"/>
        <v>Média</v>
      </c>
    </row>
    <row r="11" spans="1:9">
      <c r="A11" t="s">
        <v>285</v>
      </c>
      <c r="B11">
        <v>2025</v>
      </c>
      <c r="C11">
        <v>1</v>
      </c>
      <c r="D11" t="s">
        <v>75</v>
      </c>
      <c r="E11" t="s">
        <v>76</v>
      </c>
      <c r="F11">
        <v>0.4</v>
      </c>
      <c r="G11">
        <v>45.8</v>
      </c>
      <c r="H11" t="s">
        <v>11</v>
      </c>
      <c r="I11" t="str">
        <f t="shared" si="0"/>
        <v>Baixa</v>
      </c>
    </row>
    <row r="12" spans="1:9">
      <c r="A12" t="s">
        <v>212</v>
      </c>
      <c r="B12">
        <v>2025</v>
      </c>
      <c r="C12">
        <v>2</v>
      </c>
      <c r="D12" t="s">
        <v>9</v>
      </c>
      <c r="E12" t="s">
        <v>10</v>
      </c>
      <c r="F12">
        <v>0.5</v>
      </c>
      <c r="G12">
        <v>62</v>
      </c>
      <c r="H12" t="s">
        <v>11</v>
      </c>
      <c r="I12" t="str">
        <f t="shared" si="0"/>
        <v>Média</v>
      </c>
    </row>
    <row r="13" spans="1:9">
      <c r="A13" t="s">
        <v>209</v>
      </c>
      <c r="B13">
        <v>2025</v>
      </c>
      <c r="C13">
        <v>1</v>
      </c>
      <c r="D13" t="s">
        <v>9</v>
      </c>
      <c r="E13" t="s">
        <v>12</v>
      </c>
      <c r="F13">
        <v>0.7</v>
      </c>
      <c r="G13">
        <v>45.4</v>
      </c>
      <c r="H13" t="s">
        <v>11</v>
      </c>
      <c r="I13" t="str">
        <f t="shared" si="0"/>
        <v>Baixa</v>
      </c>
    </row>
    <row r="14" spans="1:9">
      <c r="A14" t="s">
        <v>227</v>
      </c>
      <c r="B14">
        <v>2025</v>
      </c>
      <c r="C14">
        <v>2</v>
      </c>
      <c r="D14" t="s">
        <v>9</v>
      </c>
      <c r="E14" t="s">
        <v>10</v>
      </c>
      <c r="F14">
        <v>0.7</v>
      </c>
      <c r="G14">
        <v>54.5</v>
      </c>
      <c r="H14" t="s">
        <v>11</v>
      </c>
      <c r="I14" t="str">
        <f t="shared" si="0"/>
        <v>Média</v>
      </c>
    </row>
    <row r="15" spans="1:9">
      <c r="A15" t="s">
        <v>33</v>
      </c>
      <c r="B15">
        <v>2024</v>
      </c>
      <c r="C15">
        <v>1</v>
      </c>
      <c r="D15" t="s">
        <v>9</v>
      </c>
      <c r="E15" t="s">
        <v>14</v>
      </c>
      <c r="F15">
        <v>0.8</v>
      </c>
      <c r="G15">
        <v>62.9</v>
      </c>
      <c r="H15" t="s">
        <v>11</v>
      </c>
      <c r="I15" t="str">
        <f t="shared" si="0"/>
        <v>Média</v>
      </c>
    </row>
    <row r="16" spans="1:9">
      <c r="A16" t="s">
        <v>275</v>
      </c>
      <c r="B16">
        <v>2025</v>
      </c>
      <c r="C16">
        <v>2</v>
      </c>
      <c r="D16" t="s">
        <v>75</v>
      </c>
      <c r="E16" t="s">
        <v>76</v>
      </c>
      <c r="F16">
        <v>0.8</v>
      </c>
      <c r="G16">
        <v>48.5</v>
      </c>
      <c r="H16" t="s">
        <v>11</v>
      </c>
      <c r="I16" t="str">
        <f t="shared" si="0"/>
        <v>Baixa</v>
      </c>
    </row>
    <row r="17" spans="1:9">
      <c r="A17" t="s">
        <v>195</v>
      </c>
      <c r="B17">
        <v>2024</v>
      </c>
      <c r="C17">
        <v>1</v>
      </c>
      <c r="D17" t="s">
        <v>139</v>
      </c>
      <c r="E17" t="s">
        <v>140</v>
      </c>
      <c r="F17">
        <v>0.9</v>
      </c>
      <c r="G17">
        <v>48.4</v>
      </c>
      <c r="H17" t="s">
        <v>11</v>
      </c>
      <c r="I17" t="str">
        <f t="shared" si="0"/>
        <v>Baixa</v>
      </c>
    </row>
    <row r="18" spans="1:9">
      <c r="A18" t="s">
        <v>315</v>
      </c>
      <c r="B18">
        <v>2025</v>
      </c>
      <c r="C18">
        <v>1</v>
      </c>
      <c r="D18" t="s">
        <v>75</v>
      </c>
      <c r="E18" t="s">
        <v>76</v>
      </c>
      <c r="F18">
        <v>1.2</v>
      </c>
      <c r="G18">
        <v>50.9</v>
      </c>
      <c r="H18" t="s">
        <v>11</v>
      </c>
      <c r="I18" t="str">
        <f t="shared" si="0"/>
        <v>Média</v>
      </c>
    </row>
    <row r="19" spans="1:9">
      <c r="A19" t="s">
        <v>195</v>
      </c>
      <c r="B19">
        <v>2024</v>
      </c>
      <c r="C19">
        <v>2</v>
      </c>
      <c r="D19" t="s">
        <v>139</v>
      </c>
      <c r="E19" t="s">
        <v>141</v>
      </c>
      <c r="F19">
        <v>1.3</v>
      </c>
      <c r="G19">
        <v>62.8</v>
      </c>
      <c r="H19" t="s">
        <v>11</v>
      </c>
      <c r="I19" t="str">
        <f t="shared" si="0"/>
        <v>Média</v>
      </c>
    </row>
    <row r="20" spans="1:9">
      <c r="A20" t="s">
        <v>559</v>
      </c>
      <c r="B20">
        <v>2026</v>
      </c>
      <c r="C20">
        <v>2</v>
      </c>
      <c r="D20" t="s">
        <v>139</v>
      </c>
      <c r="E20" t="s">
        <v>10</v>
      </c>
      <c r="F20">
        <v>1.3</v>
      </c>
      <c r="G20">
        <v>47.7</v>
      </c>
      <c r="H20" t="s">
        <v>11</v>
      </c>
      <c r="I20" t="str">
        <f t="shared" si="0"/>
        <v>Baixa</v>
      </c>
    </row>
    <row r="21" spans="1:9">
      <c r="A21" t="s">
        <v>225</v>
      </c>
      <c r="B21">
        <v>2025</v>
      </c>
      <c r="C21">
        <v>2</v>
      </c>
      <c r="D21" t="s">
        <v>9</v>
      </c>
      <c r="E21" t="s">
        <v>14</v>
      </c>
      <c r="F21">
        <v>1.4</v>
      </c>
      <c r="G21">
        <v>61.7</v>
      </c>
      <c r="H21" t="s">
        <v>11</v>
      </c>
      <c r="I21" t="str">
        <f t="shared" si="0"/>
        <v>Média</v>
      </c>
    </row>
    <row r="22" spans="1:9">
      <c r="A22" t="s">
        <v>525</v>
      </c>
      <c r="B22">
        <v>2026</v>
      </c>
      <c r="C22">
        <v>2</v>
      </c>
      <c r="D22" t="s">
        <v>139</v>
      </c>
      <c r="E22" t="s">
        <v>140</v>
      </c>
      <c r="F22">
        <v>1.5</v>
      </c>
      <c r="G22">
        <v>51.6</v>
      </c>
      <c r="H22" t="s">
        <v>11</v>
      </c>
      <c r="I22" t="str">
        <f t="shared" si="0"/>
        <v>Média</v>
      </c>
    </row>
    <row r="23" spans="1:9">
      <c r="A23" t="s">
        <v>132</v>
      </c>
      <c r="B23">
        <v>2024</v>
      </c>
      <c r="C23">
        <v>1</v>
      </c>
      <c r="D23" t="s">
        <v>75</v>
      </c>
      <c r="E23" t="s">
        <v>78</v>
      </c>
      <c r="F23">
        <v>1.6</v>
      </c>
      <c r="G23">
        <v>47.2</v>
      </c>
      <c r="H23" t="s">
        <v>11</v>
      </c>
      <c r="I23" t="str">
        <f t="shared" si="0"/>
        <v>Baixa</v>
      </c>
    </row>
    <row r="24" spans="1:9">
      <c r="A24" t="s">
        <v>120</v>
      </c>
      <c r="B24">
        <v>2024</v>
      </c>
      <c r="C24">
        <v>2</v>
      </c>
      <c r="D24" t="s">
        <v>75</v>
      </c>
      <c r="E24" t="s">
        <v>76</v>
      </c>
      <c r="F24">
        <v>1.6</v>
      </c>
      <c r="G24">
        <v>48</v>
      </c>
      <c r="H24" t="s">
        <v>11</v>
      </c>
      <c r="I24" t="str">
        <f t="shared" si="0"/>
        <v>Baixa</v>
      </c>
    </row>
    <row r="25" spans="1:9">
      <c r="A25" t="s">
        <v>356</v>
      </c>
      <c r="B25">
        <v>2025</v>
      </c>
      <c r="C25">
        <v>2</v>
      </c>
      <c r="D25" t="s">
        <v>139</v>
      </c>
      <c r="E25" t="s">
        <v>10</v>
      </c>
      <c r="F25">
        <v>1.7</v>
      </c>
      <c r="G25">
        <v>69.2</v>
      </c>
      <c r="H25" t="s">
        <v>11</v>
      </c>
      <c r="I25" t="str">
        <f t="shared" si="0"/>
        <v>Média</v>
      </c>
    </row>
    <row r="26" spans="1:9">
      <c r="A26" t="s">
        <v>74</v>
      </c>
      <c r="B26">
        <v>2024</v>
      </c>
      <c r="C26">
        <v>1</v>
      </c>
      <c r="D26" t="s">
        <v>75</v>
      </c>
      <c r="E26" t="s">
        <v>78</v>
      </c>
      <c r="F26">
        <v>1.8</v>
      </c>
      <c r="G26">
        <v>47.7</v>
      </c>
      <c r="H26" t="s">
        <v>11</v>
      </c>
      <c r="I26" t="str">
        <f t="shared" si="0"/>
        <v>Baixa</v>
      </c>
    </row>
    <row r="27" spans="1:9">
      <c r="A27" t="s">
        <v>293</v>
      </c>
      <c r="B27">
        <v>2025</v>
      </c>
      <c r="C27">
        <v>2</v>
      </c>
      <c r="D27" t="s">
        <v>75</v>
      </c>
      <c r="E27" t="s">
        <v>77</v>
      </c>
      <c r="F27">
        <v>1.8</v>
      </c>
      <c r="G27">
        <v>58.1</v>
      </c>
      <c r="H27" t="s">
        <v>11</v>
      </c>
      <c r="I27" t="str">
        <f t="shared" si="0"/>
        <v>Média</v>
      </c>
    </row>
    <row r="28" spans="1:9">
      <c r="A28" t="s">
        <v>31</v>
      </c>
      <c r="B28">
        <v>2024</v>
      </c>
      <c r="C28">
        <v>2</v>
      </c>
      <c r="D28" t="s">
        <v>9</v>
      </c>
      <c r="E28" t="s">
        <v>12</v>
      </c>
      <c r="F28">
        <v>1.9</v>
      </c>
      <c r="G28">
        <v>59.8</v>
      </c>
      <c r="H28" t="s">
        <v>11</v>
      </c>
      <c r="I28" t="str">
        <f t="shared" si="0"/>
        <v>Média</v>
      </c>
    </row>
    <row r="29" spans="1:9">
      <c r="A29" t="s">
        <v>363</v>
      </c>
      <c r="B29">
        <v>2025</v>
      </c>
      <c r="C29">
        <v>1</v>
      </c>
      <c r="D29" t="s">
        <v>139</v>
      </c>
      <c r="E29" t="s">
        <v>10</v>
      </c>
      <c r="F29">
        <v>1.9</v>
      </c>
      <c r="G29">
        <v>50.8</v>
      </c>
      <c r="H29" t="s">
        <v>11</v>
      </c>
      <c r="I29" t="str">
        <f t="shared" si="0"/>
        <v>Média</v>
      </c>
    </row>
    <row r="30" spans="1:9">
      <c r="A30" t="s">
        <v>103</v>
      </c>
      <c r="B30">
        <v>2024</v>
      </c>
      <c r="C30">
        <v>2</v>
      </c>
      <c r="D30" t="s">
        <v>75</v>
      </c>
      <c r="E30" t="s">
        <v>76</v>
      </c>
      <c r="F30">
        <v>2</v>
      </c>
      <c r="G30">
        <v>62.3</v>
      </c>
      <c r="H30" t="s">
        <v>11</v>
      </c>
      <c r="I30" t="str">
        <f t="shared" si="0"/>
        <v>Média</v>
      </c>
    </row>
    <row r="31" spans="1:9">
      <c r="A31" t="s">
        <v>448</v>
      </c>
      <c r="B31">
        <v>2026</v>
      </c>
      <c r="C31">
        <v>2</v>
      </c>
      <c r="D31" t="s">
        <v>75</v>
      </c>
      <c r="E31" t="s">
        <v>78</v>
      </c>
      <c r="F31">
        <v>2</v>
      </c>
      <c r="G31">
        <v>64.900000000000006</v>
      </c>
      <c r="H31" t="s">
        <v>11</v>
      </c>
      <c r="I31" t="str">
        <f t="shared" si="0"/>
        <v>Média</v>
      </c>
    </row>
    <row r="32" spans="1:9">
      <c r="A32" t="s">
        <v>340</v>
      </c>
      <c r="B32">
        <v>2025</v>
      </c>
      <c r="C32">
        <v>2</v>
      </c>
      <c r="D32" t="s">
        <v>139</v>
      </c>
      <c r="E32" t="s">
        <v>10</v>
      </c>
      <c r="F32">
        <v>2.2000000000000002</v>
      </c>
      <c r="G32">
        <v>50.5</v>
      </c>
      <c r="H32" t="s">
        <v>11</v>
      </c>
      <c r="I32" t="str">
        <f t="shared" si="0"/>
        <v>Média</v>
      </c>
    </row>
    <row r="33" spans="1:9">
      <c r="A33" t="s">
        <v>461</v>
      </c>
      <c r="B33">
        <v>2026</v>
      </c>
      <c r="C33">
        <v>2</v>
      </c>
      <c r="D33" t="s">
        <v>75</v>
      </c>
      <c r="E33" t="s">
        <v>76</v>
      </c>
      <c r="F33">
        <v>2.2000000000000002</v>
      </c>
      <c r="G33">
        <v>48.9</v>
      </c>
      <c r="H33" t="s">
        <v>11</v>
      </c>
      <c r="I33" t="str">
        <f t="shared" si="0"/>
        <v>Baixa</v>
      </c>
    </row>
    <row r="34" spans="1:9">
      <c r="A34" t="s">
        <v>125</v>
      </c>
      <c r="B34">
        <v>2024</v>
      </c>
      <c r="C34">
        <v>2</v>
      </c>
      <c r="D34" t="s">
        <v>75</v>
      </c>
      <c r="E34" t="s">
        <v>78</v>
      </c>
      <c r="F34">
        <v>2.2999999999999998</v>
      </c>
      <c r="G34">
        <v>47.6</v>
      </c>
      <c r="H34" t="s">
        <v>11</v>
      </c>
      <c r="I34" t="str">
        <f t="shared" si="0"/>
        <v>Baixa</v>
      </c>
    </row>
    <row r="35" spans="1:9">
      <c r="A35" t="s">
        <v>393</v>
      </c>
      <c r="B35">
        <v>2026</v>
      </c>
      <c r="C35">
        <v>1</v>
      </c>
      <c r="D35" t="s">
        <v>9</v>
      </c>
      <c r="E35" t="s">
        <v>10</v>
      </c>
      <c r="F35">
        <v>2.2999999999999998</v>
      </c>
      <c r="G35">
        <v>56.1</v>
      </c>
      <c r="H35" t="s">
        <v>11</v>
      </c>
      <c r="I35" t="str">
        <f t="shared" si="0"/>
        <v>Média</v>
      </c>
    </row>
    <row r="36" spans="1:9">
      <c r="A36" t="s">
        <v>532</v>
      </c>
      <c r="B36">
        <v>2026</v>
      </c>
      <c r="C36">
        <v>1</v>
      </c>
      <c r="D36" t="s">
        <v>139</v>
      </c>
      <c r="E36" t="s">
        <v>10</v>
      </c>
      <c r="F36">
        <v>2.2999999999999998</v>
      </c>
      <c r="G36">
        <v>46.8</v>
      </c>
      <c r="H36" t="s">
        <v>11</v>
      </c>
      <c r="I36" t="str">
        <f t="shared" si="0"/>
        <v>Baixa</v>
      </c>
    </row>
    <row r="37" spans="1:9">
      <c r="A37" t="s">
        <v>342</v>
      </c>
      <c r="B37">
        <v>2025</v>
      </c>
      <c r="C37">
        <v>2</v>
      </c>
      <c r="D37" t="s">
        <v>139</v>
      </c>
      <c r="E37" t="s">
        <v>141</v>
      </c>
      <c r="F37">
        <v>2.4</v>
      </c>
      <c r="G37">
        <v>46.7</v>
      </c>
      <c r="H37" t="s">
        <v>11</v>
      </c>
      <c r="I37" t="str">
        <f t="shared" si="0"/>
        <v>Baixa</v>
      </c>
    </row>
    <row r="38" spans="1:9">
      <c r="A38" t="s">
        <v>246</v>
      </c>
      <c r="B38">
        <v>2025</v>
      </c>
      <c r="C38">
        <v>1</v>
      </c>
      <c r="D38" t="s">
        <v>9</v>
      </c>
      <c r="E38" t="s">
        <v>10</v>
      </c>
      <c r="F38">
        <v>2.5</v>
      </c>
      <c r="G38">
        <v>48.6</v>
      </c>
      <c r="H38" t="s">
        <v>11</v>
      </c>
      <c r="I38" t="str">
        <f t="shared" si="0"/>
        <v>Baixa</v>
      </c>
    </row>
    <row r="39" spans="1:9">
      <c r="A39" t="s">
        <v>254</v>
      </c>
      <c r="B39">
        <v>2025</v>
      </c>
      <c r="C39">
        <v>1</v>
      </c>
      <c r="D39" t="s">
        <v>9</v>
      </c>
      <c r="E39" t="s">
        <v>14</v>
      </c>
      <c r="F39">
        <v>2.5</v>
      </c>
      <c r="G39">
        <v>47.8</v>
      </c>
      <c r="H39" t="s">
        <v>11</v>
      </c>
      <c r="I39" t="str">
        <f t="shared" si="0"/>
        <v>Baixa</v>
      </c>
    </row>
    <row r="40" spans="1:9">
      <c r="A40" t="s">
        <v>136</v>
      </c>
      <c r="B40">
        <v>2024</v>
      </c>
      <c r="C40">
        <v>1</v>
      </c>
      <c r="D40" t="s">
        <v>75</v>
      </c>
      <c r="E40" t="s">
        <v>77</v>
      </c>
      <c r="F40">
        <v>2.7</v>
      </c>
      <c r="G40">
        <v>62.5</v>
      </c>
      <c r="H40" t="s">
        <v>11</v>
      </c>
      <c r="I40" t="str">
        <f t="shared" si="0"/>
        <v>Média</v>
      </c>
    </row>
    <row r="41" spans="1:9">
      <c r="A41" t="s">
        <v>150</v>
      </c>
      <c r="B41">
        <v>2024</v>
      </c>
      <c r="C41">
        <v>2</v>
      </c>
      <c r="D41" t="s">
        <v>139</v>
      </c>
      <c r="E41" t="s">
        <v>141</v>
      </c>
      <c r="F41">
        <v>2.8</v>
      </c>
      <c r="G41">
        <v>46.3</v>
      </c>
      <c r="H41" t="s">
        <v>11</v>
      </c>
      <c r="I41" t="str">
        <f t="shared" si="0"/>
        <v>Baixa</v>
      </c>
    </row>
    <row r="42" spans="1:9">
      <c r="A42" t="s">
        <v>278</v>
      </c>
      <c r="B42">
        <v>2025</v>
      </c>
      <c r="C42">
        <v>2</v>
      </c>
      <c r="D42" t="s">
        <v>75</v>
      </c>
      <c r="E42" t="s">
        <v>78</v>
      </c>
      <c r="F42">
        <v>2.8</v>
      </c>
      <c r="G42">
        <v>46.2</v>
      </c>
      <c r="H42" t="s">
        <v>11</v>
      </c>
      <c r="I42" t="str">
        <f t="shared" si="0"/>
        <v>Baixa</v>
      </c>
    </row>
    <row r="43" spans="1:9">
      <c r="A43" t="s">
        <v>466</v>
      </c>
      <c r="B43">
        <v>2026</v>
      </c>
      <c r="C43">
        <v>2</v>
      </c>
      <c r="D43" t="s">
        <v>75</v>
      </c>
      <c r="E43" t="s">
        <v>77</v>
      </c>
      <c r="F43">
        <v>2.8</v>
      </c>
      <c r="G43">
        <v>59.3</v>
      </c>
      <c r="H43" t="s">
        <v>11</v>
      </c>
      <c r="I43" t="str">
        <f t="shared" si="0"/>
        <v>Média</v>
      </c>
    </row>
    <row r="44" spans="1:9">
      <c r="A44" t="s">
        <v>121</v>
      </c>
      <c r="B44">
        <v>2024</v>
      </c>
      <c r="C44">
        <v>2</v>
      </c>
      <c r="D44" t="s">
        <v>75</v>
      </c>
      <c r="E44" t="s">
        <v>78</v>
      </c>
      <c r="F44">
        <v>2.9</v>
      </c>
      <c r="G44">
        <v>57.3</v>
      </c>
      <c r="H44" t="s">
        <v>11</v>
      </c>
      <c r="I44" t="str">
        <f t="shared" si="0"/>
        <v>Média</v>
      </c>
    </row>
    <row r="45" spans="1:9">
      <c r="A45" t="s">
        <v>235</v>
      </c>
      <c r="B45">
        <v>2025</v>
      </c>
      <c r="C45">
        <v>1</v>
      </c>
      <c r="D45" t="s">
        <v>9</v>
      </c>
      <c r="E45" t="s">
        <v>14</v>
      </c>
      <c r="F45">
        <v>3</v>
      </c>
      <c r="G45">
        <v>54.7</v>
      </c>
      <c r="H45" t="s">
        <v>11</v>
      </c>
      <c r="I45" t="str">
        <f t="shared" si="0"/>
        <v>Média</v>
      </c>
    </row>
    <row r="46" spans="1:9">
      <c r="A46" t="s">
        <v>500</v>
      </c>
      <c r="B46">
        <v>2026</v>
      </c>
      <c r="C46">
        <v>1</v>
      </c>
      <c r="D46" t="s">
        <v>75</v>
      </c>
      <c r="E46" t="s">
        <v>77</v>
      </c>
      <c r="F46">
        <v>3</v>
      </c>
      <c r="G46">
        <v>53.6</v>
      </c>
      <c r="H46" t="s">
        <v>11</v>
      </c>
      <c r="I46" t="str">
        <f t="shared" si="0"/>
        <v>Média</v>
      </c>
    </row>
    <row r="47" spans="1:9">
      <c r="A47" t="s">
        <v>340</v>
      </c>
      <c r="B47">
        <v>2025</v>
      </c>
      <c r="C47">
        <v>2</v>
      </c>
      <c r="D47" t="s">
        <v>139</v>
      </c>
      <c r="E47" t="s">
        <v>140</v>
      </c>
      <c r="F47">
        <v>3.2</v>
      </c>
      <c r="G47">
        <v>53.8</v>
      </c>
      <c r="H47" t="s">
        <v>11</v>
      </c>
      <c r="I47" t="str">
        <f t="shared" si="0"/>
        <v>Média</v>
      </c>
    </row>
    <row r="48" spans="1:9">
      <c r="A48" t="s">
        <v>411</v>
      </c>
      <c r="B48">
        <v>2026</v>
      </c>
      <c r="C48">
        <v>2</v>
      </c>
      <c r="D48" t="s">
        <v>9</v>
      </c>
      <c r="E48" t="s">
        <v>14</v>
      </c>
      <c r="F48">
        <v>3.2</v>
      </c>
      <c r="G48">
        <v>48.1</v>
      </c>
      <c r="H48" t="s">
        <v>11</v>
      </c>
      <c r="I48" t="str">
        <f t="shared" si="0"/>
        <v>Baixa</v>
      </c>
    </row>
    <row r="49" spans="1:9">
      <c r="A49" t="s">
        <v>249</v>
      </c>
      <c r="B49">
        <v>2025</v>
      </c>
      <c r="C49">
        <v>1</v>
      </c>
      <c r="D49" t="s">
        <v>9</v>
      </c>
      <c r="E49" t="s">
        <v>14</v>
      </c>
      <c r="F49">
        <v>3.3</v>
      </c>
      <c r="G49">
        <v>54.4</v>
      </c>
      <c r="H49" t="s">
        <v>11</v>
      </c>
      <c r="I49" t="str">
        <f t="shared" si="0"/>
        <v>Média</v>
      </c>
    </row>
    <row r="50" spans="1:9">
      <c r="A50" t="s">
        <v>264</v>
      </c>
      <c r="B50">
        <v>2025</v>
      </c>
      <c r="C50">
        <v>1</v>
      </c>
      <c r="D50" t="s">
        <v>75</v>
      </c>
      <c r="E50" t="s">
        <v>77</v>
      </c>
      <c r="F50">
        <v>3.3</v>
      </c>
      <c r="G50">
        <v>67.900000000000006</v>
      </c>
      <c r="H50" t="s">
        <v>11</v>
      </c>
      <c r="I50" t="str">
        <f t="shared" si="0"/>
        <v>Média</v>
      </c>
    </row>
    <row r="51" spans="1:9">
      <c r="A51" t="s">
        <v>215</v>
      </c>
      <c r="B51">
        <v>2025</v>
      </c>
      <c r="C51">
        <v>2</v>
      </c>
      <c r="D51" t="s">
        <v>9</v>
      </c>
      <c r="E51" t="s">
        <v>14</v>
      </c>
      <c r="F51">
        <v>3.3</v>
      </c>
      <c r="G51">
        <v>51.2</v>
      </c>
      <c r="H51" t="s">
        <v>11</v>
      </c>
      <c r="I51" t="str">
        <f t="shared" si="0"/>
        <v>Média</v>
      </c>
    </row>
    <row r="52" spans="1:9">
      <c r="A52" t="s">
        <v>327</v>
      </c>
      <c r="B52">
        <v>2025</v>
      </c>
      <c r="C52">
        <v>2</v>
      </c>
      <c r="D52" t="s">
        <v>139</v>
      </c>
      <c r="E52" t="s">
        <v>140</v>
      </c>
      <c r="F52">
        <v>3.3</v>
      </c>
      <c r="G52">
        <v>76</v>
      </c>
      <c r="H52" t="s">
        <v>11</v>
      </c>
      <c r="I52" t="str">
        <f t="shared" si="0"/>
        <v>Alta</v>
      </c>
    </row>
    <row r="53" spans="1:9">
      <c r="A53" t="s">
        <v>416</v>
      </c>
      <c r="B53">
        <v>2026</v>
      </c>
      <c r="C53">
        <v>2</v>
      </c>
      <c r="D53" t="s">
        <v>9</v>
      </c>
      <c r="E53" t="s">
        <v>14</v>
      </c>
      <c r="F53">
        <v>3.3</v>
      </c>
      <c r="G53">
        <v>50.1</v>
      </c>
      <c r="H53" t="s">
        <v>11</v>
      </c>
      <c r="I53" t="str">
        <f t="shared" si="0"/>
        <v>Média</v>
      </c>
    </row>
    <row r="54" spans="1:9">
      <c r="A54" t="s">
        <v>288</v>
      </c>
      <c r="B54">
        <v>2025</v>
      </c>
      <c r="C54">
        <v>1</v>
      </c>
      <c r="D54" t="s">
        <v>75</v>
      </c>
      <c r="E54" t="s">
        <v>76</v>
      </c>
      <c r="F54">
        <v>3.4</v>
      </c>
      <c r="G54">
        <v>47.3</v>
      </c>
      <c r="H54" t="s">
        <v>11</v>
      </c>
      <c r="I54" t="str">
        <f t="shared" si="0"/>
        <v>Baixa</v>
      </c>
    </row>
    <row r="55" spans="1:9">
      <c r="A55" t="s">
        <v>165</v>
      </c>
      <c r="B55">
        <v>2024</v>
      </c>
      <c r="C55">
        <v>1</v>
      </c>
      <c r="D55" t="s">
        <v>139</v>
      </c>
      <c r="E55" t="s">
        <v>10</v>
      </c>
      <c r="F55">
        <v>3.5</v>
      </c>
      <c r="G55">
        <v>67.2</v>
      </c>
      <c r="H55" t="s">
        <v>11</v>
      </c>
      <c r="I55" t="str">
        <f t="shared" si="0"/>
        <v>Média</v>
      </c>
    </row>
    <row r="56" spans="1:9">
      <c r="A56" t="s">
        <v>27</v>
      </c>
      <c r="B56">
        <v>2024</v>
      </c>
      <c r="C56">
        <v>2</v>
      </c>
      <c r="D56" t="s">
        <v>9</v>
      </c>
      <c r="E56" t="s">
        <v>14</v>
      </c>
      <c r="F56">
        <v>3.5</v>
      </c>
      <c r="G56">
        <v>45.2</v>
      </c>
      <c r="H56" t="s">
        <v>11</v>
      </c>
      <c r="I56" t="str">
        <f t="shared" si="0"/>
        <v>Baixa</v>
      </c>
    </row>
    <row r="57" spans="1:9">
      <c r="A57" t="s">
        <v>284</v>
      </c>
      <c r="B57">
        <v>2025</v>
      </c>
      <c r="C57">
        <v>1</v>
      </c>
      <c r="D57" t="s">
        <v>75</v>
      </c>
      <c r="E57" t="s">
        <v>76</v>
      </c>
      <c r="F57">
        <v>3.5</v>
      </c>
      <c r="G57">
        <v>49.1</v>
      </c>
      <c r="H57" t="s">
        <v>11</v>
      </c>
      <c r="I57" t="str">
        <f t="shared" si="0"/>
        <v>Baixa</v>
      </c>
    </row>
    <row r="58" spans="1:9">
      <c r="A58" t="s">
        <v>363</v>
      </c>
      <c r="B58">
        <v>2025</v>
      </c>
      <c r="C58">
        <v>2</v>
      </c>
      <c r="D58" t="s">
        <v>139</v>
      </c>
      <c r="E58" t="s">
        <v>141</v>
      </c>
      <c r="F58">
        <v>3.5</v>
      </c>
      <c r="G58">
        <v>66.400000000000006</v>
      </c>
      <c r="H58" t="s">
        <v>11</v>
      </c>
      <c r="I58" t="str">
        <f t="shared" si="0"/>
        <v>Média</v>
      </c>
    </row>
    <row r="59" spans="1:9">
      <c r="A59" t="s">
        <v>152</v>
      </c>
      <c r="B59">
        <v>2024</v>
      </c>
      <c r="C59">
        <v>2</v>
      </c>
      <c r="D59" t="s">
        <v>139</v>
      </c>
      <c r="E59" t="s">
        <v>10</v>
      </c>
      <c r="F59">
        <v>3.6</v>
      </c>
      <c r="G59">
        <v>54.1</v>
      </c>
      <c r="H59" t="s">
        <v>11</v>
      </c>
      <c r="I59" t="str">
        <f t="shared" si="0"/>
        <v>Média</v>
      </c>
    </row>
    <row r="60" spans="1:9">
      <c r="A60" t="s">
        <v>249</v>
      </c>
      <c r="B60">
        <v>2025</v>
      </c>
      <c r="C60">
        <v>2</v>
      </c>
      <c r="D60" t="s">
        <v>9</v>
      </c>
      <c r="E60" t="s">
        <v>12</v>
      </c>
      <c r="F60">
        <v>3.6</v>
      </c>
      <c r="G60">
        <v>79.599999999999994</v>
      </c>
      <c r="H60" t="s">
        <v>11</v>
      </c>
      <c r="I60" t="str">
        <f t="shared" si="0"/>
        <v>Alta</v>
      </c>
    </row>
    <row r="61" spans="1:9">
      <c r="A61" t="s">
        <v>328</v>
      </c>
      <c r="B61">
        <v>2025</v>
      </c>
      <c r="C61">
        <v>2</v>
      </c>
      <c r="D61" t="s">
        <v>139</v>
      </c>
      <c r="E61" t="s">
        <v>140</v>
      </c>
      <c r="F61">
        <v>3.6</v>
      </c>
      <c r="G61">
        <v>48.6</v>
      </c>
      <c r="H61" t="s">
        <v>11</v>
      </c>
      <c r="I61" t="str">
        <f t="shared" si="0"/>
        <v>Baixa</v>
      </c>
    </row>
    <row r="62" spans="1:9">
      <c r="A62" t="s">
        <v>354</v>
      </c>
      <c r="B62">
        <v>2025</v>
      </c>
      <c r="C62">
        <v>2</v>
      </c>
      <c r="D62" t="s">
        <v>139</v>
      </c>
      <c r="E62" t="s">
        <v>141</v>
      </c>
      <c r="F62">
        <v>3.6</v>
      </c>
      <c r="G62">
        <v>50</v>
      </c>
      <c r="H62" t="s">
        <v>11</v>
      </c>
      <c r="I62" t="str">
        <f t="shared" si="0"/>
        <v>Média</v>
      </c>
    </row>
    <row r="63" spans="1:9">
      <c r="A63" t="s">
        <v>80</v>
      </c>
      <c r="B63">
        <v>2024</v>
      </c>
      <c r="C63">
        <v>2</v>
      </c>
      <c r="D63" t="s">
        <v>75</v>
      </c>
      <c r="E63" t="s">
        <v>77</v>
      </c>
      <c r="F63">
        <v>3.7</v>
      </c>
      <c r="G63">
        <v>80.3</v>
      </c>
      <c r="H63" t="s">
        <v>11</v>
      </c>
      <c r="I63" t="str">
        <f t="shared" si="0"/>
        <v>Alta</v>
      </c>
    </row>
    <row r="64" spans="1:9">
      <c r="A64" t="s">
        <v>136</v>
      </c>
      <c r="B64">
        <v>2024</v>
      </c>
      <c r="C64">
        <v>2</v>
      </c>
      <c r="D64" t="s">
        <v>75</v>
      </c>
      <c r="E64" t="s">
        <v>76</v>
      </c>
      <c r="F64">
        <v>3.7</v>
      </c>
      <c r="G64">
        <v>55.1</v>
      </c>
      <c r="H64" t="s">
        <v>11</v>
      </c>
      <c r="I64" t="str">
        <f t="shared" si="0"/>
        <v>Média</v>
      </c>
    </row>
    <row r="65" spans="1:9">
      <c r="A65" t="s">
        <v>296</v>
      </c>
      <c r="B65">
        <v>2025</v>
      </c>
      <c r="C65">
        <v>1</v>
      </c>
      <c r="D65" t="s">
        <v>75</v>
      </c>
      <c r="E65" t="s">
        <v>77</v>
      </c>
      <c r="F65">
        <v>3.7</v>
      </c>
      <c r="G65">
        <v>53.5</v>
      </c>
      <c r="H65" t="s">
        <v>11</v>
      </c>
      <c r="I65" t="str">
        <f t="shared" si="0"/>
        <v>Média</v>
      </c>
    </row>
    <row r="66" spans="1:9">
      <c r="A66" t="s">
        <v>338</v>
      </c>
      <c r="B66">
        <v>2025</v>
      </c>
      <c r="C66">
        <v>2</v>
      </c>
      <c r="D66" t="s">
        <v>139</v>
      </c>
      <c r="E66" t="s">
        <v>10</v>
      </c>
      <c r="F66">
        <v>3.7</v>
      </c>
      <c r="G66">
        <v>75.8</v>
      </c>
      <c r="H66" t="s">
        <v>11</v>
      </c>
      <c r="I66" t="str">
        <f t="shared" ref="I66:I129" si="1">IF(G66&lt;50,"Baixa",IF(G66&lt;75,"Média","Alta"))</f>
        <v>Alta</v>
      </c>
    </row>
    <row r="67" spans="1:9">
      <c r="A67" t="s">
        <v>33</v>
      </c>
      <c r="B67">
        <v>2024</v>
      </c>
      <c r="C67">
        <v>1</v>
      </c>
      <c r="D67" t="s">
        <v>9</v>
      </c>
      <c r="E67" t="s">
        <v>12</v>
      </c>
      <c r="F67">
        <v>3.8</v>
      </c>
      <c r="G67">
        <v>70.900000000000006</v>
      </c>
      <c r="H67" t="s">
        <v>11</v>
      </c>
      <c r="I67" t="str">
        <f t="shared" si="1"/>
        <v>Média</v>
      </c>
    </row>
    <row r="68" spans="1:9">
      <c r="A68" t="s">
        <v>120</v>
      </c>
      <c r="B68">
        <v>2024</v>
      </c>
      <c r="C68">
        <v>1</v>
      </c>
      <c r="D68" t="s">
        <v>75</v>
      </c>
      <c r="E68" t="s">
        <v>77</v>
      </c>
      <c r="F68">
        <v>3.8</v>
      </c>
      <c r="G68">
        <v>46.4</v>
      </c>
      <c r="H68" t="s">
        <v>11</v>
      </c>
      <c r="I68" t="str">
        <f t="shared" si="1"/>
        <v>Baixa</v>
      </c>
    </row>
    <row r="69" spans="1:9">
      <c r="A69" t="s">
        <v>89</v>
      </c>
      <c r="B69">
        <v>2024</v>
      </c>
      <c r="C69">
        <v>2</v>
      </c>
      <c r="D69" t="s">
        <v>75</v>
      </c>
      <c r="E69" t="s">
        <v>77</v>
      </c>
      <c r="F69">
        <v>3.8</v>
      </c>
      <c r="G69">
        <v>46.2</v>
      </c>
      <c r="H69" t="s">
        <v>11</v>
      </c>
      <c r="I69" t="str">
        <f t="shared" si="1"/>
        <v>Baixa</v>
      </c>
    </row>
    <row r="70" spans="1:9">
      <c r="A70" t="s">
        <v>165</v>
      </c>
      <c r="B70">
        <v>2024</v>
      </c>
      <c r="C70">
        <v>2</v>
      </c>
      <c r="D70" t="s">
        <v>139</v>
      </c>
      <c r="E70" t="s">
        <v>140</v>
      </c>
      <c r="F70">
        <v>3.8</v>
      </c>
      <c r="G70">
        <v>59.1</v>
      </c>
      <c r="H70" t="s">
        <v>11</v>
      </c>
      <c r="I70" t="str">
        <f t="shared" si="1"/>
        <v>Média</v>
      </c>
    </row>
    <row r="71" spans="1:9">
      <c r="A71" t="s">
        <v>229</v>
      </c>
      <c r="B71">
        <v>2025</v>
      </c>
      <c r="C71">
        <v>2</v>
      </c>
      <c r="D71" t="s">
        <v>9</v>
      </c>
      <c r="E71" t="s">
        <v>10</v>
      </c>
      <c r="F71">
        <v>3.8</v>
      </c>
      <c r="G71">
        <v>56.6</v>
      </c>
      <c r="H71" t="s">
        <v>11</v>
      </c>
      <c r="I71" t="str">
        <f t="shared" si="1"/>
        <v>Média</v>
      </c>
    </row>
    <row r="72" spans="1:9">
      <c r="A72" t="s">
        <v>258</v>
      </c>
      <c r="B72">
        <v>2025</v>
      </c>
      <c r="C72">
        <v>2</v>
      </c>
      <c r="D72" t="s">
        <v>9</v>
      </c>
      <c r="E72" t="s">
        <v>14</v>
      </c>
      <c r="F72">
        <v>3.8</v>
      </c>
      <c r="G72">
        <v>59.5</v>
      </c>
      <c r="H72" t="s">
        <v>11</v>
      </c>
      <c r="I72" t="str">
        <f t="shared" si="1"/>
        <v>Média</v>
      </c>
    </row>
    <row r="73" spans="1:9">
      <c r="A73" t="s">
        <v>273</v>
      </c>
      <c r="B73">
        <v>2025</v>
      </c>
      <c r="C73">
        <v>2</v>
      </c>
      <c r="D73" t="s">
        <v>75</v>
      </c>
      <c r="E73" t="s">
        <v>78</v>
      </c>
      <c r="F73">
        <v>3.8</v>
      </c>
      <c r="G73">
        <v>70.400000000000006</v>
      </c>
      <c r="H73" t="s">
        <v>11</v>
      </c>
      <c r="I73" t="str">
        <f t="shared" si="1"/>
        <v>Média</v>
      </c>
    </row>
    <row r="74" spans="1:9">
      <c r="A74" t="s">
        <v>432</v>
      </c>
      <c r="B74">
        <v>2026</v>
      </c>
      <c r="C74">
        <v>1</v>
      </c>
      <c r="D74" t="s">
        <v>9</v>
      </c>
      <c r="E74" t="s">
        <v>10</v>
      </c>
      <c r="F74">
        <v>3.8</v>
      </c>
      <c r="G74">
        <v>48.5</v>
      </c>
      <c r="H74" t="s">
        <v>11</v>
      </c>
      <c r="I74" t="str">
        <f t="shared" si="1"/>
        <v>Baixa</v>
      </c>
    </row>
    <row r="75" spans="1:9">
      <c r="A75" t="s">
        <v>455</v>
      </c>
      <c r="B75">
        <v>2026</v>
      </c>
      <c r="C75">
        <v>2</v>
      </c>
      <c r="D75" t="s">
        <v>75</v>
      </c>
      <c r="E75" t="s">
        <v>78</v>
      </c>
      <c r="F75">
        <v>3.8</v>
      </c>
      <c r="G75">
        <v>58.7</v>
      </c>
      <c r="H75" t="s">
        <v>11</v>
      </c>
      <c r="I75" t="str">
        <f t="shared" si="1"/>
        <v>Média</v>
      </c>
    </row>
    <row r="76" spans="1:9">
      <c r="A76" t="s">
        <v>117</v>
      </c>
      <c r="B76">
        <v>2024</v>
      </c>
      <c r="C76">
        <v>2</v>
      </c>
      <c r="D76" t="s">
        <v>75</v>
      </c>
      <c r="E76" t="s">
        <v>78</v>
      </c>
      <c r="F76">
        <v>3.9</v>
      </c>
      <c r="G76">
        <v>46.6</v>
      </c>
      <c r="H76" t="s">
        <v>11</v>
      </c>
      <c r="I76" t="str">
        <f t="shared" si="1"/>
        <v>Baixa</v>
      </c>
    </row>
    <row r="77" spans="1:9">
      <c r="A77" t="s">
        <v>204</v>
      </c>
      <c r="B77">
        <v>2025</v>
      </c>
      <c r="C77">
        <v>1</v>
      </c>
      <c r="D77" t="s">
        <v>9</v>
      </c>
      <c r="E77" t="s">
        <v>12</v>
      </c>
      <c r="F77">
        <v>3.9</v>
      </c>
      <c r="G77">
        <v>48.6</v>
      </c>
      <c r="H77" t="s">
        <v>11</v>
      </c>
      <c r="I77" t="str">
        <f t="shared" si="1"/>
        <v>Baixa</v>
      </c>
    </row>
    <row r="78" spans="1:9">
      <c r="A78" t="s">
        <v>308</v>
      </c>
      <c r="B78">
        <v>2025</v>
      </c>
      <c r="C78">
        <v>2</v>
      </c>
      <c r="D78" t="s">
        <v>75</v>
      </c>
      <c r="E78" t="s">
        <v>77</v>
      </c>
      <c r="F78">
        <v>3.9</v>
      </c>
      <c r="G78">
        <v>53.6</v>
      </c>
      <c r="H78" t="s">
        <v>11</v>
      </c>
      <c r="I78" t="str">
        <f t="shared" si="1"/>
        <v>Média</v>
      </c>
    </row>
    <row r="79" spans="1:9">
      <c r="A79" t="s">
        <v>552</v>
      </c>
      <c r="B79">
        <v>2026</v>
      </c>
      <c r="C79">
        <v>1</v>
      </c>
      <c r="D79" t="s">
        <v>139</v>
      </c>
      <c r="E79" t="s">
        <v>141</v>
      </c>
      <c r="F79">
        <v>3.9</v>
      </c>
      <c r="G79">
        <v>49.3</v>
      </c>
      <c r="H79" t="s">
        <v>11</v>
      </c>
      <c r="I79" t="str">
        <f t="shared" si="1"/>
        <v>Baixa</v>
      </c>
    </row>
    <row r="80" spans="1:9">
      <c r="A80" t="s">
        <v>70</v>
      </c>
      <c r="B80">
        <v>2024</v>
      </c>
      <c r="C80">
        <v>1</v>
      </c>
      <c r="D80" t="s">
        <v>9</v>
      </c>
      <c r="E80" t="s">
        <v>12</v>
      </c>
      <c r="F80">
        <v>4</v>
      </c>
      <c r="G80">
        <v>76.3</v>
      </c>
      <c r="H80" t="s">
        <v>11</v>
      </c>
      <c r="I80" t="str">
        <f t="shared" si="1"/>
        <v>Alta</v>
      </c>
    </row>
    <row r="81" spans="1:9">
      <c r="A81" t="s">
        <v>192</v>
      </c>
      <c r="B81">
        <v>2024</v>
      </c>
      <c r="C81">
        <v>1</v>
      </c>
      <c r="D81" t="s">
        <v>139</v>
      </c>
      <c r="E81" t="s">
        <v>140</v>
      </c>
      <c r="F81">
        <v>4</v>
      </c>
      <c r="G81">
        <v>46.9</v>
      </c>
      <c r="H81" t="s">
        <v>11</v>
      </c>
      <c r="I81" t="str">
        <f t="shared" si="1"/>
        <v>Baixa</v>
      </c>
    </row>
    <row r="82" spans="1:9">
      <c r="A82" t="s">
        <v>297</v>
      </c>
      <c r="B82">
        <v>2025</v>
      </c>
      <c r="C82">
        <v>2</v>
      </c>
      <c r="D82" t="s">
        <v>75</v>
      </c>
      <c r="E82" t="s">
        <v>76</v>
      </c>
      <c r="F82">
        <v>4</v>
      </c>
      <c r="G82">
        <v>47.8</v>
      </c>
      <c r="H82" t="s">
        <v>11</v>
      </c>
      <c r="I82" t="str">
        <f t="shared" si="1"/>
        <v>Baixa</v>
      </c>
    </row>
    <row r="83" spans="1:9">
      <c r="A83" t="s">
        <v>434</v>
      </c>
      <c r="B83">
        <v>2026</v>
      </c>
      <c r="C83">
        <v>1</v>
      </c>
      <c r="D83" t="s">
        <v>9</v>
      </c>
      <c r="E83" t="s">
        <v>12</v>
      </c>
      <c r="F83">
        <v>4</v>
      </c>
      <c r="G83">
        <v>69.400000000000006</v>
      </c>
      <c r="H83" t="s">
        <v>11</v>
      </c>
      <c r="I83" t="str">
        <f t="shared" si="1"/>
        <v>Média</v>
      </c>
    </row>
    <row r="84" spans="1:9">
      <c r="A84" t="s">
        <v>444</v>
      </c>
      <c r="B84">
        <v>2026</v>
      </c>
      <c r="C84">
        <v>1</v>
      </c>
      <c r="D84" t="s">
        <v>75</v>
      </c>
      <c r="E84" t="s">
        <v>76</v>
      </c>
      <c r="F84">
        <v>4</v>
      </c>
      <c r="G84">
        <v>57.9</v>
      </c>
      <c r="H84" t="s">
        <v>11</v>
      </c>
      <c r="I84" t="str">
        <f t="shared" si="1"/>
        <v>Média</v>
      </c>
    </row>
    <row r="85" spans="1:9">
      <c r="A85" t="s">
        <v>23</v>
      </c>
      <c r="B85">
        <v>2024</v>
      </c>
      <c r="C85">
        <v>2</v>
      </c>
      <c r="D85" t="s">
        <v>9</v>
      </c>
      <c r="E85" t="s">
        <v>14</v>
      </c>
      <c r="F85">
        <v>4.0999999999999996</v>
      </c>
      <c r="G85">
        <v>47.9</v>
      </c>
      <c r="H85" t="s">
        <v>11</v>
      </c>
      <c r="I85" t="str">
        <f t="shared" si="1"/>
        <v>Baixa</v>
      </c>
    </row>
    <row r="86" spans="1:9">
      <c r="A86" t="s">
        <v>158</v>
      </c>
      <c r="B86">
        <v>2024</v>
      </c>
      <c r="C86">
        <v>2</v>
      </c>
      <c r="D86" t="s">
        <v>139</v>
      </c>
      <c r="E86" t="s">
        <v>141</v>
      </c>
      <c r="F86">
        <v>4.0999999999999996</v>
      </c>
      <c r="G86">
        <v>56.3</v>
      </c>
      <c r="H86" t="s">
        <v>11</v>
      </c>
      <c r="I86" t="str">
        <f t="shared" si="1"/>
        <v>Média</v>
      </c>
    </row>
    <row r="87" spans="1:9">
      <c r="A87" t="s">
        <v>381</v>
      </c>
      <c r="B87">
        <v>2026</v>
      </c>
      <c r="C87">
        <v>1</v>
      </c>
      <c r="D87" t="s">
        <v>9</v>
      </c>
      <c r="E87" t="s">
        <v>10</v>
      </c>
      <c r="F87">
        <v>4.0999999999999996</v>
      </c>
      <c r="G87">
        <v>65.2</v>
      </c>
      <c r="H87" t="s">
        <v>11</v>
      </c>
      <c r="I87" t="str">
        <f t="shared" si="1"/>
        <v>Média</v>
      </c>
    </row>
    <row r="88" spans="1:9">
      <c r="A88" t="s">
        <v>534</v>
      </c>
      <c r="B88">
        <v>2026</v>
      </c>
      <c r="C88">
        <v>2</v>
      </c>
      <c r="D88" t="s">
        <v>139</v>
      </c>
      <c r="E88" t="s">
        <v>141</v>
      </c>
      <c r="F88">
        <v>4.0999999999999996</v>
      </c>
      <c r="G88">
        <v>59.7</v>
      </c>
      <c r="H88" t="s">
        <v>11</v>
      </c>
      <c r="I88" t="str">
        <f t="shared" si="1"/>
        <v>Média</v>
      </c>
    </row>
    <row r="89" spans="1:9">
      <c r="A89" t="s">
        <v>46</v>
      </c>
      <c r="B89">
        <v>2024</v>
      </c>
      <c r="C89">
        <v>1</v>
      </c>
      <c r="D89" t="s">
        <v>9</v>
      </c>
      <c r="E89" t="s">
        <v>12</v>
      </c>
      <c r="F89">
        <v>4.2</v>
      </c>
      <c r="G89">
        <v>56.5</v>
      </c>
      <c r="H89" t="s">
        <v>11</v>
      </c>
      <c r="I89" t="str">
        <f t="shared" si="1"/>
        <v>Média</v>
      </c>
    </row>
    <row r="90" spans="1:9">
      <c r="A90" t="s">
        <v>125</v>
      </c>
      <c r="B90">
        <v>2024</v>
      </c>
      <c r="C90">
        <v>1</v>
      </c>
      <c r="D90" t="s">
        <v>75</v>
      </c>
      <c r="E90" t="s">
        <v>77</v>
      </c>
      <c r="F90">
        <v>4.2</v>
      </c>
      <c r="G90">
        <v>70.099999999999994</v>
      </c>
      <c r="H90" t="s">
        <v>11</v>
      </c>
      <c r="I90" t="str">
        <f t="shared" si="1"/>
        <v>Média</v>
      </c>
    </row>
    <row r="91" spans="1:9">
      <c r="A91" t="s">
        <v>8</v>
      </c>
      <c r="B91">
        <v>2024</v>
      </c>
      <c r="C91">
        <v>2</v>
      </c>
      <c r="D91" t="s">
        <v>9</v>
      </c>
      <c r="E91" t="s">
        <v>14</v>
      </c>
      <c r="F91">
        <v>4.2</v>
      </c>
      <c r="G91">
        <v>51.5</v>
      </c>
      <c r="H91" t="s">
        <v>11</v>
      </c>
      <c r="I91" t="str">
        <f t="shared" si="1"/>
        <v>Média</v>
      </c>
    </row>
    <row r="92" spans="1:9">
      <c r="A92" t="s">
        <v>38</v>
      </c>
      <c r="B92">
        <v>2024</v>
      </c>
      <c r="C92">
        <v>2</v>
      </c>
      <c r="D92" t="s">
        <v>9</v>
      </c>
      <c r="E92" t="s">
        <v>12</v>
      </c>
      <c r="F92">
        <v>4.2</v>
      </c>
      <c r="G92">
        <v>49.7</v>
      </c>
      <c r="H92" t="s">
        <v>11</v>
      </c>
      <c r="I92" t="str">
        <f t="shared" si="1"/>
        <v>Baixa</v>
      </c>
    </row>
    <row r="93" spans="1:9">
      <c r="A93" t="s">
        <v>256</v>
      </c>
      <c r="B93">
        <v>2025</v>
      </c>
      <c r="C93">
        <v>1</v>
      </c>
      <c r="D93" t="s">
        <v>9</v>
      </c>
      <c r="E93" t="s">
        <v>10</v>
      </c>
      <c r="F93">
        <v>4.2</v>
      </c>
      <c r="G93">
        <v>64.900000000000006</v>
      </c>
      <c r="H93" t="s">
        <v>11</v>
      </c>
      <c r="I93" t="str">
        <f t="shared" si="1"/>
        <v>Média</v>
      </c>
    </row>
    <row r="94" spans="1:9">
      <c r="A94" t="s">
        <v>327</v>
      </c>
      <c r="B94">
        <v>2025</v>
      </c>
      <c r="C94">
        <v>1</v>
      </c>
      <c r="D94" t="s">
        <v>139</v>
      </c>
      <c r="E94" t="s">
        <v>141</v>
      </c>
      <c r="F94">
        <v>4.2</v>
      </c>
      <c r="G94">
        <v>61.3</v>
      </c>
      <c r="H94" t="s">
        <v>11</v>
      </c>
      <c r="I94" t="str">
        <f t="shared" si="1"/>
        <v>Média</v>
      </c>
    </row>
    <row r="95" spans="1:9">
      <c r="A95" t="s">
        <v>307</v>
      </c>
      <c r="B95">
        <v>2025</v>
      </c>
      <c r="C95">
        <v>2</v>
      </c>
      <c r="D95" t="s">
        <v>75</v>
      </c>
      <c r="E95" t="s">
        <v>78</v>
      </c>
      <c r="F95">
        <v>4.2</v>
      </c>
      <c r="G95">
        <v>69.8</v>
      </c>
      <c r="H95" t="s">
        <v>11</v>
      </c>
      <c r="I95" t="str">
        <f t="shared" si="1"/>
        <v>Média</v>
      </c>
    </row>
    <row r="96" spans="1:9">
      <c r="A96" t="s">
        <v>328</v>
      </c>
      <c r="B96">
        <v>2025</v>
      </c>
      <c r="C96">
        <v>2</v>
      </c>
      <c r="D96" t="s">
        <v>139</v>
      </c>
      <c r="E96" t="s">
        <v>10</v>
      </c>
      <c r="F96">
        <v>4.2</v>
      </c>
      <c r="G96">
        <v>71.599999999999994</v>
      </c>
      <c r="H96" t="s">
        <v>11</v>
      </c>
      <c r="I96" t="str">
        <f t="shared" si="1"/>
        <v>Média</v>
      </c>
    </row>
    <row r="97" spans="1:9">
      <c r="A97" t="s">
        <v>493</v>
      </c>
      <c r="B97">
        <v>2026</v>
      </c>
      <c r="C97">
        <v>1</v>
      </c>
      <c r="D97" t="s">
        <v>75</v>
      </c>
      <c r="E97" t="s">
        <v>78</v>
      </c>
      <c r="F97">
        <v>4.2</v>
      </c>
      <c r="G97">
        <v>54.7</v>
      </c>
      <c r="H97" t="s">
        <v>11</v>
      </c>
      <c r="I97" t="str">
        <f t="shared" si="1"/>
        <v>Média</v>
      </c>
    </row>
    <row r="98" spans="1:9">
      <c r="A98" t="s">
        <v>508</v>
      </c>
      <c r="B98">
        <v>2026</v>
      </c>
      <c r="C98">
        <v>1</v>
      </c>
      <c r="D98" t="s">
        <v>139</v>
      </c>
      <c r="E98" t="s">
        <v>141</v>
      </c>
      <c r="F98">
        <v>4.2</v>
      </c>
      <c r="G98">
        <v>48.2</v>
      </c>
      <c r="H98" t="s">
        <v>11</v>
      </c>
      <c r="I98" t="str">
        <f t="shared" si="1"/>
        <v>Baixa</v>
      </c>
    </row>
    <row r="99" spans="1:9">
      <c r="A99" t="s">
        <v>543</v>
      </c>
      <c r="B99">
        <v>2026</v>
      </c>
      <c r="C99">
        <v>1</v>
      </c>
      <c r="D99" t="s">
        <v>139</v>
      </c>
      <c r="E99" t="s">
        <v>141</v>
      </c>
      <c r="F99">
        <v>4.2</v>
      </c>
      <c r="G99">
        <v>61.6</v>
      </c>
      <c r="H99" t="s">
        <v>11</v>
      </c>
      <c r="I99" t="str">
        <f t="shared" si="1"/>
        <v>Média</v>
      </c>
    </row>
    <row r="100" spans="1:9">
      <c r="A100" t="s">
        <v>63</v>
      </c>
      <c r="B100">
        <v>2024</v>
      </c>
      <c r="C100">
        <v>2</v>
      </c>
      <c r="D100" t="s">
        <v>9</v>
      </c>
      <c r="E100" t="s">
        <v>14</v>
      </c>
      <c r="F100">
        <v>4.3</v>
      </c>
      <c r="G100">
        <v>66</v>
      </c>
      <c r="H100" t="s">
        <v>11</v>
      </c>
      <c r="I100" t="str">
        <f t="shared" si="1"/>
        <v>Média</v>
      </c>
    </row>
    <row r="101" spans="1:9">
      <c r="A101" t="s">
        <v>74</v>
      </c>
      <c r="B101">
        <v>2024</v>
      </c>
      <c r="C101">
        <v>2</v>
      </c>
      <c r="D101" t="s">
        <v>75</v>
      </c>
      <c r="E101" t="s">
        <v>77</v>
      </c>
      <c r="F101">
        <v>4.3</v>
      </c>
      <c r="G101">
        <v>50</v>
      </c>
      <c r="H101" t="s">
        <v>11</v>
      </c>
      <c r="I101" t="str">
        <f t="shared" si="1"/>
        <v>Média</v>
      </c>
    </row>
    <row r="102" spans="1:9">
      <c r="A102" t="s">
        <v>102</v>
      </c>
      <c r="B102">
        <v>2024</v>
      </c>
      <c r="C102">
        <v>2</v>
      </c>
      <c r="D102" t="s">
        <v>75</v>
      </c>
      <c r="E102" t="s">
        <v>76</v>
      </c>
      <c r="F102">
        <v>4.3</v>
      </c>
      <c r="G102">
        <v>51</v>
      </c>
      <c r="H102" t="s">
        <v>11</v>
      </c>
      <c r="I102" t="str">
        <f t="shared" si="1"/>
        <v>Média</v>
      </c>
    </row>
    <row r="103" spans="1:9">
      <c r="A103" t="s">
        <v>167</v>
      </c>
      <c r="B103">
        <v>2024</v>
      </c>
      <c r="C103">
        <v>2</v>
      </c>
      <c r="D103" t="s">
        <v>139</v>
      </c>
      <c r="E103" t="s">
        <v>141</v>
      </c>
      <c r="F103">
        <v>4.3</v>
      </c>
      <c r="G103">
        <v>49.8</v>
      </c>
      <c r="H103" t="s">
        <v>11</v>
      </c>
      <c r="I103" t="str">
        <f t="shared" si="1"/>
        <v>Baixa</v>
      </c>
    </row>
    <row r="104" spans="1:9">
      <c r="A104" t="s">
        <v>254</v>
      </c>
      <c r="B104">
        <v>2025</v>
      </c>
      <c r="C104">
        <v>1</v>
      </c>
      <c r="D104" t="s">
        <v>9</v>
      </c>
      <c r="E104" t="s">
        <v>10</v>
      </c>
      <c r="F104">
        <v>4.3</v>
      </c>
      <c r="G104">
        <v>46.8</v>
      </c>
      <c r="H104" t="s">
        <v>11</v>
      </c>
      <c r="I104" t="str">
        <f t="shared" si="1"/>
        <v>Baixa</v>
      </c>
    </row>
    <row r="105" spans="1:9">
      <c r="A105" t="s">
        <v>258</v>
      </c>
      <c r="B105">
        <v>2025</v>
      </c>
      <c r="C105">
        <v>2</v>
      </c>
      <c r="D105" t="s">
        <v>9</v>
      </c>
      <c r="E105" t="s">
        <v>10</v>
      </c>
      <c r="F105">
        <v>4.3</v>
      </c>
      <c r="G105">
        <v>50.1</v>
      </c>
      <c r="H105" t="s">
        <v>11</v>
      </c>
      <c r="I105" t="str">
        <f t="shared" si="1"/>
        <v>Média</v>
      </c>
    </row>
    <row r="106" spans="1:9">
      <c r="A106" t="s">
        <v>426</v>
      </c>
      <c r="B106">
        <v>2026</v>
      </c>
      <c r="C106">
        <v>1</v>
      </c>
      <c r="D106" t="s">
        <v>9</v>
      </c>
      <c r="E106" t="s">
        <v>10</v>
      </c>
      <c r="F106">
        <v>4.3</v>
      </c>
      <c r="G106">
        <v>77.5</v>
      </c>
      <c r="H106" t="s">
        <v>11</v>
      </c>
      <c r="I106" t="str">
        <f t="shared" si="1"/>
        <v>Alta</v>
      </c>
    </row>
    <row r="107" spans="1:9">
      <c r="A107" t="s">
        <v>541</v>
      </c>
      <c r="B107">
        <v>2026</v>
      </c>
      <c r="C107">
        <v>1</v>
      </c>
      <c r="D107" t="s">
        <v>139</v>
      </c>
      <c r="E107" t="s">
        <v>10</v>
      </c>
      <c r="F107">
        <v>4.3</v>
      </c>
      <c r="G107">
        <v>48.8</v>
      </c>
      <c r="H107" t="s">
        <v>11</v>
      </c>
      <c r="I107" t="str">
        <f t="shared" si="1"/>
        <v>Baixa</v>
      </c>
    </row>
    <row r="108" spans="1:9">
      <c r="A108" t="s">
        <v>200</v>
      </c>
      <c r="B108">
        <v>2024</v>
      </c>
      <c r="C108">
        <v>1</v>
      </c>
      <c r="D108" t="s">
        <v>139</v>
      </c>
      <c r="E108" t="s">
        <v>10</v>
      </c>
      <c r="F108">
        <v>4.4000000000000004</v>
      </c>
      <c r="G108">
        <v>59</v>
      </c>
      <c r="H108" t="s">
        <v>11</v>
      </c>
      <c r="I108" t="str">
        <f t="shared" si="1"/>
        <v>Média</v>
      </c>
    </row>
    <row r="109" spans="1:9">
      <c r="A109" t="s">
        <v>18</v>
      </c>
      <c r="B109">
        <v>2024</v>
      </c>
      <c r="C109">
        <v>2</v>
      </c>
      <c r="D109" t="s">
        <v>9</v>
      </c>
      <c r="E109" t="s">
        <v>14</v>
      </c>
      <c r="F109">
        <v>4.4000000000000004</v>
      </c>
      <c r="G109">
        <v>55.1</v>
      </c>
      <c r="H109" t="s">
        <v>11</v>
      </c>
      <c r="I109" t="str">
        <f t="shared" si="1"/>
        <v>Média</v>
      </c>
    </row>
    <row r="110" spans="1:9">
      <c r="A110" t="s">
        <v>33</v>
      </c>
      <c r="B110">
        <v>2024</v>
      </c>
      <c r="C110">
        <v>2</v>
      </c>
      <c r="D110" t="s">
        <v>9</v>
      </c>
      <c r="E110" t="s">
        <v>12</v>
      </c>
      <c r="F110">
        <v>4.4000000000000004</v>
      </c>
      <c r="G110">
        <v>48.7</v>
      </c>
      <c r="H110" t="s">
        <v>11</v>
      </c>
      <c r="I110" t="str">
        <f t="shared" si="1"/>
        <v>Baixa</v>
      </c>
    </row>
    <row r="111" spans="1:9">
      <c r="A111" t="s">
        <v>35</v>
      </c>
      <c r="B111">
        <v>2024</v>
      </c>
      <c r="C111">
        <v>2</v>
      </c>
      <c r="D111" t="s">
        <v>9</v>
      </c>
      <c r="E111" t="s">
        <v>14</v>
      </c>
      <c r="F111">
        <v>4.4000000000000004</v>
      </c>
      <c r="G111">
        <v>52</v>
      </c>
      <c r="H111" t="s">
        <v>11</v>
      </c>
      <c r="I111" t="str">
        <f t="shared" si="1"/>
        <v>Média</v>
      </c>
    </row>
    <row r="112" spans="1:9">
      <c r="A112" t="s">
        <v>122</v>
      </c>
      <c r="B112">
        <v>2024</v>
      </c>
      <c r="C112">
        <v>2</v>
      </c>
      <c r="D112" t="s">
        <v>75</v>
      </c>
      <c r="E112" t="s">
        <v>77</v>
      </c>
      <c r="F112">
        <v>4.4000000000000004</v>
      </c>
      <c r="G112">
        <v>52.3</v>
      </c>
      <c r="H112" t="s">
        <v>11</v>
      </c>
      <c r="I112" t="str">
        <f t="shared" si="1"/>
        <v>Média</v>
      </c>
    </row>
    <row r="113" spans="1:9">
      <c r="A113" t="s">
        <v>227</v>
      </c>
      <c r="B113">
        <v>2025</v>
      </c>
      <c r="C113">
        <v>1</v>
      </c>
      <c r="D113" t="s">
        <v>9</v>
      </c>
      <c r="E113" t="s">
        <v>10</v>
      </c>
      <c r="F113">
        <v>4.4000000000000004</v>
      </c>
      <c r="G113">
        <v>61.7</v>
      </c>
      <c r="H113" t="s">
        <v>11</v>
      </c>
      <c r="I113" t="str">
        <f t="shared" si="1"/>
        <v>Média</v>
      </c>
    </row>
    <row r="114" spans="1:9">
      <c r="A114" t="s">
        <v>427</v>
      </c>
      <c r="B114">
        <v>2026</v>
      </c>
      <c r="C114">
        <v>2</v>
      </c>
      <c r="D114" t="s">
        <v>9</v>
      </c>
      <c r="E114" t="s">
        <v>14</v>
      </c>
      <c r="F114">
        <v>4.4000000000000004</v>
      </c>
      <c r="G114">
        <v>66.2</v>
      </c>
      <c r="H114" t="s">
        <v>11</v>
      </c>
      <c r="I114" t="str">
        <f t="shared" si="1"/>
        <v>Média</v>
      </c>
    </row>
    <row r="115" spans="1:9">
      <c r="A115" t="s">
        <v>456</v>
      </c>
      <c r="B115">
        <v>2026</v>
      </c>
      <c r="C115">
        <v>2</v>
      </c>
      <c r="D115" t="s">
        <v>75</v>
      </c>
      <c r="E115" t="s">
        <v>77</v>
      </c>
      <c r="F115">
        <v>4.4000000000000004</v>
      </c>
      <c r="G115">
        <v>55.5</v>
      </c>
      <c r="H115" t="s">
        <v>11</v>
      </c>
      <c r="I115" t="str">
        <f t="shared" si="1"/>
        <v>Média</v>
      </c>
    </row>
    <row r="116" spans="1:9">
      <c r="A116" t="s">
        <v>554</v>
      </c>
      <c r="B116">
        <v>2026</v>
      </c>
      <c r="C116">
        <v>2</v>
      </c>
      <c r="D116" t="s">
        <v>139</v>
      </c>
      <c r="E116" t="s">
        <v>141</v>
      </c>
      <c r="F116">
        <v>4.4000000000000004</v>
      </c>
      <c r="G116">
        <v>57.8</v>
      </c>
      <c r="H116" t="s">
        <v>11</v>
      </c>
      <c r="I116" t="str">
        <f t="shared" si="1"/>
        <v>Média</v>
      </c>
    </row>
    <row r="117" spans="1:9">
      <c r="A117" t="s">
        <v>23</v>
      </c>
      <c r="B117">
        <v>2024</v>
      </c>
      <c r="C117">
        <v>1</v>
      </c>
      <c r="D117" t="s">
        <v>9</v>
      </c>
      <c r="E117" t="s">
        <v>10</v>
      </c>
      <c r="F117">
        <v>4.5</v>
      </c>
      <c r="G117">
        <v>85.4</v>
      </c>
      <c r="H117" t="s">
        <v>11</v>
      </c>
      <c r="I117" t="str">
        <f t="shared" si="1"/>
        <v>Alta</v>
      </c>
    </row>
    <row r="118" spans="1:9">
      <c r="A118" t="s">
        <v>50</v>
      </c>
      <c r="B118">
        <v>2024</v>
      </c>
      <c r="C118">
        <v>1</v>
      </c>
      <c r="D118" t="s">
        <v>9</v>
      </c>
      <c r="E118" t="s">
        <v>12</v>
      </c>
      <c r="F118">
        <v>4.5</v>
      </c>
      <c r="G118">
        <v>68.400000000000006</v>
      </c>
      <c r="H118" t="s">
        <v>11</v>
      </c>
      <c r="I118" t="str">
        <f t="shared" si="1"/>
        <v>Média</v>
      </c>
    </row>
    <row r="119" spans="1:9">
      <c r="A119" t="s">
        <v>53</v>
      </c>
      <c r="B119">
        <v>2024</v>
      </c>
      <c r="C119">
        <v>2</v>
      </c>
      <c r="D119" t="s">
        <v>9</v>
      </c>
      <c r="E119" t="s">
        <v>10</v>
      </c>
      <c r="F119">
        <v>4.5</v>
      </c>
      <c r="G119">
        <v>58</v>
      </c>
      <c r="H119" t="s">
        <v>11</v>
      </c>
      <c r="I119" t="str">
        <f t="shared" si="1"/>
        <v>Média</v>
      </c>
    </row>
    <row r="120" spans="1:9">
      <c r="A120" t="s">
        <v>208</v>
      </c>
      <c r="B120">
        <v>2025</v>
      </c>
      <c r="C120">
        <v>1</v>
      </c>
      <c r="D120" t="s">
        <v>9</v>
      </c>
      <c r="E120" t="s">
        <v>14</v>
      </c>
      <c r="F120">
        <v>4.5</v>
      </c>
      <c r="G120">
        <v>65.2</v>
      </c>
      <c r="H120" t="s">
        <v>11</v>
      </c>
      <c r="I120" t="str">
        <f t="shared" si="1"/>
        <v>Média</v>
      </c>
    </row>
    <row r="121" spans="1:9">
      <c r="A121" t="s">
        <v>398</v>
      </c>
      <c r="B121">
        <v>2026</v>
      </c>
      <c r="C121">
        <v>2</v>
      </c>
      <c r="D121" t="s">
        <v>9</v>
      </c>
      <c r="E121" t="s">
        <v>14</v>
      </c>
      <c r="F121">
        <v>4.5</v>
      </c>
      <c r="G121">
        <v>81.099999999999994</v>
      </c>
      <c r="H121" t="s">
        <v>11</v>
      </c>
      <c r="I121" t="str">
        <f t="shared" si="1"/>
        <v>Alta</v>
      </c>
    </row>
    <row r="122" spans="1:9">
      <c r="A122" t="s">
        <v>513</v>
      </c>
      <c r="B122">
        <v>2026</v>
      </c>
      <c r="C122">
        <v>2</v>
      </c>
      <c r="D122" t="s">
        <v>139</v>
      </c>
      <c r="E122" t="s">
        <v>141</v>
      </c>
      <c r="F122">
        <v>4.5</v>
      </c>
      <c r="G122">
        <v>47.7</v>
      </c>
      <c r="H122" t="s">
        <v>11</v>
      </c>
      <c r="I122" t="str">
        <f t="shared" si="1"/>
        <v>Baixa</v>
      </c>
    </row>
    <row r="123" spans="1:9">
      <c r="A123" t="s">
        <v>51</v>
      </c>
      <c r="B123">
        <v>2024</v>
      </c>
      <c r="C123">
        <v>2</v>
      </c>
      <c r="D123" t="s">
        <v>9</v>
      </c>
      <c r="E123" t="s">
        <v>12</v>
      </c>
      <c r="F123">
        <v>4.5999999999999996</v>
      </c>
      <c r="G123">
        <v>63.1</v>
      </c>
      <c r="H123" t="s">
        <v>11</v>
      </c>
      <c r="I123" t="str">
        <f t="shared" si="1"/>
        <v>Média</v>
      </c>
    </row>
    <row r="124" spans="1:9">
      <c r="A124" t="s">
        <v>304</v>
      </c>
      <c r="B124">
        <v>2025</v>
      </c>
      <c r="C124">
        <v>2</v>
      </c>
      <c r="D124" t="s">
        <v>75</v>
      </c>
      <c r="E124" t="s">
        <v>76</v>
      </c>
      <c r="F124">
        <v>4.5999999999999996</v>
      </c>
      <c r="G124">
        <v>47.3</v>
      </c>
      <c r="H124" t="s">
        <v>11</v>
      </c>
      <c r="I124" t="str">
        <f t="shared" si="1"/>
        <v>Baixa</v>
      </c>
    </row>
    <row r="125" spans="1:9">
      <c r="A125" t="s">
        <v>408</v>
      </c>
      <c r="B125">
        <v>2026</v>
      </c>
      <c r="C125">
        <v>1</v>
      </c>
      <c r="D125" t="s">
        <v>9</v>
      </c>
      <c r="E125" t="s">
        <v>10</v>
      </c>
      <c r="F125">
        <v>4.5999999999999996</v>
      </c>
      <c r="G125">
        <v>45.7</v>
      </c>
      <c r="H125" t="s">
        <v>11</v>
      </c>
      <c r="I125" t="str">
        <f t="shared" si="1"/>
        <v>Baixa</v>
      </c>
    </row>
    <row r="126" spans="1:9">
      <c r="A126" t="s">
        <v>443</v>
      </c>
      <c r="B126">
        <v>2026</v>
      </c>
      <c r="C126">
        <v>1</v>
      </c>
      <c r="D126" t="s">
        <v>75</v>
      </c>
      <c r="E126" t="s">
        <v>76</v>
      </c>
      <c r="F126">
        <v>4.5999999999999996</v>
      </c>
      <c r="G126">
        <v>48</v>
      </c>
      <c r="H126" t="s">
        <v>11</v>
      </c>
      <c r="I126" t="str">
        <f t="shared" si="1"/>
        <v>Baixa</v>
      </c>
    </row>
    <row r="127" spans="1:9">
      <c r="A127" t="s">
        <v>454</v>
      </c>
      <c r="B127">
        <v>2026</v>
      </c>
      <c r="C127">
        <v>1</v>
      </c>
      <c r="D127" t="s">
        <v>75</v>
      </c>
      <c r="E127" t="s">
        <v>76</v>
      </c>
      <c r="F127">
        <v>4.5999999999999996</v>
      </c>
      <c r="G127">
        <v>73.3</v>
      </c>
      <c r="H127" t="s">
        <v>11</v>
      </c>
      <c r="I127" t="str">
        <f t="shared" si="1"/>
        <v>Média</v>
      </c>
    </row>
    <row r="128" spans="1:9">
      <c r="A128" t="s">
        <v>525</v>
      </c>
      <c r="B128">
        <v>2026</v>
      </c>
      <c r="C128">
        <v>1</v>
      </c>
      <c r="D128" t="s">
        <v>139</v>
      </c>
      <c r="E128" t="s">
        <v>141</v>
      </c>
      <c r="F128">
        <v>4.5999999999999996</v>
      </c>
      <c r="G128">
        <v>54</v>
      </c>
      <c r="H128" t="s">
        <v>11</v>
      </c>
      <c r="I128" t="str">
        <f t="shared" si="1"/>
        <v>Média</v>
      </c>
    </row>
    <row r="129" spans="1:9">
      <c r="A129" t="s">
        <v>421</v>
      </c>
      <c r="B129">
        <v>2026</v>
      </c>
      <c r="C129">
        <v>2</v>
      </c>
      <c r="D129" t="s">
        <v>9</v>
      </c>
      <c r="E129" t="s">
        <v>14</v>
      </c>
      <c r="F129">
        <v>4.5999999999999996</v>
      </c>
      <c r="G129">
        <v>71.5</v>
      </c>
      <c r="H129" t="s">
        <v>11</v>
      </c>
      <c r="I129" t="str">
        <f t="shared" si="1"/>
        <v>Média</v>
      </c>
    </row>
    <row r="130" spans="1:9">
      <c r="A130" t="s">
        <v>428</v>
      </c>
      <c r="B130">
        <v>2026</v>
      </c>
      <c r="C130">
        <v>2</v>
      </c>
      <c r="D130" t="s">
        <v>9</v>
      </c>
      <c r="E130" t="s">
        <v>12</v>
      </c>
      <c r="F130">
        <v>4.5999999999999996</v>
      </c>
      <c r="G130">
        <v>58.3</v>
      </c>
      <c r="H130" t="s">
        <v>11</v>
      </c>
      <c r="I130" t="str">
        <f t="shared" ref="I130:I193" si="2">IF(G130&lt;50,"Baixa",IF(G130&lt;75,"Média","Alta"))</f>
        <v>Média</v>
      </c>
    </row>
    <row r="131" spans="1:9">
      <c r="A131" t="s">
        <v>116</v>
      </c>
      <c r="B131">
        <v>2024</v>
      </c>
      <c r="C131">
        <v>1</v>
      </c>
      <c r="D131" t="s">
        <v>75</v>
      </c>
      <c r="E131" t="s">
        <v>78</v>
      </c>
      <c r="F131">
        <v>4.7</v>
      </c>
      <c r="G131">
        <v>64.2</v>
      </c>
      <c r="H131" t="s">
        <v>11</v>
      </c>
      <c r="I131" t="str">
        <f t="shared" si="2"/>
        <v>Média</v>
      </c>
    </row>
    <row r="132" spans="1:9">
      <c r="A132" t="s">
        <v>151</v>
      </c>
      <c r="B132">
        <v>2024</v>
      </c>
      <c r="C132">
        <v>1</v>
      </c>
      <c r="D132" t="s">
        <v>139</v>
      </c>
      <c r="E132" t="s">
        <v>141</v>
      </c>
      <c r="F132">
        <v>4.7</v>
      </c>
      <c r="G132">
        <v>48.5</v>
      </c>
      <c r="H132" t="s">
        <v>11</v>
      </c>
      <c r="I132" t="str">
        <f t="shared" si="2"/>
        <v>Baixa</v>
      </c>
    </row>
    <row r="133" spans="1:9">
      <c r="A133" t="s">
        <v>39</v>
      </c>
      <c r="B133">
        <v>2024</v>
      </c>
      <c r="C133">
        <v>2</v>
      </c>
      <c r="D133" t="s">
        <v>9</v>
      </c>
      <c r="E133" t="s">
        <v>10</v>
      </c>
      <c r="F133">
        <v>4.7</v>
      </c>
      <c r="G133">
        <v>57.1</v>
      </c>
      <c r="H133" t="s">
        <v>11</v>
      </c>
      <c r="I133" t="str">
        <f t="shared" si="2"/>
        <v>Média</v>
      </c>
    </row>
    <row r="134" spans="1:9">
      <c r="A134" t="s">
        <v>46</v>
      </c>
      <c r="B134">
        <v>2024</v>
      </c>
      <c r="C134">
        <v>2</v>
      </c>
      <c r="D134" t="s">
        <v>9</v>
      </c>
      <c r="E134" t="s">
        <v>12</v>
      </c>
      <c r="F134">
        <v>4.7</v>
      </c>
      <c r="G134">
        <v>46.7</v>
      </c>
      <c r="H134" t="s">
        <v>11</v>
      </c>
      <c r="I134" t="str">
        <f t="shared" si="2"/>
        <v>Baixa</v>
      </c>
    </row>
    <row r="135" spans="1:9">
      <c r="A135" t="s">
        <v>105</v>
      </c>
      <c r="B135">
        <v>2024</v>
      </c>
      <c r="C135">
        <v>2</v>
      </c>
      <c r="D135" t="s">
        <v>75</v>
      </c>
      <c r="E135" t="s">
        <v>78</v>
      </c>
      <c r="F135">
        <v>4.7</v>
      </c>
      <c r="G135">
        <v>61.8</v>
      </c>
      <c r="H135" t="s">
        <v>11</v>
      </c>
      <c r="I135" t="str">
        <f t="shared" si="2"/>
        <v>Média</v>
      </c>
    </row>
    <row r="136" spans="1:9">
      <c r="A136" t="s">
        <v>239</v>
      </c>
      <c r="B136">
        <v>2025</v>
      </c>
      <c r="C136">
        <v>1</v>
      </c>
      <c r="D136" t="s">
        <v>9</v>
      </c>
      <c r="E136" t="s">
        <v>14</v>
      </c>
      <c r="F136">
        <v>4.7</v>
      </c>
      <c r="G136">
        <v>53</v>
      </c>
      <c r="H136" t="s">
        <v>11</v>
      </c>
      <c r="I136" t="str">
        <f t="shared" si="2"/>
        <v>Média</v>
      </c>
    </row>
    <row r="137" spans="1:9">
      <c r="A137" t="s">
        <v>286</v>
      </c>
      <c r="B137">
        <v>2025</v>
      </c>
      <c r="C137">
        <v>1</v>
      </c>
      <c r="D137" t="s">
        <v>75</v>
      </c>
      <c r="E137" t="s">
        <v>78</v>
      </c>
      <c r="F137">
        <v>4.7</v>
      </c>
      <c r="G137">
        <v>48.7</v>
      </c>
      <c r="H137" t="s">
        <v>11</v>
      </c>
      <c r="I137" t="str">
        <f t="shared" si="2"/>
        <v>Baixa</v>
      </c>
    </row>
    <row r="138" spans="1:9">
      <c r="A138" t="s">
        <v>306</v>
      </c>
      <c r="B138">
        <v>2025</v>
      </c>
      <c r="C138">
        <v>1</v>
      </c>
      <c r="D138" t="s">
        <v>75</v>
      </c>
      <c r="E138" t="s">
        <v>77</v>
      </c>
      <c r="F138">
        <v>4.7</v>
      </c>
      <c r="G138">
        <v>47.4</v>
      </c>
      <c r="H138" t="s">
        <v>11</v>
      </c>
      <c r="I138" t="str">
        <f t="shared" si="2"/>
        <v>Baixa</v>
      </c>
    </row>
    <row r="139" spans="1:9">
      <c r="A139" t="s">
        <v>523</v>
      </c>
      <c r="B139">
        <v>2026</v>
      </c>
      <c r="C139">
        <v>1</v>
      </c>
      <c r="D139" t="s">
        <v>139</v>
      </c>
      <c r="E139" t="s">
        <v>140</v>
      </c>
      <c r="F139">
        <v>4.7</v>
      </c>
      <c r="G139">
        <v>51.1</v>
      </c>
      <c r="H139" t="s">
        <v>11</v>
      </c>
      <c r="I139" t="str">
        <f t="shared" si="2"/>
        <v>Média</v>
      </c>
    </row>
    <row r="140" spans="1:9">
      <c r="A140" t="s">
        <v>444</v>
      </c>
      <c r="B140">
        <v>2026</v>
      </c>
      <c r="C140">
        <v>2</v>
      </c>
      <c r="D140" t="s">
        <v>75</v>
      </c>
      <c r="E140" t="s">
        <v>76</v>
      </c>
      <c r="F140">
        <v>4.7</v>
      </c>
      <c r="G140">
        <v>74.099999999999994</v>
      </c>
      <c r="H140" t="s">
        <v>11</v>
      </c>
      <c r="I140" t="str">
        <f t="shared" si="2"/>
        <v>Média</v>
      </c>
    </row>
    <row r="141" spans="1:9">
      <c r="A141" t="s">
        <v>87</v>
      </c>
      <c r="B141">
        <v>2024</v>
      </c>
      <c r="C141">
        <v>1</v>
      </c>
      <c r="D141" t="s">
        <v>75</v>
      </c>
      <c r="E141" t="s">
        <v>76</v>
      </c>
      <c r="F141">
        <v>4.8</v>
      </c>
      <c r="G141">
        <v>98.3</v>
      </c>
      <c r="H141" t="s">
        <v>11</v>
      </c>
      <c r="I141" t="str">
        <f t="shared" si="2"/>
        <v>Alta</v>
      </c>
    </row>
    <row r="142" spans="1:9">
      <c r="A142" t="s">
        <v>194</v>
      </c>
      <c r="B142">
        <v>2024</v>
      </c>
      <c r="C142">
        <v>1</v>
      </c>
      <c r="D142" t="s">
        <v>139</v>
      </c>
      <c r="E142" t="s">
        <v>141</v>
      </c>
      <c r="F142">
        <v>4.8</v>
      </c>
      <c r="G142">
        <v>51.9</v>
      </c>
      <c r="H142" t="s">
        <v>11</v>
      </c>
      <c r="I142" t="str">
        <f t="shared" si="2"/>
        <v>Média</v>
      </c>
    </row>
    <row r="143" spans="1:9">
      <c r="A143" t="s">
        <v>156</v>
      </c>
      <c r="B143">
        <v>2024</v>
      </c>
      <c r="C143">
        <v>2</v>
      </c>
      <c r="D143" t="s">
        <v>139</v>
      </c>
      <c r="E143" t="s">
        <v>141</v>
      </c>
      <c r="F143">
        <v>4.8</v>
      </c>
      <c r="G143">
        <v>54.8</v>
      </c>
      <c r="H143" t="s">
        <v>11</v>
      </c>
      <c r="I143" t="str">
        <f t="shared" si="2"/>
        <v>Média</v>
      </c>
    </row>
    <row r="144" spans="1:9">
      <c r="A144" t="s">
        <v>318</v>
      </c>
      <c r="B144">
        <v>2025</v>
      </c>
      <c r="C144">
        <v>2</v>
      </c>
      <c r="D144" t="s">
        <v>75</v>
      </c>
      <c r="E144" t="s">
        <v>77</v>
      </c>
      <c r="F144">
        <v>4.8</v>
      </c>
      <c r="G144">
        <v>69.400000000000006</v>
      </c>
      <c r="H144" t="s">
        <v>11</v>
      </c>
      <c r="I144" t="str">
        <f t="shared" si="2"/>
        <v>Média</v>
      </c>
    </row>
    <row r="145" spans="1:9">
      <c r="A145" t="s">
        <v>477</v>
      </c>
      <c r="B145">
        <v>2026</v>
      </c>
      <c r="C145">
        <v>1</v>
      </c>
      <c r="D145" t="s">
        <v>75</v>
      </c>
      <c r="E145" t="s">
        <v>77</v>
      </c>
      <c r="F145">
        <v>4.8</v>
      </c>
      <c r="G145">
        <v>53.2</v>
      </c>
      <c r="H145" t="s">
        <v>11</v>
      </c>
      <c r="I145" t="str">
        <f t="shared" si="2"/>
        <v>Média</v>
      </c>
    </row>
    <row r="146" spans="1:9">
      <c r="A146" t="s">
        <v>472</v>
      </c>
      <c r="B146">
        <v>2026</v>
      </c>
      <c r="C146">
        <v>2</v>
      </c>
      <c r="D146" t="s">
        <v>75</v>
      </c>
      <c r="E146" t="s">
        <v>77</v>
      </c>
      <c r="F146">
        <v>4.8</v>
      </c>
      <c r="G146">
        <v>54.7</v>
      </c>
      <c r="H146" t="s">
        <v>11</v>
      </c>
      <c r="I146" t="str">
        <f t="shared" si="2"/>
        <v>Média</v>
      </c>
    </row>
    <row r="147" spans="1:9">
      <c r="A147" t="s">
        <v>17</v>
      </c>
      <c r="B147">
        <v>2024</v>
      </c>
      <c r="C147">
        <v>2</v>
      </c>
      <c r="D147" t="s">
        <v>9</v>
      </c>
      <c r="E147" t="s">
        <v>14</v>
      </c>
      <c r="F147">
        <v>4.9000000000000004</v>
      </c>
      <c r="G147">
        <v>50.9</v>
      </c>
      <c r="H147" t="s">
        <v>11</v>
      </c>
      <c r="I147" t="str">
        <f t="shared" si="2"/>
        <v>Média</v>
      </c>
    </row>
    <row r="148" spans="1:9">
      <c r="A148" t="s">
        <v>43</v>
      </c>
      <c r="B148">
        <v>2024</v>
      </c>
      <c r="C148">
        <v>2</v>
      </c>
      <c r="D148" t="s">
        <v>9</v>
      </c>
      <c r="E148" t="s">
        <v>12</v>
      </c>
      <c r="F148">
        <v>4.9000000000000004</v>
      </c>
      <c r="G148">
        <v>55.7</v>
      </c>
      <c r="H148" t="s">
        <v>11</v>
      </c>
      <c r="I148" t="str">
        <f t="shared" si="2"/>
        <v>Média</v>
      </c>
    </row>
    <row r="149" spans="1:9">
      <c r="A149" t="s">
        <v>99</v>
      </c>
      <c r="B149">
        <v>2024</v>
      </c>
      <c r="C149">
        <v>2</v>
      </c>
      <c r="D149" t="s">
        <v>75</v>
      </c>
      <c r="E149" t="s">
        <v>78</v>
      </c>
      <c r="F149">
        <v>4.9000000000000004</v>
      </c>
      <c r="G149">
        <v>50</v>
      </c>
      <c r="H149" t="s">
        <v>11</v>
      </c>
      <c r="I149" t="str">
        <f t="shared" si="2"/>
        <v>Média</v>
      </c>
    </row>
    <row r="150" spans="1:9">
      <c r="A150" t="s">
        <v>143</v>
      </c>
      <c r="B150">
        <v>2024</v>
      </c>
      <c r="C150">
        <v>2</v>
      </c>
      <c r="D150" t="s">
        <v>139</v>
      </c>
      <c r="E150" t="s">
        <v>141</v>
      </c>
      <c r="F150">
        <v>4.9000000000000004</v>
      </c>
      <c r="G150">
        <v>52.6</v>
      </c>
      <c r="H150" t="s">
        <v>11</v>
      </c>
      <c r="I150" t="str">
        <f t="shared" si="2"/>
        <v>Média</v>
      </c>
    </row>
    <row r="151" spans="1:9">
      <c r="A151" t="s">
        <v>151</v>
      </c>
      <c r="B151">
        <v>2024</v>
      </c>
      <c r="C151">
        <v>2</v>
      </c>
      <c r="D151" t="s">
        <v>139</v>
      </c>
      <c r="E151" t="s">
        <v>141</v>
      </c>
      <c r="F151">
        <v>4.9000000000000004</v>
      </c>
      <c r="G151">
        <v>48.7</v>
      </c>
      <c r="H151" t="s">
        <v>11</v>
      </c>
      <c r="I151" t="str">
        <f t="shared" si="2"/>
        <v>Baixa</v>
      </c>
    </row>
    <row r="152" spans="1:9">
      <c r="A152" t="s">
        <v>281</v>
      </c>
      <c r="B152">
        <v>2025</v>
      </c>
      <c r="C152">
        <v>1</v>
      </c>
      <c r="D152" t="s">
        <v>75</v>
      </c>
      <c r="E152" t="s">
        <v>77</v>
      </c>
      <c r="F152">
        <v>4.9000000000000004</v>
      </c>
      <c r="G152">
        <v>62.7</v>
      </c>
      <c r="H152" t="s">
        <v>11</v>
      </c>
      <c r="I152" t="str">
        <f t="shared" si="2"/>
        <v>Média</v>
      </c>
    </row>
    <row r="153" spans="1:9">
      <c r="A153" t="s">
        <v>293</v>
      </c>
      <c r="B153">
        <v>2025</v>
      </c>
      <c r="C153">
        <v>1</v>
      </c>
      <c r="D153" t="s">
        <v>75</v>
      </c>
      <c r="E153" t="s">
        <v>76</v>
      </c>
      <c r="F153">
        <v>4.9000000000000004</v>
      </c>
      <c r="G153">
        <v>48.6</v>
      </c>
      <c r="H153" t="s">
        <v>11</v>
      </c>
      <c r="I153" t="str">
        <f t="shared" si="2"/>
        <v>Baixa</v>
      </c>
    </row>
    <row r="154" spans="1:9">
      <c r="A154" t="s">
        <v>303</v>
      </c>
      <c r="B154">
        <v>2025</v>
      </c>
      <c r="C154">
        <v>2</v>
      </c>
      <c r="D154" t="s">
        <v>75</v>
      </c>
      <c r="E154" t="s">
        <v>76</v>
      </c>
      <c r="F154">
        <v>4.9000000000000004</v>
      </c>
      <c r="G154">
        <v>47.4</v>
      </c>
      <c r="H154" t="s">
        <v>11</v>
      </c>
      <c r="I154" t="str">
        <f t="shared" si="2"/>
        <v>Baixa</v>
      </c>
    </row>
    <row r="155" spans="1:9">
      <c r="A155" t="s">
        <v>522</v>
      </c>
      <c r="B155">
        <v>2026</v>
      </c>
      <c r="C155">
        <v>1</v>
      </c>
      <c r="D155" t="s">
        <v>139</v>
      </c>
      <c r="E155" t="s">
        <v>141</v>
      </c>
      <c r="F155">
        <v>4.9000000000000004</v>
      </c>
      <c r="G155">
        <v>62.9</v>
      </c>
      <c r="H155" t="s">
        <v>11</v>
      </c>
      <c r="I155" t="str">
        <f t="shared" si="2"/>
        <v>Média</v>
      </c>
    </row>
    <row r="156" spans="1:9">
      <c r="A156" t="s">
        <v>96</v>
      </c>
      <c r="B156">
        <v>2024</v>
      </c>
      <c r="C156">
        <v>1</v>
      </c>
      <c r="D156" t="s">
        <v>75</v>
      </c>
      <c r="E156" t="s">
        <v>76</v>
      </c>
      <c r="F156">
        <v>5</v>
      </c>
      <c r="G156">
        <v>65.3</v>
      </c>
      <c r="H156" t="s">
        <v>11</v>
      </c>
      <c r="I156" t="str">
        <f t="shared" si="2"/>
        <v>Média</v>
      </c>
    </row>
    <row r="157" spans="1:9">
      <c r="A157" t="s">
        <v>106</v>
      </c>
      <c r="B157">
        <v>2024</v>
      </c>
      <c r="C157">
        <v>1</v>
      </c>
      <c r="D157" t="s">
        <v>75</v>
      </c>
      <c r="E157" t="s">
        <v>77</v>
      </c>
      <c r="F157">
        <v>5</v>
      </c>
      <c r="G157">
        <v>59.4</v>
      </c>
      <c r="H157" t="s">
        <v>11</v>
      </c>
      <c r="I157" t="str">
        <f t="shared" si="2"/>
        <v>Média</v>
      </c>
    </row>
    <row r="158" spans="1:9">
      <c r="A158" t="s">
        <v>274</v>
      </c>
      <c r="B158">
        <v>2025</v>
      </c>
      <c r="C158">
        <v>1</v>
      </c>
      <c r="D158" t="s">
        <v>75</v>
      </c>
      <c r="E158" t="s">
        <v>77</v>
      </c>
      <c r="F158">
        <v>5</v>
      </c>
      <c r="G158">
        <v>64</v>
      </c>
      <c r="H158" t="s">
        <v>11</v>
      </c>
      <c r="I158" t="str">
        <f t="shared" si="2"/>
        <v>Média</v>
      </c>
    </row>
    <row r="159" spans="1:9">
      <c r="A159" t="s">
        <v>359</v>
      </c>
      <c r="B159">
        <v>2025</v>
      </c>
      <c r="C159">
        <v>1</v>
      </c>
      <c r="D159" t="s">
        <v>139</v>
      </c>
      <c r="E159" t="s">
        <v>140</v>
      </c>
      <c r="F159">
        <v>5</v>
      </c>
      <c r="G159">
        <v>47.2</v>
      </c>
      <c r="H159" t="s">
        <v>11</v>
      </c>
      <c r="I159" t="str">
        <f t="shared" si="2"/>
        <v>Baixa</v>
      </c>
    </row>
    <row r="160" spans="1:9">
      <c r="A160" t="s">
        <v>382</v>
      </c>
      <c r="B160">
        <v>2026</v>
      </c>
      <c r="C160">
        <v>1</v>
      </c>
      <c r="D160" t="s">
        <v>9</v>
      </c>
      <c r="E160" t="s">
        <v>12</v>
      </c>
      <c r="F160">
        <v>5</v>
      </c>
      <c r="G160">
        <v>50.3</v>
      </c>
      <c r="H160" t="s">
        <v>11</v>
      </c>
      <c r="I160" t="str">
        <f t="shared" si="2"/>
        <v>Média</v>
      </c>
    </row>
    <row r="161" spans="1:9">
      <c r="A161" t="s">
        <v>388</v>
      </c>
      <c r="B161">
        <v>2026</v>
      </c>
      <c r="C161">
        <v>1</v>
      </c>
      <c r="D161" t="s">
        <v>9</v>
      </c>
      <c r="E161" t="s">
        <v>14</v>
      </c>
      <c r="F161">
        <v>5</v>
      </c>
      <c r="G161">
        <v>71.5</v>
      </c>
      <c r="H161" t="s">
        <v>11</v>
      </c>
      <c r="I161" t="str">
        <f t="shared" si="2"/>
        <v>Média</v>
      </c>
    </row>
    <row r="162" spans="1:9">
      <c r="A162" t="s">
        <v>417</v>
      </c>
      <c r="B162">
        <v>2026</v>
      </c>
      <c r="C162">
        <v>1</v>
      </c>
      <c r="D162" t="s">
        <v>9</v>
      </c>
      <c r="E162" t="s">
        <v>10</v>
      </c>
      <c r="F162">
        <v>5</v>
      </c>
      <c r="G162">
        <v>58.8</v>
      </c>
      <c r="H162" t="s">
        <v>11</v>
      </c>
      <c r="I162" t="str">
        <f t="shared" si="2"/>
        <v>Média</v>
      </c>
    </row>
    <row r="163" spans="1:9">
      <c r="A163" t="s">
        <v>494</v>
      </c>
      <c r="B163">
        <v>2026</v>
      </c>
      <c r="C163">
        <v>2</v>
      </c>
      <c r="D163" t="s">
        <v>75</v>
      </c>
      <c r="E163" t="s">
        <v>77</v>
      </c>
      <c r="F163">
        <v>5</v>
      </c>
      <c r="G163">
        <v>56.7</v>
      </c>
      <c r="H163" t="s">
        <v>11</v>
      </c>
      <c r="I163" t="str">
        <f t="shared" si="2"/>
        <v>Média</v>
      </c>
    </row>
    <row r="164" spans="1:9">
      <c r="A164" t="s">
        <v>535</v>
      </c>
      <c r="B164">
        <v>2026</v>
      </c>
      <c r="C164">
        <v>2</v>
      </c>
      <c r="D164" t="s">
        <v>139</v>
      </c>
      <c r="E164" t="s">
        <v>140</v>
      </c>
      <c r="F164">
        <v>5</v>
      </c>
      <c r="G164">
        <v>69</v>
      </c>
      <c r="H164" t="s">
        <v>11</v>
      </c>
      <c r="I164" t="str">
        <f t="shared" si="2"/>
        <v>Média</v>
      </c>
    </row>
    <row r="165" spans="1:9">
      <c r="A165" t="s">
        <v>17</v>
      </c>
      <c r="B165">
        <v>2024</v>
      </c>
      <c r="C165">
        <v>1</v>
      </c>
      <c r="D165" t="s">
        <v>9</v>
      </c>
      <c r="E165" t="s">
        <v>14</v>
      </c>
      <c r="F165">
        <v>5.0999999999999996</v>
      </c>
      <c r="G165">
        <v>55.8</v>
      </c>
      <c r="H165" t="s">
        <v>11</v>
      </c>
      <c r="I165" t="str">
        <f t="shared" si="2"/>
        <v>Média</v>
      </c>
    </row>
    <row r="166" spans="1:9">
      <c r="A166" t="s">
        <v>25</v>
      </c>
      <c r="B166">
        <v>2024</v>
      </c>
      <c r="C166">
        <v>1</v>
      </c>
      <c r="D166" t="s">
        <v>9</v>
      </c>
      <c r="E166" t="s">
        <v>14</v>
      </c>
      <c r="F166">
        <v>5.0999999999999996</v>
      </c>
      <c r="G166">
        <v>45.4</v>
      </c>
      <c r="H166" t="s">
        <v>11</v>
      </c>
      <c r="I166" t="str">
        <f t="shared" si="2"/>
        <v>Baixa</v>
      </c>
    </row>
    <row r="167" spans="1:9">
      <c r="A167" t="s">
        <v>108</v>
      </c>
      <c r="B167">
        <v>2024</v>
      </c>
      <c r="C167">
        <v>1</v>
      </c>
      <c r="D167" t="s">
        <v>75</v>
      </c>
      <c r="E167" t="s">
        <v>77</v>
      </c>
      <c r="F167">
        <v>5.0999999999999996</v>
      </c>
      <c r="G167">
        <v>59.6</v>
      </c>
      <c r="H167" t="s">
        <v>11</v>
      </c>
      <c r="I167" t="str">
        <f t="shared" si="2"/>
        <v>Média</v>
      </c>
    </row>
    <row r="168" spans="1:9">
      <c r="A168" t="s">
        <v>169</v>
      </c>
      <c r="B168">
        <v>2024</v>
      </c>
      <c r="C168">
        <v>1</v>
      </c>
      <c r="D168" t="s">
        <v>139</v>
      </c>
      <c r="E168" t="s">
        <v>141</v>
      </c>
      <c r="F168">
        <v>5.0999999999999996</v>
      </c>
      <c r="G168">
        <v>51.8</v>
      </c>
      <c r="H168" t="s">
        <v>11</v>
      </c>
      <c r="I168" t="str">
        <f t="shared" si="2"/>
        <v>Média</v>
      </c>
    </row>
    <row r="169" spans="1:9">
      <c r="A169" t="s">
        <v>81</v>
      </c>
      <c r="B169">
        <v>2024</v>
      </c>
      <c r="C169">
        <v>2</v>
      </c>
      <c r="D169" t="s">
        <v>75</v>
      </c>
      <c r="E169" t="s">
        <v>77</v>
      </c>
      <c r="F169">
        <v>5.0999999999999996</v>
      </c>
      <c r="G169">
        <v>48.9</v>
      </c>
      <c r="H169" t="s">
        <v>11</v>
      </c>
      <c r="I169" t="str">
        <f t="shared" si="2"/>
        <v>Baixa</v>
      </c>
    </row>
    <row r="170" spans="1:9">
      <c r="A170" t="s">
        <v>144</v>
      </c>
      <c r="B170">
        <v>2024</v>
      </c>
      <c r="C170">
        <v>2</v>
      </c>
      <c r="D170" t="s">
        <v>139</v>
      </c>
      <c r="E170" t="s">
        <v>140</v>
      </c>
      <c r="F170">
        <v>5.0999999999999996</v>
      </c>
      <c r="G170">
        <v>45.4</v>
      </c>
      <c r="H170" t="s">
        <v>11</v>
      </c>
      <c r="I170" t="str">
        <f t="shared" si="2"/>
        <v>Baixa</v>
      </c>
    </row>
    <row r="171" spans="1:9">
      <c r="A171" t="s">
        <v>150</v>
      </c>
      <c r="B171">
        <v>2024</v>
      </c>
      <c r="C171">
        <v>2</v>
      </c>
      <c r="D171" t="s">
        <v>139</v>
      </c>
      <c r="E171" t="s">
        <v>140</v>
      </c>
      <c r="F171">
        <v>5.0999999999999996</v>
      </c>
      <c r="G171">
        <v>53.7</v>
      </c>
      <c r="H171" t="s">
        <v>11</v>
      </c>
      <c r="I171" t="str">
        <f t="shared" si="2"/>
        <v>Média</v>
      </c>
    </row>
    <row r="172" spans="1:9">
      <c r="A172" t="s">
        <v>332</v>
      </c>
      <c r="B172">
        <v>2025</v>
      </c>
      <c r="C172">
        <v>1</v>
      </c>
      <c r="D172" t="s">
        <v>139</v>
      </c>
      <c r="E172" t="s">
        <v>140</v>
      </c>
      <c r="F172">
        <v>5.0999999999999996</v>
      </c>
      <c r="G172">
        <v>48.7</v>
      </c>
      <c r="H172" t="s">
        <v>11</v>
      </c>
      <c r="I172" t="str">
        <f t="shared" si="2"/>
        <v>Baixa</v>
      </c>
    </row>
    <row r="173" spans="1:9">
      <c r="A173" t="s">
        <v>352</v>
      </c>
      <c r="B173">
        <v>2025</v>
      </c>
      <c r="C173">
        <v>2</v>
      </c>
      <c r="D173" t="s">
        <v>139</v>
      </c>
      <c r="E173" t="s">
        <v>140</v>
      </c>
      <c r="F173">
        <v>5.0999999999999996</v>
      </c>
      <c r="G173">
        <v>76.7</v>
      </c>
      <c r="H173" t="s">
        <v>11</v>
      </c>
      <c r="I173" t="str">
        <f t="shared" si="2"/>
        <v>Alta</v>
      </c>
    </row>
    <row r="174" spans="1:9">
      <c r="A174" t="s">
        <v>353</v>
      </c>
      <c r="B174">
        <v>2025</v>
      </c>
      <c r="C174">
        <v>2</v>
      </c>
      <c r="D174" t="s">
        <v>139</v>
      </c>
      <c r="E174" t="s">
        <v>141</v>
      </c>
      <c r="F174">
        <v>5.0999999999999996</v>
      </c>
      <c r="G174">
        <v>77.7</v>
      </c>
      <c r="H174" t="s">
        <v>11</v>
      </c>
      <c r="I174" t="str">
        <f t="shared" si="2"/>
        <v>Alta</v>
      </c>
    </row>
    <row r="175" spans="1:9">
      <c r="A175" t="s">
        <v>408</v>
      </c>
      <c r="B175">
        <v>2026</v>
      </c>
      <c r="C175">
        <v>2</v>
      </c>
      <c r="D175" t="s">
        <v>9</v>
      </c>
      <c r="E175" t="s">
        <v>10</v>
      </c>
      <c r="F175">
        <v>5.0999999999999996</v>
      </c>
      <c r="G175">
        <v>46.7</v>
      </c>
      <c r="H175" t="s">
        <v>11</v>
      </c>
      <c r="I175" t="str">
        <f t="shared" si="2"/>
        <v>Baixa</v>
      </c>
    </row>
    <row r="176" spans="1:9">
      <c r="A176" t="s">
        <v>451</v>
      </c>
      <c r="B176">
        <v>2026</v>
      </c>
      <c r="C176">
        <v>2</v>
      </c>
      <c r="D176" t="s">
        <v>75</v>
      </c>
      <c r="E176" t="s">
        <v>78</v>
      </c>
      <c r="F176">
        <v>5.0999999999999996</v>
      </c>
      <c r="G176">
        <v>52.1</v>
      </c>
      <c r="H176" t="s">
        <v>11</v>
      </c>
      <c r="I176" t="str">
        <f t="shared" si="2"/>
        <v>Média</v>
      </c>
    </row>
    <row r="177" spans="1:9">
      <c r="A177" t="s">
        <v>509</v>
      </c>
      <c r="B177">
        <v>2026</v>
      </c>
      <c r="C177">
        <v>2</v>
      </c>
      <c r="D177" t="s">
        <v>139</v>
      </c>
      <c r="E177" t="s">
        <v>141</v>
      </c>
      <c r="F177">
        <v>5.0999999999999996</v>
      </c>
      <c r="G177">
        <v>79.599999999999994</v>
      </c>
      <c r="H177" t="s">
        <v>11</v>
      </c>
      <c r="I177" t="str">
        <f t="shared" si="2"/>
        <v>Alta</v>
      </c>
    </row>
    <row r="178" spans="1:9">
      <c r="A178" t="s">
        <v>58</v>
      </c>
      <c r="B178">
        <v>2024</v>
      </c>
      <c r="C178">
        <v>1</v>
      </c>
      <c r="D178" t="s">
        <v>9</v>
      </c>
      <c r="E178" t="s">
        <v>12</v>
      </c>
      <c r="F178">
        <v>5.2</v>
      </c>
      <c r="G178">
        <v>52.2</v>
      </c>
      <c r="H178" t="s">
        <v>11</v>
      </c>
      <c r="I178" t="str">
        <f t="shared" si="2"/>
        <v>Média</v>
      </c>
    </row>
    <row r="179" spans="1:9">
      <c r="A179" t="s">
        <v>61</v>
      </c>
      <c r="B179">
        <v>2024</v>
      </c>
      <c r="C179">
        <v>1</v>
      </c>
      <c r="D179" t="s">
        <v>9</v>
      </c>
      <c r="E179" t="s">
        <v>12</v>
      </c>
      <c r="F179">
        <v>5.2</v>
      </c>
      <c r="G179">
        <v>58</v>
      </c>
      <c r="H179" t="s">
        <v>11</v>
      </c>
      <c r="I179" t="str">
        <f t="shared" si="2"/>
        <v>Média</v>
      </c>
    </row>
    <row r="180" spans="1:9">
      <c r="A180" t="s">
        <v>176</v>
      </c>
      <c r="B180">
        <v>2024</v>
      </c>
      <c r="C180">
        <v>1</v>
      </c>
      <c r="D180" t="s">
        <v>139</v>
      </c>
      <c r="E180" t="s">
        <v>140</v>
      </c>
      <c r="F180">
        <v>5.2</v>
      </c>
      <c r="G180">
        <v>47.5</v>
      </c>
      <c r="H180" t="s">
        <v>11</v>
      </c>
      <c r="I180" t="str">
        <f t="shared" si="2"/>
        <v>Baixa</v>
      </c>
    </row>
    <row r="181" spans="1:9">
      <c r="A181" t="s">
        <v>17</v>
      </c>
      <c r="B181">
        <v>2024</v>
      </c>
      <c r="C181">
        <v>2</v>
      </c>
      <c r="D181" t="s">
        <v>9</v>
      </c>
      <c r="E181" t="s">
        <v>10</v>
      </c>
      <c r="F181">
        <v>5.2</v>
      </c>
      <c r="G181">
        <v>50.1</v>
      </c>
      <c r="H181" t="s">
        <v>11</v>
      </c>
      <c r="I181" t="str">
        <f t="shared" si="2"/>
        <v>Média</v>
      </c>
    </row>
    <row r="182" spans="1:9">
      <c r="A182" t="s">
        <v>142</v>
      </c>
      <c r="B182">
        <v>2024</v>
      </c>
      <c r="C182">
        <v>2</v>
      </c>
      <c r="D182" t="s">
        <v>139</v>
      </c>
      <c r="E182" t="s">
        <v>140</v>
      </c>
      <c r="F182">
        <v>5.2</v>
      </c>
      <c r="G182">
        <v>68.099999999999994</v>
      </c>
      <c r="H182" t="s">
        <v>11</v>
      </c>
      <c r="I182" t="str">
        <f t="shared" si="2"/>
        <v>Média</v>
      </c>
    </row>
    <row r="183" spans="1:9">
      <c r="A183" t="s">
        <v>204</v>
      </c>
      <c r="B183">
        <v>2025</v>
      </c>
      <c r="C183">
        <v>1</v>
      </c>
      <c r="D183" t="s">
        <v>9</v>
      </c>
      <c r="E183" t="s">
        <v>10</v>
      </c>
      <c r="F183">
        <v>5.2</v>
      </c>
      <c r="G183">
        <v>52.6</v>
      </c>
      <c r="H183" t="s">
        <v>11</v>
      </c>
      <c r="I183" t="str">
        <f t="shared" si="2"/>
        <v>Média</v>
      </c>
    </row>
    <row r="184" spans="1:9">
      <c r="A184" t="s">
        <v>209</v>
      </c>
      <c r="B184">
        <v>2025</v>
      </c>
      <c r="C184">
        <v>1</v>
      </c>
      <c r="D184" t="s">
        <v>9</v>
      </c>
      <c r="E184" t="s">
        <v>10</v>
      </c>
      <c r="F184">
        <v>5.2</v>
      </c>
      <c r="G184">
        <v>77.2</v>
      </c>
      <c r="H184" t="s">
        <v>11</v>
      </c>
      <c r="I184" t="str">
        <f t="shared" si="2"/>
        <v>Alta</v>
      </c>
    </row>
    <row r="185" spans="1:9">
      <c r="A185" t="s">
        <v>261</v>
      </c>
      <c r="B185">
        <v>2025</v>
      </c>
      <c r="C185">
        <v>1</v>
      </c>
      <c r="D185" t="s">
        <v>75</v>
      </c>
      <c r="E185" t="s">
        <v>77</v>
      </c>
      <c r="F185">
        <v>5.2</v>
      </c>
      <c r="G185">
        <v>98.1</v>
      </c>
      <c r="H185" t="s">
        <v>11</v>
      </c>
      <c r="I185" t="str">
        <f t="shared" si="2"/>
        <v>Alta</v>
      </c>
    </row>
    <row r="186" spans="1:9">
      <c r="A186" t="s">
        <v>393</v>
      </c>
      <c r="B186">
        <v>2026</v>
      </c>
      <c r="C186">
        <v>1</v>
      </c>
      <c r="D186" t="s">
        <v>9</v>
      </c>
      <c r="E186" t="s">
        <v>12</v>
      </c>
      <c r="F186">
        <v>5.2</v>
      </c>
      <c r="G186">
        <v>66.099999999999994</v>
      </c>
      <c r="H186" t="s">
        <v>11</v>
      </c>
      <c r="I186" t="str">
        <f t="shared" si="2"/>
        <v>Média</v>
      </c>
    </row>
    <row r="187" spans="1:9">
      <c r="A187" t="s">
        <v>545</v>
      </c>
      <c r="B187">
        <v>2026</v>
      </c>
      <c r="C187">
        <v>1</v>
      </c>
      <c r="D187" t="s">
        <v>139</v>
      </c>
      <c r="E187" t="s">
        <v>141</v>
      </c>
      <c r="F187">
        <v>5.2</v>
      </c>
      <c r="G187">
        <v>55.8</v>
      </c>
      <c r="H187" t="s">
        <v>11</v>
      </c>
      <c r="I187" t="str">
        <f t="shared" si="2"/>
        <v>Média</v>
      </c>
    </row>
    <row r="188" spans="1:9">
      <c r="A188" t="s">
        <v>448</v>
      </c>
      <c r="B188">
        <v>2026</v>
      </c>
      <c r="C188">
        <v>2</v>
      </c>
      <c r="D188" t="s">
        <v>75</v>
      </c>
      <c r="E188" t="s">
        <v>76</v>
      </c>
      <c r="F188">
        <v>5.2</v>
      </c>
      <c r="G188">
        <v>71.400000000000006</v>
      </c>
      <c r="H188" t="s">
        <v>11</v>
      </c>
      <c r="I188" t="str">
        <f t="shared" si="2"/>
        <v>Média</v>
      </c>
    </row>
    <row r="189" spans="1:9">
      <c r="A189" t="s">
        <v>473</v>
      </c>
      <c r="B189">
        <v>2026</v>
      </c>
      <c r="C189">
        <v>2</v>
      </c>
      <c r="D189" t="s">
        <v>75</v>
      </c>
      <c r="E189" t="s">
        <v>76</v>
      </c>
      <c r="F189">
        <v>5.2</v>
      </c>
      <c r="G189">
        <v>52.6</v>
      </c>
      <c r="H189" t="s">
        <v>11</v>
      </c>
      <c r="I189" t="str">
        <f t="shared" si="2"/>
        <v>Média</v>
      </c>
    </row>
    <row r="190" spans="1:9">
      <c r="A190" t="s">
        <v>473</v>
      </c>
      <c r="B190">
        <v>2026</v>
      </c>
      <c r="C190">
        <v>2</v>
      </c>
      <c r="D190" t="s">
        <v>75</v>
      </c>
      <c r="E190" t="s">
        <v>77</v>
      </c>
      <c r="F190">
        <v>5.2</v>
      </c>
      <c r="G190">
        <v>59.9</v>
      </c>
      <c r="H190" t="s">
        <v>11</v>
      </c>
      <c r="I190" t="str">
        <f t="shared" si="2"/>
        <v>Média</v>
      </c>
    </row>
    <row r="191" spans="1:9">
      <c r="A191" t="s">
        <v>502</v>
      </c>
      <c r="B191">
        <v>2026</v>
      </c>
      <c r="C191">
        <v>2</v>
      </c>
      <c r="D191" t="s">
        <v>139</v>
      </c>
      <c r="E191" t="s">
        <v>141</v>
      </c>
      <c r="F191">
        <v>5.2</v>
      </c>
      <c r="G191">
        <v>71.900000000000006</v>
      </c>
      <c r="H191" t="s">
        <v>11</v>
      </c>
      <c r="I191" t="str">
        <f t="shared" si="2"/>
        <v>Média</v>
      </c>
    </row>
    <row r="192" spans="1:9">
      <c r="A192" t="s">
        <v>143</v>
      </c>
      <c r="B192">
        <v>2024</v>
      </c>
      <c r="C192">
        <v>1</v>
      </c>
      <c r="D192" t="s">
        <v>139</v>
      </c>
      <c r="E192" t="s">
        <v>10</v>
      </c>
      <c r="F192">
        <v>5.3</v>
      </c>
      <c r="G192">
        <v>54.3</v>
      </c>
      <c r="H192" t="s">
        <v>11</v>
      </c>
      <c r="I192" t="str">
        <f t="shared" si="2"/>
        <v>Média</v>
      </c>
    </row>
    <row r="193" spans="1:9">
      <c r="A193" t="s">
        <v>128</v>
      </c>
      <c r="B193">
        <v>2024</v>
      </c>
      <c r="C193">
        <v>2</v>
      </c>
      <c r="D193" t="s">
        <v>75</v>
      </c>
      <c r="E193" t="s">
        <v>77</v>
      </c>
      <c r="F193">
        <v>5.3</v>
      </c>
      <c r="G193">
        <v>73.400000000000006</v>
      </c>
      <c r="H193" t="s">
        <v>11</v>
      </c>
      <c r="I193" t="str">
        <f t="shared" si="2"/>
        <v>Média</v>
      </c>
    </row>
    <row r="194" spans="1:9">
      <c r="A194" t="s">
        <v>162</v>
      </c>
      <c r="B194">
        <v>2024</v>
      </c>
      <c r="C194">
        <v>2</v>
      </c>
      <c r="D194" t="s">
        <v>139</v>
      </c>
      <c r="E194" t="s">
        <v>10</v>
      </c>
      <c r="F194">
        <v>5.3</v>
      </c>
      <c r="G194">
        <v>67</v>
      </c>
      <c r="H194" t="s">
        <v>11</v>
      </c>
      <c r="I194" t="str">
        <f t="shared" ref="I194:I257" si="3">IF(G194&lt;50,"Baixa",IF(G194&lt;75,"Média","Alta"))</f>
        <v>Média</v>
      </c>
    </row>
    <row r="195" spans="1:9">
      <c r="A195" t="s">
        <v>214</v>
      </c>
      <c r="B195">
        <v>2025</v>
      </c>
      <c r="C195">
        <v>1</v>
      </c>
      <c r="D195" t="s">
        <v>9</v>
      </c>
      <c r="E195" t="s">
        <v>14</v>
      </c>
      <c r="F195">
        <v>5.3</v>
      </c>
      <c r="G195">
        <v>87.7</v>
      </c>
      <c r="H195" t="s">
        <v>11</v>
      </c>
      <c r="I195" t="str">
        <f t="shared" si="3"/>
        <v>Alta</v>
      </c>
    </row>
    <row r="196" spans="1:9">
      <c r="A196" t="s">
        <v>309</v>
      </c>
      <c r="B196">
        <v>2025</v>
      </c>
      <c r="C196">
        <v>1</v>
      </c>
      <c r="D196" t="s">
        <v>75</v>
      </c>
      <c r="E196" t="s">
        <v>78</v>
      </c>
      <c r="F196">
        <v>5.3</v>
      </c>
      <c r="G196">
        <v>62.8</v>
      </c>
      <c r="H196" t="s">
        <v>11</v>
      </c>
      <c r="I196" t="str">
        <f t="shared" si="3"/>
        <v>Média</v>
      </c>
    </row>
    <row r="197" spans="1:9">
      <c r="A197" t="s">
        <v>373</v>
      </c>
      <c r="B197">
        <v>2025</v>
      </c>
      <c r="C197">
        <v>1</v>
      </c>
      <c r="D197" t="s">
        <v>139</v>
      </c>
      <c r="E197" t="s">
        <v>140</v>
      </c>
      <c r="F197">
        <v>5.3</v>
      </c>
      <c r="G197">
        <v>92</v>
      </c>
      <c r="H197" t="s">
        <v>11</v>
      </c>
      <c r="I197" t="str">
        <f t="shared" si="3"/>
        <v>Alta</v>
      </c>
    </row>
    <row r="198" spans="1:9">
      <c r="A198" t="s">
        <v>374</v>
      </c>
      <c r="B198">
        <v>2025</v>
      </c>
      <c r="C198">
        <v>1</v>
      </c>
      <c r="D198" t="s">
        <v>139</v>
      </c>
      <c r="E198" t="s">
        <v>141</v>
      </c>
      <c r="F198">
        <v>5.3</v>
      </c>
      <c r="G198">
        <v>52.9</v>
      </c>
      <c r="H198" t="s">
        <v>11</v>
      </c>
      <c r="I198" t="str">
        <f t="shared" si="3"/>
        <v>Média</v>
      </c>
    </row>
    <row r="199" spans="1:9">
      <c r="A199" t="s">
        <v>233</v>
      </c>
      <c r="B199">
        <v>2025</v>
      </c>
      <c r="C199">
        <v>2</v>
      </c>
      <c r="D199" t="s">
        <v>9</v>
      </c>
      <c r="E199" t="s">
        <v>10</v>
      </c>
      <c r="F199">
        <v>5.3</v>
      </c>
      <c r="G199">
        <v>78.3</v>
      </c>
      <c r="H199" t="s">
        <v>11</v>
      </c>
      <c r="I199" t="str">
        <f t="shared" si="3"/>
        <v>Alta</v>
      </c>
    </row>
    <row r="200" spans="1:9">
      <c r="A200" t="s">
        <v>312</v>
      </c>
      <c r="B200">
        <v>2025</v>
      </c>
      <c r="C200">
        <v>2</v>
      </c>
      <c r="D200" t="s">
        <v>75</v>
      </c>
      <c r="E200" t="s">
        <v>78</v>
      </c>
      <c r="F200">
        <v>5.3</v>
      </c>
      <c r="G200">
        <v>63.2</v>
      </c>
      <c r="H200" t="s">
        <v>11</v>
      </c>
      <c r="I200" t="str">
        <f t="shared" si="3"/>
        <v>Média</v>
      </c>
    </row>
    <row r="201" spans="1:9">
      <c r="A201" t="s">
        <v>360</v>
      </c>
      <c r="B201">
        <v>2025</v>
      </c>
      <c r="C201">
        <v>2</v>
      </c>
      <c r="D201" t="s">
        <v>139</v>
      </c>
      <c r="E201" t="s">
        <v>140</v>
      </c>
      <c r="F201">
        <v>5.3</v>
      </c>
      <c r="G201">
        <v>52.9</v>
      </c>
      <c r="H201" t="s">
        <v>11</v>
      </c>
      <c r="I201" t="str">
        <f t="shared" si="3"/>
        <v>Média</v>
      </c>
    </row>
    <row r="202" spans="1:9">
      <c r="A202" t="s">
        <v>403</v>
      </c>
      <c r="B202">
        <v>2026</v>
      </c>
      <c r="C202">
        <v>1</v>
      </c>
      <c r="D202" t="s">
        <v>9</v>
      </c>
      <c r="E202" t="s">
        <v>14</v>
      </c>
      <c r="F202">
        <v>5.3</v>
      </c>
      <c r="G202">
        <v>72.900000000000006</v>
      </c>
      <c r="H202" t="s">
        <v>11</v>
      </c>
      <c r="I202" t="str">
        <f t="shared" si="3"/>
        <v>Média</v>
      </c>
    </row>
    <row r="203" spans="1:9">
      <c r="A203" t="s">
        <v>388</v>
      </c>
      <c r="B203">
        <v>2026</v>
      </c>
      <c r="C203">
        <v>2</v>
      </c>
      <c r="D203" t="s">
        <v>9</v>
      </c>
      <c r="E203" t="s">
        <v>12</v>
      </c>
      <c r="F203">
        <v>5.3</v>
      </c>
      <c r="G203">
        <v>52.3</v>
      </c>
      <c r="H203" t="s">
        <v>11</v>
      </c>
      <c r="I203" t="str">
        <f t="shared" si="3"/>
        <v>Média</v>
      </c>
    </row>
    <row r="204" spans="1:9">
      <c r="A204" t="s">
        <v>400</v>
      </c>
      <c r="B204">
        <v>2026</v>
      </c>
      <c r="C204">
        <v>2</v>
      </c>
      <c r="D204" t="s">
        <v>9</v>
      </c>
      <c r="E204" t="s">
        <v>12</v>
      </c>
      <c r="F204">
        <v>5.3</v>
      </c>
      <c r="G204">
        <v>50.2</v>
      </c>
      <c r="H204" t="s">
        <v>11</v>
      </c>
      <c r="I204" t="str">
        <f t="shared" si="3"/>
        <v>Média</v>
      </c>
    </row>
    <row r="205" spans="1:9">
      <c r="A205" t="s">
        <v>426</v>
      </c>
      <c r="B205">
        <v>2026</v>
      </c>
      <c r="C205">
        <v>2</v>
      </c>
      <c r="D205" t="s">
        <v>9</v>
      </c>
      <c r="E205" t="s">
        <v>10</v>
      </c>
      <c r="F205">
        <v>5.3</v>
      </c>
      <c r="G205">
        <v>52.4</v>
      </c>
      <c r="H205" t="s">
        <v>11</v>
      </c>
      <c r="I205" t="str">
        <f t="shared" si="3"/>
        <v>Média</v>
      </c>
    </row>
    <row r="206" spans="1:9">
      <c r="A206" t="s">
        <v>484</v>
      </c>
      <c r="B206">
        <v>2026</v>
      </c>
      <c r="C206">
        <v>2</v>
      </c>
      <c r="D206" t="s">
        <v>75</v>
      </c>
      <c r="E206" t="s">
        <v>77</v>
      </c>
      <c r="F206">
        <v>5.3</v>
      </c>
      <c r="G206">
        <v>59.1</v>
      </c>
      <c r="H206" t="s">
        <v>11</v>
      </c>
      <c r="I206" t="str">
        <f t="shared" si="3"/>
        <v>Média</v>
      </c>
    </row>
    <row r="207" spans="1:9">
      <c r="A207" t="s">
        <v>510</v>
      </c>
      <c r="B207">
        <v>2026</v>
      </c>
      <c r="C207">
        <v>2</v>
      </c>
      <c r="D207" t="s">
        <v>139</v>
      </c>
      <c r="E207" t="s">
        <v>140</v>
      </c>
      <c r="F207">
        <v>5.3</v>
      </c>
      <c r="G207">
        <v>46</v>
      </c>
      <c r="H207" t="s">
        <v>11</v>
      </c>
      <c r="I207" t="str">
        <f t="shared" si="3"/>
        <v>Baixa</v>
      </c>
    </row>
    <row r="208" spans="1:9">
      <c r="A208" t="s">
        <v>24</v>
      </c>
      <c r="B208">
        <v>2024</v>
      </c>
      <c r="C208">
        <v>1</v>
      </c>
      <c r="D208" t="s">
        <v>9</v>
      </c>
      <c r="E208" t="s">
        <v>12</v>
      </c>
      <c r="F208">
        <v>5.4</v>
      </c>
      <c r="G208">
        <v>52.5</v>
      </c>
      <c r="H208" t="s">
        <v>11</v>
      </c>
      <c r="I208" t="str">
        <f t="shared" si="3"/>
        <v>Média</v>
      </c>
    </row>
    <row r="209" spans="1:9">
      <c r="A209" t="s">
        <v>46</v>
      </c>
      <c r="B209">
        <v>2024</v>
      </c>
      <c r="C209">
        <v>1</v>
      </c>
      <c r="D209" t="s">
        <v>9</v>
      </c>
      <c r="E209" t="s">
        <v>14</v>
      </c>
      <c r="F209">
        <v>5.4</v>
      </c>
      <c r="G209">
        <v>56.7</v>
      </c>
      <c r="H209" t="s">
        <v>11</v>
      </c>
      <c r="I209" t="str">
        <f t="shared" si="3"/>
        <v>Média</v>
      </c>
    </row>
    <row r="210" spans="1:9">
      <c r="A210" t="s">
        <v>182</v>
      </c>
      <c r="B210">
        <v>2024</v>
      </c>
      <c r="C210">
        <v>1</v>
      </c>
      <c r="D210" t="s">
        <v>139</v>
      </c>
      <c r="E210" t="s">
        <v>141</v>
      </c>
      <c r="F210">
        <v>5.4</v>
      </c>
      <c r="G210">
        <v>76.900000000000006</v>
      </c>
      <c r="H210" t="s">
        <v>11</v>
      </c>
      <c r="I210" t="str">
        <f t="shared" si="3"/>
        <v>Alta</v>
      </c>
    </row>
    <row r="211" spans="1:9">
      <c r="A211" t="s">
        <v>274</v>
      </c>
      <c r="B211">
        <v>2025</v>
      </c>
      <c r="C211">
        <v>1</v>
      </c>
      <c r="D211" t="s">
        <v>75</v>
      </c>
      <c r="E211" t="s">
        <v>76</v>
      </c>
      <c r="F211">
        <v>5.4</v>
      </c>
      <c r="G211">
        <v>66.099999999999994</v>
      </c>
      <c r="H211" t="s">
        <v>11</v>
      </c>
      <c r="I211" t="str">
        <f t="shared" si="3"/>
        <v>Média</v>
      </c>
    </row>
    <row r="212" spans="1:9">
      <c r="A212" t="s">
        <v>324</v>
      </c>
      <c r="B212">
        <v>2025</v>
      </c>
      <c r="C212">
        <v>1</v>
      </c>
      <c r="D212" t="s">
        <v>139</v>
      </c>
      <c r="E212" t="s">
        <v>140</v>
      </c>
      <c r="F212">
        <v>5.4</v>
      </c>
      <c r="G212">
        <v>72.5</v>
      </c>
      <c r="H212" t="s">
        <v>11</v>
      </c>
      <c r="I212" t="str">
        <f t="shared" si="3"/>
        <v>Média</v>
      </c>
    </row>
    <row r="213" spans="1:9">
      <c r="A213" t="s">
        <v>439</v>
      </c>
      <c r="B213">
        <v>2026</v>
      </c>
      <c r="C213">
        <v>2</v>
      </c>
      <c r="D213" t="s">
        <v>9</v>
      </c>
      <c r="E213" t="s">
        <v>14</v>
      </c>
      <c r="F213">
        <v>5.4</v>
      </c>
      <c r="G213">
        <v>48.6</v>
      </c>
      <c r="H213" t="s">
        <v>11</v>
      </c>
      <c r="I213" t="str">
        <f t="shared" si="3"/>
        <v>Baixa</v>
      </c>
    </row>
    <row r="214" spans="1:9">
      <c r="A214" t="s">
        <v>98</v>
      </c>
      <c r="B214">
        <v>2024</v>
      </c>
      <c r="C214">
        <v>1</v>
      </c>
      <c r="D214" t="s">
        <v>75</v>
      </c>
      <c r="E214" t="s">
        <v>78</v>
      </c>
      <c r="F214">
        <v>5.5</v>
      </c>
      <c r="G214">
        <v>47</v>
      </c>
      <c r="H214" t="s">
        <v>11</v>
      </c>
      <c r="I214" t="str">
        <f t="shared" si="3"/>
        <v>Baixa</v>
      </c>
    </row>
    <row r="215" spans="1:9">
      <c r="A215" t="s">
        <v>117</v>
      </c>
      <c r="B215">
        <v>2024</v>
      </c>
      <c r="C215">
        <v>1</v>
      </c>
      <c r="D215" t="s">
        <v>75</v>
      </c>
      <c r="E215" t="s">
        <v>78</v>
      </c>
      <c r="F215">
        <v>5.5</v>
      </c>
      <c r="G215">
        <v>61.1</v>
      </c>
      <c r="H215" t="s">
        <v>11</v>
      </c>
      <c r="I215" t="str">
        <f t="shared" si="3"/>
        <v>Média</v>
      </c>
    </row>
    <row r="216" spans="1:9">
      <c r="A216" t="s">
        <v>219</v>
      </c>
      <c r="B216">
        <v>2025</v>
      </c>
      <c r="C216">
        <v>2</v>
      </c>
      <c r="D216" t="s">
        <v>9</v>
      </c>
      <c r="E216" t="s">
        <v>12</v>
      </c>
      <c r="F216">
        <v>5.5</v>
      </c>
      <c r="G216">
        <v>55.6</v>
      </c>
      <c r="H216" t="s">
        <v>11</v>
      </c>
      <c r="I216" t="str">
        <f t="shared" si="3"/>
        <v>Média</v>
      </c>
    </row>
    <row r="217" spans="1:9">
      <c r="A217" t="s">
        <v>255</v>
      </c>
      <c r="B217">
        <v>2025</v>
      </c>
      <c r="C217">
        <v>2</v>
      </c>
      <c r="D217" t="s">
        <v>9</v>
      </c>
      <c r="E217" t="s">
        <v>14</v>
      </c>
      <c r="F217">
        <v>5.5</v>
      </c>
      <c r="G217">
        <v>50</v>
      </c>
      <c r="H217" t="s">
        <v>11</v>
      </c>
      <c r="I217" t="str">
        <f t="shared" si="3"/>
        <v>Média</v>
      </c>
    </row>
    <row r="218" spans="1:9">
      <c r="A218" t="s">
        <v>429</v>
      </c>
      <c r="B218">
        <v>2026</v>
      </c>
      <c r="C218">
        <v>1</v>
      </c>
      <c r="D218" t="s">
        <v>9</v>
      </c>
      <c r="E218" t="s">
        <v>14</v>
      </c>
      <c r="F218">
        <v>5.5</v>
      </c>
      <c r="G218">
        <v>99.3</v>
      </c>
      <c r="H218" t="s">
        <v>11</v>
      </c>
      <c r="I218" t="str">
        <f t="shared" si="3"/>
        <v>Alta</v>
      </c>
    </row>
    <row r="219" spans="1:9">
      <c r="A219" t="s">
        <v>556</v>
      </c>
      <c r="B219">
        <v>2026</v>
      </c>
      <c r="C219">
        <v>1</v>
      </c>
      <c r="D219" t="s">
        <v>139</v>
      </c>
      <c r="E219" t="s">
        <v>10</v>
      </c>
      <c r="F219">
        <v>5.5</v>
      </c>
      <c r="G219">
        <v>54.6</v>
      </c>
      <c r="H219" t="s">
        <v>11</v>
      </c>
      <c r="I219" t="str">
        <f t="shared" si="3"/>
        <v>Média</v>
      </c>
    </row>
    <row r="220" spans="1:9">
      <c r="A220" t="s">
        <v>415</v>
      </c>
      <c r="B220">
        <v>2026</v>
      </c>
      <c r="C220">
        <v>2</v>
      </c>
      <c r="D220" t="s">
        <v>9</v>
      </c>
      <c r="E220" t="s">
        <v>14</v>
      </c>
      <c r="F220">
        <v>5.5</v>
      </c>
      <c r="G220">
        <v>77.599999999999994</v>
      </c>
      <c r="H220" t="s">
        <v>11</v>
      </c>
      <c r="I220" t="str">
        <f t="shared" si="3"/>
        <v>Alta</v>
      </c>
    </row>
    <row r="221" spans="1:9">
      <c r="A221" t="s">
        <v>522</v>
      </c>
      <c r="B221">
        <v>2026</v>
      </c>
      <c r="C221">
        <v>2</v>
      </c>
      <c r="D221" t="s">
        <v>139</v>
      </c>
      <c r="E221" t="s">
        <v>140</v>
      </c>
      <c r="F221">
        <v>5.5</v>
      </c>
      <c r="G221">
        <v>58.3</v>
      </c>
      <c r="H221" t="s">
        <v>11</v>
      </c>
      <c r="I221" t="str">
        <f t="shared" si="3"/>
        <v>Média</v>
      </c>
    </row>
    <row r="222" spans="1:9">
      <c r="A222" t="s">
        <v>21</v>
      </c>
      <c r="B222">
        <v>2024</v>
      </c>
      <c r="C222">
        <v>1</v>
      </c>
      <c r="D222" t="s">
        <v>9</v>
      </c>
      <c r="E222" t="s">
        <v>12</v>
      </c>
      <c r="F222">
        <v>5.6</v>
      </c>
      <c r="G222">
        <v>48.8</v>
      </c>
      <c r="H222" t="s">
        <v>11</v>
      </c>
      <c r="I222" t="str">
        <f t="shared" si="3"/>
        <v>Baixa</v>
      </c>
    </row>
    <row r="223" spans="1:9">
      <c r="A223" t="s">
        <v>177</v>
      </c>
      <c r="B223">
        <v>2024</v>
      </c>
      <c r="C223">
        <v>1</v>
      </c>
      <c r="D223" t="s">
        <v>139</v>
      </c>
      <c r="E223" t="s">
        <v>10</v>
      </c>
      <c r="F223">
        <v>5.6</v>
      </c>
      <c r="G223">
        <v>56.6</v>
      </c>
      <c r="H223" t="s">
        <v>11</v>
      </c>
      <c r="I223" t="str">
        <f t="shared" si="3"/>
        <v>Média</v>
      </c>
    </row>
    <row r="224" spans="1:9">
      <c r="A224" t="s">
        <v>185</v>
      </c>
      <c r="B224">
        <v>2024</v>
      </c>
      <c r="C224">
        <v>1</v>
      </c>
      <c r="D224" t="s">
        <v>139</v>
      </c>
      <c r="E224" t="s">
        <v>140</v>
      </c>
      <c r="F224">
        <v>5.6</v>
      </c>
      <c r="G224">
        <v>66.2</v>
      </c>
      <c r="H224" t="s">
        <v>11</v>
      </c>
      <c r="I224" t="str">
        <f t="shared" si="3"/>
        <v>Média</v>
      </c>
    </row>
    <row r="225" spans="1:9">
      <c r="A225" t="s">
        <v>108</v>
      </c>
      <c r="B225">
        <v>2024</v>
      </c>
      <c r="C225">
        <v>2</v>
      </c>
      <c r="D225" t="s">
        <v>75</v>
      </c>
      <c r="E225" t="s">
        <v>78</v>
      </c>
      <c r="F225">
        <v>5.6</v>
      </c>
      <c r="G225">
        <v>51.4</v>
      </c>
      <c r="H225" t="s">
        <v>11</v>
      </c>
      <c r="I225" t="str">
        <f t="shared" si="3"/>
        <v>Média</v>
      </c>
    </row>
    <row r="226" spans="1:9">
      <c r="A226" t="s">
        <v>205</v>
      </c>
      <c r="B226">
        <v>2025</v>
      </c>
      <c r="C226">
        <v>2</v>
      </c>
      <c r="D226" t="s">
        <v>9</v>
      </c>
      <c r="E226" t="s">
        <v>10</v>
      </c>
      <c r="F226">
        <v>5.6</v>
      </c>
      <c r="G226">
        <v>69.900000000000006</v>
      </c>
      <c r="H226" t="s">
        <v>11</v>
      </c>
      <c r="I226" t="str">
        <f t="shared" si="3"/>
        <v>Média</v>
      </c>
    </row>
    <row r="227" spans="1:9">
      <c r="A227" t="s">
        <v>205</v>
      </c>
      <c r="B227">
        <v>2025</v>
      </c>
      <c r="C227">
        <v>2</v>
      </c>
      <c r="D227" t="s">
        <v>9</v>
      </c>
      <c r="E227" t="s">
        <v>14</v>
      </c>
      <c r="F227">
        <v>5.6</v>
      </c>
      <c r="G227">
        <v>49.5</v>
      </c>
      <c r="H227" t="s">
        <v>11</v>
      </c>
      <c r="I227" t="str">
        <f t="shared" si="3"/>
        <v>Baixa</v>
      </c>
    </row>
    <row r="228" spans="1:9">
      <c r="A228" t="s">
        <v>221</v>
      </c>
      <c r="B228">
        <v>2025</v>
      </c>
      <c r="C228">
        <v>2</v>
      </c>
      <c r="D228" t="s">
        <v>9</v>
      </c>
      <c r="E228" t="s">
        <v>10</v>
      </c>
      <c r="F228">
        <v>5.6</v>
      </c>
      <c r="G228">
        <v>51</v>
      </c>
      <c r="H228" t="s">
        <v>11</v>
      </c>
      <c r="I228" t="str">
        <f t="shared" si="3"/>
        <v>Média</v>
      </c>
    </row>
    <row r="229" spans="1:9">
      <c r="A229" t="s">
        <v>392</v>
      </c>
      <c r="B229">
        <v>2026</v>
      </c>
      <c r="C229">
        <v>1</v>
      </c>
      <c r="D229" t="s">
        <v>9</v>
      </c>
      <c r="E229" t="s">
        <v>12</v>
      </c>
      <c r="F229">
        <v>5.6</v>
      </c>
      <c r="G229">
        <v>67.2</v>
      </c>
      <c r="H229" t="s">
        <v>11</v>
      </c>
      <c r="I229" t="str">
        <f t="shared" si="3"/>
        <v>Média</v>
      </c>
    </row>
    <row r="230" spans="1:9">
      <c r="A230" t="s">
        <v>412</v>
      </c>
      <c r="B230">
        <v>2026</v>
      </c>
      <c r="C230">
        <v>2</v>
      </c>
      <c r="D230" t="s">
        <v>9</v>
      </c>
      <c r="E230" t="s">
        <v>12</v>
      </c>
      <c r="F230">
        <v>5.6</v>
      </c>
      <c r="G230">
        <v>53.7</v>
      </c>
      <c r="H230" t="s">
        <v>11</v>
      </c>
      <c r="I230" t="str">
        <f t="shared" si="3"/>
        <v>Média</v>
      </c>
    </row>
    <row r="231" spans="1:9">
      <c r="A231" t="s">
        <v>498</v>
      </c>
      <c r="B231">
        <v>2026</v>
      </c>
      <c r="C231">
        <v>2</v>
      </c>
      <c r="D231" t="s">
        <v>75</v>
      </c>
      <c r="E231" t="s">
        <v>78</v>
      </c>
      <c r="F231">
        <v>5.6</v>
      </c>
      <c r="G231">
        <v>59.1</v>
      </c>
      <c r="H231" t="s">
        <v>11</v>
      </c>
      <c r="I231" t="str">
        <f t="shared" si="3"/>
        <v>Média</v>
      </c>
    </row>
    <row r="232" spans="1:9">
      <c r="A232" t="s">
        <v>134</v>
      </c>
      <c r="B232">
        <v>2024</v>
      </c>
      <c r="C232">
        <v>1</v>
      </c>
      <c r="D232" t="s">
        <v>75</v>
      </c>
      <c r="E232" t="s">
        <v>78</v>
      </c>
      <c r="F232">
        <v>5.7</v>
      </c>
      <c r="G232">
        <v>61.5</v>
      </c>
      <c r="H232" t="s">
        <v>11</v>
      </c>
      <c r="I232" t="str">
        <f t="shared" si="3"/>
        <v>Média</v>
      </c>
    </row>
    <row r="233" spans="1:9">
      <c r="A233" t="s">
        <v>171</v>
      </c>
      <c r="B233">
        <v>2024</v>
      </c>
      <c r="C233">
        <v>1</v>
      </c>
      <c r="D233" t="s">
        <v>139</v>
      </c>
      <c r="E233" t="s">
        <v>140</v>
      </c>
      <c r="F233">
        <v>5.7</v>
      </c>
      <c r="G233">
        <v>75.7</v>
      </c>
      <c r="H233" t="s">
        <v>11</v>
      </c>
      <c r="I233" t="str">
        <f t="shared" si="3"/>
        <v>Alta</v>
      </c>
    </row>
    <row r="234" spans="1:9">
      <c r="A234" t="s">
        <v>174</v>
      </c>
      <c r="B234">
        <v>2024</v>
      </c>
      <c r="C234">
        <v>1</v>
      </c>
      <c r="D234" t="s">
        <v>139</v>
      </c>
      <c r="E234" t="s">
        <v>140</v>
      </c>
      <c r="F234">
        <v>5.7</v>
      </c>
      <c r="G234">
        <v>63.3</v>
      </c>
      <c r="H234" t="s">
        <v>11</v>
      </c>
      <c r="I234" t="str">
        <f t="shared" si="3"/>
        <v>Média</v>
      </c>
    </row>
    <row r="235" spans="1:9">
      <c r="A235" t="s">
        <v>195</v>
      </c>
      <c r="B235">
        <v>2024</v>
      </c>
      <c r="C235">
        <v>2</v>
      </c>
      <c r="D235" t="s">
        <v>139</v>
      </c>
      <c r="E235" t="s">
        <v>140</v>
      </c>
      <c r="F235">
        <v>5.7</v>
      </c>
      <c r="G235">
        <v>62.1</v>
      </c>
      <c r="H235" t="s">
        <v>11</v>
      </c>
      <c r="I235" t="str">
        <f t="shared" si="3"/>
        <v>Média</v>
      </c>
    </row>
    <row r="236" spans="1:9">
      <c r="A236" t="s">
        <v>217</v>
      </c>
      <c r="B236">
        <v>2025</v>
      </c>
      <c r="C236">
        <v>1</v>
      </c>
      <c r="D236" t="s">
        <v>9</v>
      </c>
      <c r="E236" t="s">
        <v>14</v>
      </c>
      <c r="F236">
        <v>5.7</v>
      </c>
      <c r="G236">
        <v>53.7</v>
      </c>
      <c r="H236" t="s">
        <v>11</v>
      </c>
      <c r="I236" t="str">
        <f t="shared" si="3"/>
        <v>Média</v>
      </c>
    </row>
    <row r="237" spans="1:9">
      <c r="A237" t="s">
        <v>273</v>
      </c>
      <c r="B237">
        <v>2025</v>
      </c>
      <c r="C237">
        <v>1</v>
      </c>
      <c r="D237" t="s">
        <v>75</v>
      </c>
      <c r="E237" t="s">
        <v>77</v>
      </c>
      <c r="F237">
        <v>5.7</v>
      </c>
      <c r="G237">
        <v>59.7</v>
      </c>
      <c r="H237" t="s">
        <v>11</v>
      </c>
      <c r="I237" t="str">
        <f t="shared" si="3"/>
        <v>Média</v>
      </c>
    </row>
    <row r="238" spans="1:9">
      <c r="A238" t="s">
        <v>256</v>
      </c>
      <c r="B238">
        <v>2025</v>
      </c>
      <c r="C238">
        <v>2</v>
      </c>
      <c r="D238" t="s">
        <v>9</v>
      </c>
      <c r="E238" t="s">
        <v>12</v>
      </c>
      <c r="F238">
        <v>5.7</v>
      </c>
      <c r="G238">
        <v>77.2</v>
      </c>
      <c r="H238" t="s">
        <v>11</v>
      </c>
      <c r="I238" t="str">
        <f t="shared" si="3"/>
        <v>Alta</v>
      </c>
    </row>
    <row r="239" spans="1:9">
      <c r="A239" t="s">
        <v>286</v>
      </c>
      <c r="B239">
        <v>2025</v>
      </c>
      <c r="C239">
        <v>2</v>
      </c>
      <c r="D239" t="s">
        <v>75</v>
      </c>
      <c r="E239" t="s">
        <v>78</v>
      </c>
      <c r="F239">
        <v>5.7</v>
      </c>
      <c r="G239">
        <v>46.4</v>
      </c>
      <c r="H239" t="s">
        <v>11</v>
      </c>
      <c r="I239" t="str">
        <f t="shared" si="3"/>
        <v>Baixa</v>
      </c>
    </row>
    <row r="240" spans="1:9">
      <c r="A240" t="s">
        <v>313</v>
      </c>
      <c r="B240">
        <v>2025</v>
      </c>
      <c r="C240">
        <v>2</v>
      </c>
      <c r="D240" t="s">
        <v>75</v>
      </c>
      <c r="E240" t="s">
        <v>77</v>
      </c>
      <c r="F240">
        <v>5.7</v>
      </c>
      <c r="G240">
        <v>63.3</v>
      </c>
      <c r="H240" t="s">
        <v>11</v>
      </c>
      <c r="I240" t="str">
        <f t="shared" si="3"/>
        <v>Média</v>
      </c>
    </row>
    <row r="241" spans="1:9">
      <c r="A241" t="s">
        <v>456</v>
      </c>
      <c r="B241">
        <v>2026</v>
      </c>
      <c r="C241">
        <v>1</v>
      </c>
      <c r="D241" t="s">
        <v>75</v>
      </c>
      <c r="E241" t="s">
        <v>78</v>
      </c>
      <c r="F241">
        <v>5.7</v>
      </c>
      <c r="G241">
        <v>56.6</v>
      </c>
      <c r="H241" t="s">
        <v>11</v>
      </c>
      <c r="I241" t="str">
        <f t="shared" si="3"/>
        <v>Média</v>
      </c>
    </row>
    <row r="242" spans="1:9">
      <c r="A242" t="s">
        <v>547</v>
      </c>
      <c r="B242">
        <v>2026</v>
      </c>
      <c r="C242">
        <v>1</v>
      </c>
      <c r="D242" t="s">
        <v>139</v>
      </c>
      <c r="E242" t="s">
        <v>140</v>
      </c>
      <c r="F242">
        <v>5.7</v>
      </c>
      <c r="G242">
        <v>67.8</v>
      </c>
      <c r="H242" t="s">
        <v>11</v>
      </c>
      <c r="I242" t="str">
        <f t="shared" si="3"/>
        <v>Média</v>
      </c>
    </row>
    <row r="243" spans="1:9">
      <c r="A243" t="s">
        <v>395</v>
      </c>
      <c r="B243">
        <v>2026</v>
      </c>
      <c r="C243">
        <v>2</v>
      </c>
      <c r="D243" t="s">
        <v>9</v>
      </c>
      <c r="E243" t="s">
        <v>14</v>
      </c>
      <c r="F243">
        <v>5.7</v>
      </c>
      <c r="G243">
        <v>46.6</v>
      </c>
      <c r="H243" t="s">
        <v>11</v>
      </c>
      <c r="I243" t="str">
        <f t="shared" si="3"/>
        <v>Baixa</v>
      </c>
    </row>
    <row r="244" spans="1:9">
      <c r="A244" t="s">
        <v>521</v>
      </c>
      <c r="B244">
        <v>2026</v>
      </c>
      <c r="C244">
        <v>2</v>
      </c>
      <c r="D244" t="s">
        <v>139</v>
      </c>
      <c r="E244" t="s">
        <v>140</v>
      </c>
      <c r="F244">
        <v>5.7</v>
      </c>
      <c r="G244">
        <v>49.1</v>
      </c>
      <c r="H244" t="s">
        <v>11</v>
      </c>
      <c r="I244" t="str">
        <f t="shared" si="3"/>
        <v>Baixa</v>
      </c>
    </row>
    <row r="245" spans="1:9">
      <c r="A245" t="s">
        <v>26</v>
      </c>
      <c r="B245">
        <v>2024</v>
      </c>
      <c r="C245">
        <v>1</v>
      </c>
      <c r="D245" t="s">
        <v>9</v>
      </c>
      <c r="E245" t="s">
        <v>12</v>
      </c>
      <c r="F245">
        <v>5.8</v>
      </c>
      <c r="G245">
        <v>73.3</v>
      </c>
      <c r="H245" t="s">
        <v>11</v>
      </c>
      <c r="I245" t="str">
        <f t="shared" si="3"/>
        <v>Média</v>
      </c>
    </row>
    <row r="246" spans="1:9">
      <c r="A246" t="s">
        <v>30</v>
      </c>
      <c r="B246">
        <v>2024</v>
      </c>
      <c r="C246">
        <v>1</v>
      </c>
      <c r="D246" t="s">
        <v>9</v>
      </c>
      <c r="E246" t="s">
        <v>12</v>
      </c>
      <c r="F246">
        <v>5.8</v>
      </c>
      <c r="G246">
        <v>62.3</v>
      </c>
      <c r="H246" t="s">
        <v>11</v>
      </c>
      <c r="I246" t="str">
        <f t="shared" si="3"/>
        <v>Média</v>
      </c>
    </row>
    <row r="247" spans="1:9">
      <c r="A247" t="s">
        <v>94</v>
      </c>
      <c r="B247">
        <v>2024</v>
      </c>
      <c r="C247">
        <v>1</v>
      </c>
      <c r="D247" t="s">
        <v>75</v>
      </c>
      <c r="E247" t="s">
        <v>76</v>
      </c>
      <c r="F247">
        <v>5.8</v>
      </c>
      <c r="G247">
        <v>46.3</v>
      </c>
      <c r="H247" t="s">
        <v>11</v>
      </c>
      <c r="I247" t="str">
        <f t="shared" si="3"/>
        <v>Baixa</v>
      </c>
    </row>
    <row r="248" spans="1:9">
      <c r="A248" t="s">
        <v>146</v>
      </c>
      <c r="B248">
        <v>2024</v>
      </c>
      <c r="C248">
        <v>1</v>
      </c>
      <c r="D248" t="s">
        <v>139</v>
      </c>
      <c r="E248" t="s">
        <v>140</v>
      </c>
      <c r="F248">
        <v>5.8</v>
      </c>
      <c r="G248">
        <v>62.8</v>
      </c>
      <c r="H248" t="s">
        <v>11</v>
      </c>
      <c r="I248" t="str">
        <f t="shared" si="3"/>
        <v>Média</v>
      </c>
    </row>
    <row r="249" spans="1:9">
      <c r="A249" t="s">
        <v>40</v>
      </c>
      <c r="B249">
        <v>2024</v>
      </c>
      <c r="C249">
        <v>2</v>
      </c>
      <c r="D249" t="s">
        <v>9</v>
      </c>
      <c r="E249" t="s">
        <v>12</v>
      </c>
      <c r="F249">
        <v>5.8</v>
      </c>
      <c r="G249">
        <v>50.1</v>
      </c>
      <c r="H249" t="s">
        <v>11</v>
      </c>
      <c r="I249" t="str">
        <f t="shared" si="3"/>
        <v>Média</v>
      </c>
    </row>
    <row r="250" spans="1:9">
      <c r="A250" t="s">
        <v>70</v>
      </c>
      <c r="B250">
        <v>2024</v>
      </c>
      <c r="C250">
        <v>2</v>
      </c>
      <c r="D250" t="s">
        <v>9</v>
      </c>
      <c r="E250" t="s">
        <v>12</v>
      </c>
      <c r="F250">
        <v>5.8</v>
      </c>
      <c r="G250">
        <v>48.9</v>
      </c>
      <c r="H250" t="s">
        <v>11</v>
      </c>
      <c r="I250" t="str">
        <f t="shared" si="3"/>
        <v>Baixa</v>
      </c>
    </row>
    <row r="251" spans="1:9">
      <c r="A251" t="s">
        <v>186</v>
      </c>
      <c r="B251">
        <v>2024</v>
      </c>
      <c r="C251">
        <v>2</v>
      </c>
      <c r="D251" t="s">
        <v>139</v>
      </c>
      <c r="E251" t="s">
        <v>140</v>
      </c>
      <c r="F251">
        <v>5.8</v>
      </c>
      <c r="G251">
        <v>78.8</v>
      </c>
      <c r="H251" t="s">
        <v>11</v>
      </c>
      <c r="I251" t="str">
        <f t="shared" si="3"/>
        <v>Alta</v>
      </c>
    </row>
    <row r="252" spans="1:9">
      <c r="A252" t="s">
        <v>236</v>
      </c>
      <c r="B252">
        <v>2025</v>
      </c>
      <c r="C252">
        <v>2</v>
      </c>
      <c r="D252" t="s">
        <v>9</v>
      </c>
      <c r="E252" t="s">
        <v>10</v>
      </c>
      <c r="F252">
        <v>5.8</v>
      </c>
      <c r="G252">
        <v>60.2</v>
      </c>
      <c r="H252" t="s">
        <v>11</v>
      </c>
      <c r="I252" t="str">
        <f t="shared" si="3"/>
        <v>Média</v>
      </c>
    </row>
    <row r="253" spans="1:9">
      <c r="A253" t="s">
        <v>341</v>
      </c>
      <c r="B253">
        <v>2025</v>
      </c>
      <c r="C253">
        <v>2</v>
      </c>
      <c r="D253" t="s">
        <v>139</v>
      </c>
      <c r="E253" t="s">
        <v>140</v>
      </c>
      <c r="F253">
        <v>5.8</v>
      </c>
      <c r="G253">
        <v>45.9</v>
      </c>
      <c r="H253" t="s">
        <v>11</v>
      </c>
      <c r="I253" t="str">
        <f t="shared" si="3"/>
        <v>Baixa</v>
      </c>
    </row>
    <row r="254" spans="1:9">
      <c r="A254" t="s">
        <v>374</v>
      </c>
      <c r="B254">
        <v>2025</v>
      </c>
      <c r="C254">
        <v>2</v>
      </c>
      <c r="D254" t="s">
        <v>139</v>
      </c>
      <c r="E254" t="s">
        <v>10</v>
      </c>
      <c r="F254">
        <v>5.8</v>
      </c>
      <c r="G254">
        <v>51.6</v>
      </c>
      <c r="H254" t="s">
        <v>11</v>
      </c>
      <c r="I254" t="str">
        <f t="shared" si="3"/>
        <v>Média</v>
      </c>
    </row>
    <row r="255" spans="1:9">
      <c r="A255" t="s">
        <v>382</v>
      </c>
      <c r="B255">
        <v>2026</v>
      </c>
      <c r="C255">
        <v>2</v>
      </c>
      <c r="D255" t="s">
        <v>9</v>
      </c>
      <c r="E255" t="s">
        <v>10</v>
      </c>
      <c r="F255">
        <v>5.8</v>
      </c>
      <c r="G255">
        <v>71.7</v>
      </c>
      <c r="H255" t="s">
        <v>11</v>
      </c>
      <c r="I255" t="str">
        <f t="shared" si="3"/>
        <v>Média</v>
      </c>
    </row>
    <row r="256" spans="1:9">
      <c r="A256" t="s">
        <v>392</v>
      </c>
      <c r="B256">
        <v>2026</v>
      </c>
      <c r="C256">
        <v>2</v>
      </c>
      <c r="D256" t="s">
        <v>9</v>
      </c>
      <c r="E256" t="s">
        <v>10</v>
      </c>
      <c r="F256">
        <v>5.8</v>
      </c>
      <c r="G256">
        <v>52.6</v>
      </c>
      <c r="H256" t="s">
        <v>11</v>
      </c>
      <c r="I256" t="str">
        <f t="shared" si="3"/>
        <v>Média</v>
      </c>
    </row>
    <row r="257" spans="1:9">
      <c r="A257" t="s">
        <v>43</v>
      </c>
      <c r="B257">
        <v>2024</v>
      </c>
      <c r="C257">
        <v>1</v>
      </c>
      <c r="D257" t="s">
        <v>9</v>
      </c>
      <c r="E257" t="s">
        <v>10</v>
      </c>
      <c r="F257">
        <v>5.9</v>
      </c>
      <c r="G257">
        <v>50.9</v>
      </c>
      <c r="H257" t="s">
        <v>11</v>
      </c>
      <c r="I257" t="str">
        <f t="shared" si="3"/>
        <v>Média</v>
      </c>
    </row>
    <row r="258" spans="1:9">
      <c r="A258" t="s">
        <v>257</v>
      </c>
      <c r="B258">
        <v>2025</v>
      </c>
      <c r="C258">
        <v>2</v>
      </c>
      <c r="D258" t="s">
        <v>9</v>
      </c>
      <c r="E258" t="s">
        <v>14</v>
      </c>
      <c r="F258">
        <v>5.9</v>
      </c>
      <c r="G258">
        <v>50.4</v>
      </c>
      <c r="H258" t="s">
        <v>11</v>
      </c>
      <c r="I258" t="str">
        <f t="shared" ref="I258:I321" si="4">IF(G258&lt;50,"Baixa",IF(G258&lt;75,"Média","Alta"))</f>
        <v>Média</v>
      </c>
    </row>
    <row r="259" spans="1:9">
      <c r="A259" t="s">
        <v>326</v>
      </c>
      <c r="B259">
        <v>2025</v>
      </c>
      <c r="C259">
        <v>2</v>
      </c>
      <c r="D259" t="s">
        <v>139</v>
      </c>
      <c r="E259" t="s">
        <v>140</v>
      </c>
      <c r="F259">
        <v>5.9</v>
      </c>
      <c r="G259">
        <v>67.8</v>
      </c>
      <c r="H259" t="s">
        <v>11</v>
      </c>
      <c r="I259" t="str">
        <f t="shared" si="4"/>
        <v>Média</v>
      </c>
    </row>
    <row r="260" spans="1:9">
      <c r="A260" t="s">
        <v>339</v>
      </c>
      <c r="B260">
        <v>2025</v>
      </c>
      <c r="C260">
        <v>2</v>
      </c>
      <c r="D260" t="s">
        <v>139</v>
      </c>
      <c r="E260" t="s">
        <v>141</v>
      </c>
      <c r="F260">
        <v>5.9</v>
      </c>
      <c r="G260">
        <v>87.1</v>
      </c>
      <c r="H260" t="s">
        <v>11</v>
      </c>
      <c r="I260" t="str">
        <f t="shared" si="4"/>
        <v>Alta</v>
      </c>
    </row>
    <row r="261" spans="1:9">
      <c r="A261" t="s">
        <v>346</v>
      </c>
      <c r="B261">
        <v>2025</v>
      </c>
      <c r="C261">
        <v>2</v>
      </c>
      <c r="D261" t="s">
        <v>139</v>
      </c>
      <c r="E261" t="s">
        <v>141</v>
      </c>
      <c r="F261">
        <v>5.9</v>
      </c>
      <c r="G261">
        <v>53.7</v>
      </c>
      <c r="H261" t="s">
        <v>11</v>
      </c>
      <c r="I261" t="str">
        <f t="shared" si="4"/>
        <v>Média</v>
      </c>
    </row>
    <row r="262" spans="1:9">
      <c r="A262" t="s">
        <v>387</v>
      </c>
      <c r="B262">
        <v>2026</v>
      </c>
      <c r="C262">
        <v>1</v>
      </c>
      <c r="D262" t="s">
        <v>9</v>
      </c>
      <c r="E262" t="s">
        <v>12</v>
      </c>
      <c r="F262">
        <v>5.9</v>
      </c>
      <c r="G262">
        <v>48.1</v>
      </c>
      <c r="H262" t="s">
        <v>11</v>
      </c>
      <c r="I262" t="str">
        <f t="shared" si="4"/>
        <v>Baixa</v>
      </c>
    </row>
    <row r="263" spans="1:9">
      <c r="A263" t="s">
        <v>511</v>
      </c>
      <c r="B263">
        <v>2026</v>
      </c>
      <c r="C263">
        <v>1</v>
      </c>
      <c r="D263" t="s">
        <v>139</v>
      </c>
      <c r="E263" t="s">
        <v>140</v>
      </c>
      <c r="F263">
        <v>5.9</v>
      </c>
      <c r="G263">
        <v>45.3</v>
      </c>
      <c r="H263" t="s">
        <v>11</v>
      </c>
      <c r="I263" t="str">
        <f t="shared" si="4"/>
        <v>Baixa</v>
      </c>
    </row>
    <row r="264" spans="1:9">
      <c r="A264" t="s">
        <v>528</v>
      </c>
      <c r="B264">
        <v>2026</v>
      </c>
      <c r="C264">
        <v>1</v>
      </c>
      <c r="D264" t="s">
        <v>139</v>
      </c>
      <c r="E264" t="s">
        <v>140</v>
      </c>
      <c r="F264">
        <v>5.9</v>
      </c>
      <c r="G264">
        <v>87.9</v>
      </c>
      <c r="H264" t="s">
        <v>11</v>
      </c>
      <c r="I264" t="str">
        <f t="shared" si="4"/>
        <v>Alta</v>
      </c>
    </row>
    <row r="265" spans="1:9">
      <c r="A265" t="s">
        <v>433</v>
      </c>
      <c r="B265">
        <v>2026</v>
      </c>
      <c r="C265">
        <v>2</v>
      </c>
      <c r="D265" t="s">
        <v>9</v>
      </c>
      <c r="E265" t="s">
        <v>10</v>
      </c>
      <c r="F265">
        <v>5.9</v>
      </c>
      <c r="G265">
        <v>67.5</v>
      </c>
      <c r="H265" t="s">
        <v>11</v>
      </c>
      <c r="I265" t="str">
        <f t="shared" si="4"/>
        <v>Média</v>
      </c>
    </row>
    <row r="266" spans="1:9">
      <c r="A266" t="s">
        <v>456</v>
      </c>
      <c r="B266">
        <v>2026</v>
      </c>
      <c r="C266">
        <v>2</v>
      </c>
      <c r="D266" t="s">
        <v>75</v>
      </c>
      <c r="E266" t="s">
        <v>78</v>
      </c>
      <c r="F266">
        <v>5.9</v>
      </c>
      <c r="G266">
        <v>96</v>
      </c>
      <c r="H266" t="s">
        <v>11</v>
      </c>
      <c r="I266" t="str">
        <f t="shared" si="4"/>
        <v>Alta</v>
      </c>
    </row>
    <row r="267" spans="1:9">
      <c r="A267" t="s">
        <v>464</v>
      </c>
      <c r="B267">
        <v>2026</v>
      </c>
      <c r="C267">
        <v>2</v>
      </c>
      <c r="D267" t="s">
        <v>75</v>
      </c>
      <c r="E267" t="s">
        <v>77</v>
      </c>
      <c r="F267">
        <v>5.9</v>
      </c>
      <c r="G267">
        <v>63.3</v>
      </c>
      <c r="H267" t="s">
        <v>11</v>
      </c>
      <c r="I267" t="str">
        <f t="shared" si="4"/>
        <v>Média</v>
      </c>
    </row>
    <row r="268" spans="1:9">
      <c r="A268" t="s">
        <v>29</v>
      </c>
      <c r="B268">
        <v>2024</v>
      </c>
      <c r="C268">
        <v>1</v>
      </c>
      <c r="D268" t="s">
        <v>9</v>
      </c>
      <c r="E268" t="s">
        <v>12</v>
      </c>
      <c r="F268">
        <v>6</v>
      </c>
      <c r="G268">
        <v>58.4</v>
      </c>
      <c r="H268" t="s">
        <v>11</v>
      </c>
      <c r="I268" t="str">
        <f t="shared" si="4"/>
        <v>Média</v>
      </c>
    </row>
    <row r="269" spans="1:9">
      <c r="A269" t="s">
        <v>64</v>
      </c>
      <c r="B269">
        <v>2024</v>
      </c>
      <c r="C269">
        <v>1</v>
      </c>
      <c r="D269" t="s">
        <v>9</v>
      </c>
      <c r="E269" t="s">
        <v>10</v>
      </c>
      <c r="F269">
        <v>6</v>
      </c>
      <c r="G269">
        <v>47</v>
      </c>
      <c r="H269" t="s">
        <v>11</v>
      </c>
      <c r="I269" t="str">
        <f t="shared" si="4"/>
        <v>Baixa</v>
      </c>
    </row>
    <row r="270" spans="1:9">
      <c r="A270" t="s">
        <v>196</v>
      </c>
      <c r="B270">
        <v>2024</v>
      </c>
      <c r="C270">
        <v>1</v>
      </c>
      <c r="D270" t="s">
        <v>139</v>
      </c>
      <c r="E270" t="s">
        <v>140</v>
      </c>
      <c r="F270">
        <v>6</v>
      </c>
      <c r="G270">
        <v>55.5</v>
      </c>
      <c r="H270" t="s">
        <v>11</v>
      </c>
      <c r="I270" t="str">
        <f t="shared" si="4"/>
        <v>Média</v>
      </c>
    </row>
    <row r="271" spans="1:9">
      <c r="A271" t="s">
        <v>115</v>
      </c>
      <c r="B271">
        <v>2024</v>
      </c>
      <c r="C271">
        <v>2</v>
      </c>
      <c r="D271" t="s">
        <v>75</v>
      </c>
      <c r="E271" t="s">
        <v>77</v>
      </c>
      <c r="F271">
        <v>6</v>
      </c>
      <c r="G271">
        <v>49.3</v>
      </c>
      <c r="H271" t="s">
        <v>11</v>
      </c>
      <c r="I271" t="str">
        <f t="shared" si="4"/>
        <v>Baixa</v>
      </c>
    </row>
    <row r="272" spans="1:9">
      <c r="A272" t="s">
        <v>130</v>
      </c>
      <c r="B272">
        <v>2024</v>
      </c>
      <c r="C272">
        <v>2</v>
      </c>
      <c r="D272" t="s">
        <v>75</v>
      </c>
      <c r="E272" t="s">
        <v>78</v>
      </c>
      <c r="F272">
        <v>6</v>
      </c>
      <c r="G272">
        <v>48.2</v>
      </c>
      <c r="H272" t="s">
        <v>11</v>
      </c>
      <c r="I272" t="str">
        <f t="shared" si="4"/>
        <v>Baixa</v>
      </c>
    </row>
    <row r="273" spans="1:9">
      <c r="A273" t="s">
        <v>163</v>
      </c>
      <c r="B273">
        <v>2024</v>
      </c>
      <c r="C273">
        <v>2</v>
      </c>
      <c r="D273" t="s">
        <v>139</v>
      </c>
      <c r="E273" t="s">
        <v>140</v>
      </c>
      <c r="F273">
        <v>6</v>
      </c>
      <c r="G273">
        <v>52.3</v>
      </c>
      <c r="H273" t="s">
        <v>11</v>
      </c>
      <c r="I273" t="str">
        <f t="shared" si="4"/>
        <v>Média</v>
      </c>
    </row>
    <row r="274" spans="1:9">
      <c r="A274" t="s">
        <v>183</v>
      </c>
      <c r="B274">
        <v>2024</v>
      </c>
      <c r="C274">
        <v>2</v>
      </c>
      <c r="D274" t="s">
        <v>139</v>
      </c>
      <c r="E274" t="s">
        <v>140</v>
      </c>
      <c r="F274">
        <v>6</v>
      </c>
      <c r="G274">
        <v>83.6</v>
      </c>
      <c r="H274" t="s">
        <v>11</v>
      </c>
      <c r="I274" t="str">
        <f t="shared" si="4"/>
        <v>Alta</v>
      </c>
    </row>
    <row r="275" spans="1:9">
      <c r="A275" t="s">
        <v>198</v>
      </c>
      <c r="B275">
        <v>2024</v>
      </c>
      <c r="C275">
        <v>2</v>
      </c>
      <c r="D275" t="s">
        <v>139</v>
      </c>
      <c r="E275" t="s">
        <v>140</v>
      </c>
      <c r="F275">
        <v>6</v>
      </c>
      <c r="G275">
        <v>60</v>
      </c>
      <c r="H275" t="s">
        <v>11</v>
      </c>
      <c r="I275" t="str">
        <f t="shared" si="4"/>
        <v>Média</v>
      </c>
    </row>
    <row r="276" spans="1:9">
      <c r="A276" t="s">
        <v>218</v>
      </c>
      <c r="B276">
        <v>2025</v>
      </c>
      <c r="C276">
        <v>1</v>
      </c>
      <c r="D276" t="s">
        <v>9</v>
      </c>
      <c r="E276" t="s">
        <v>12</v>
      </c>
      <c r="F276">
        <v>6</v>
      </c>
      <c r="G276">
        <v>89.5</v>
      </c>
      <c r="H276" t="s">
        <v>11</v>
      </c>
      <c r="I276" t="str">
        <f t="shared" si="4"/>
        <v>Alta</v>
      </c>
    </row>
    <row r="277" spans="1:9">
      <c r="A277" t="s">
        <v>229</v>
      </c>
      <c r="B277">
        <v>2025</v>
      </c>
      <c r="C277">
        <v>1</v>
      </c>
      <c r="D277" t="s">
        <v>9</v>
      </c>
      <c r="E277" t="s">
        <v>12</v>
      </c>
      <c r="F277">
        <v>6</v>
      </c>
      <c r="G277">
        <v>62.6</v>
      </c>
      <c r="H277" t="s">
        <v>11</v>
      </c>
      <c r="I277" t="str">
        <f t="shared" si="4"/>
        <v>Média</v>
      </c>
    </row>
    <row r="278" spans="1:9">
      <c r="A278" t="s">
        <v>311</v>
      </c>
      <c r="B278">
        <v>2025</v>
      </c>
      <c r="C278">
        <v>1</v>
      </c>
      <c r="D278" t="s">
        <v>75</v>
      </c>
      <c r="E278" t="s">
        <v>76</v>
      </c>
      <c r="F278">
        <v>6</v>
      </c>
      <c r="G278">
        <v>51</v>
      </c>
      <c r="H278" t="s">
        <v>11</v>
      </c>
      <c r="I278" t="str">
        <f t="shared" si="4"/>
        <v>Média</v>
      </c>
    </row>
    <row r="279" spans="1:9">
      <c r="A279" t="s">
        <v>369</v>
      </c>
      <c r="B279">
        <v>2025</v>
      </c>
      <c r="C279">
        <v>1</v>
      </c>
      <c r="D279" t="s">
        <v>139</v>
      </c>
      <c r="E279" t="s">
        <v>140</v>
      </c>
      <c r="F279">
        <v>6</v>
      </c>
      <c r="G279">
        <v>56.8</v>
      </c>
      <c r="H279" t="s">
        <v>11</v>
      </c>
      <c r="I279" t="str">
        <f t="shared" si="4"/>
        <v>Média</v>
      </c>
    </row>
    <row r="280" spans="1:9">
      <c r="A280" t="s">
        <v>238</v>
      </c>
      <c r="B280">
        <v>2025</v>
      </c>
      <c r="C280">
        <v>2</v>
      </c>
      <c r="D280" t="s">
        <v>9</v>
      </c>
      <c r="E280" t="s">
        <v>12</v>
      </c>
      <c r="F280">
        <v>6</v>
      </c>
      <c r="G280">
        <v>50.1</v>
      </c>
      <c r="H280" t="s">
        <v>11</v>
      </c>
      <c r="I280" t="str">
        <f t="shared" si="4"/>
        <v>Média</v>
      </c>
    </row>
    <row r="281" spans="1:9">
      <c r="A281" t="s">
        <v>397</v>
      </c>
      <c r="B281">
        <v>2026</v>
      </c>
      <c r="C281">
        <v>1</v>
      </c>
      <c r="D281" t="s">
        <v>9</v>
      </c>
      <c r="E281" t="s">
        <v>14</v>
      </c>
      <c r="F281">
        <v>6</v>
      </c>
      <c r="G281">
        <v>73.2</v>
      </c>
      <c r="H281" t="s">
        <v>11</v>
      </c>
      <c r="I281" t="str">
        <f t="shared" si="4"/>
        <v>Média</v>
      </c>
    </row>
    <row r="282" spans="1:9">
      <c r="A282" t="s">
        <v>439</v>
      </c>
      <c r="B282">
        <v>2026</v>
      </c>
      <c r="C282">
        <v>1</v>
      </c>
      <c r="D282" t="s">
        <v>9</v>
      </c>
      <c r="E282" t="s">
        <v>12</v>
      </c>
      <c r="F282">
        <v>6</v>
      </c>
      <c r="G282">
        <v>70.5</v>
      </c>
      <c r="H282" t="s">
        <v>11</v>
      </c>
      <c r="I282" t="str">
        <f t="shared" si="4"/>
        <v>Média</v>
      </c>
    </row>
    <row r="283" spans="1:9">
      <c r="A283" t="s">
        <v>533</v>
      </c>
      <c r="B283">
        <v>2026</v>
      </c>
      <c r="C283">
        <v>2</v>
      </c>
      <c r="D283" t="s">
        <v>139</v>
      </c>
      <c r="E283" t="s">
        <v>141</v>
      </c>
      <c r="F283">
        <v>6</v>
      </c>
      <c r="G283">
        <v>61.3</v>
      </c>
      <c r="H283" t="s">
        <v>11</v>
      </c>
      <c r="I283" t="str">
        <f t="shared" si="4"/>
        <v>Média</v>
      </c>
    </row>
    <row r="284" spans="1:9">
      <c r="A284" t="s">
        <v>538</v>
      </c>
      <c r="B284">
        <v>2026</v>
      </c>
      <c r="C284">
        <v>2</v>
      </c>
      <c r="D284" t="s">
        <v>139</v>
      </c>
      <c r="E284" t="s">
        <v>140</v>
      </c>
      <c r="F284">
        <v>6</v>
      </c>
      <c r="G284">
        <v>86.6</v>
      </c>
      <c r="H284" t="s">
        <v>11</v>
      </c>
      <c r="I284" t="str">
        <f t="shared" si="4"/>
        <v>Alta</v>
      </c>
    </row>
    <row r="285" spans="1:9">
      <c r="A285" t="s">
        <v>34</v>
      </c>
      <c r="B285">
        <v>2024</v>
      </c>
      <c r="C285">
        <v>2</v>
      </c>
      <c r="D285" t="s">
        <v>9</v>
      </c>
      <c r="E285" t="s">
        <v>10</v>
      </c>
      <c r="F285">
        <v>6.1</v>
      </c>
      <c r="G285">
        <v>51.1</v>
      </c>
      <c r="H285" t="s">
        <v>11</v>
      </c>
      <c r="I285" t="str">
        <f t="shared" si="4"/>
        <v>Média</v>
      </c>
    </row>
    <row r="286" spans="1:9">
      <c r="A286" t="s">
        <v>119</v>
      </c>
      <c r="B286">
        <v>2024</v>
      </c>
      <c r="C286">
        <v>2</v>
      </c>
      <c r="D286" t="s">
        <v>75</v>
      </c>
      <c r="E286" t="s">
        <v>78</v>
      </c>
      <c r="F286">
        <v>6.1</v>
      </c>
      <c r="G286">
        <v>50</v>
      </c>
      <c r="H286" t="s">
        <v>11</v>
      </c>
      <c r="I286" t="str">
        <f t="shared" si="4"/>
        <v>Média</v>
      </c>
    </row>
    <row r="287" spans="1:9">
      <c r="A287" t="s">
        <v>128</v>
      </c>
      <c r="B287">
        <v>2024</v>
      </c>
      <c r="C287">
        <v>2</v>
      </c>
      <c r="D287" t="s">
        <v>75</v>
      </c>
      <c r="E287" t="s">
        <v>78</v>
      </c>
      <c r="F287">
        <v>6.1</v>
      </c>
      <c r="G287">
        <v>85.6</v>
      </c>
      <c r="H287" t="s">
        <v>11</v>
      </c>
      <c r="I287" t="str">
        <f t="shared" si="4"/>
        <v>Alta</v>
      </c>
    </row>
    <row r="288" spans="1:9">
      <c r="A288" t="s">
        <v>264</v>
      </c>
      <c r="B288">
        <v>2025</v>
      </c>
      <c r="C288">
        <v>1</v>
      </c>
      <c r="D288" t="s">
        <v>75</v>
      </c>
      <c r="E288" t="s">
        <v>78</v>
      </c>
      <c r="F288">
        <v>6.1</v>
      </c>
      <c r="G288">
        <v>53.6</v>
      </c>
      <c r="H288" t="s">
        <v>11</v>
      </c>
      <c r="I288" t="str">
        <f t="shared" si="4"/>
        <v>Média</v>
      </c>
    </row>
    <row r="289" spans="1:9">
      <c r="A289" t="s">
        <v>267</v>
      </c>
      <c r="B289">
        <v>2025</v>
      </c>
      <c r="C289">
        <v>1</v>
      </c>
      <c r="D289" t="s">
        <v>75</v>
      </c>
      <c r="E289" t="s">
        <v>77</v>
      </c>
      <c r="F289">
        <v>6.1</v>
      </c>
      <c r="G289">
        <v>48</v>
      </c>
      <c r="H289" t="s">
        <v>11</v>
      </c>
      <c r="I289" t="str">
        <f t="shared" si="4"/>
        <v>Baixa</v>
      </c>
    </row>
    <row r="290" spans="1:9">
      <c r="A290" t="s">
        <v>318</v>
      </c>
      <c r="B290">
        <v>2025</v>
      </c>
      <c r="C290">
        <v>1</v>
      </c>
      <c r="D290" t="s">
        <v>75</v>
      </c>
      <c r="E290" t="s">
        <v>76</v>
      </c>
      <c r="F290">
        <v>6.1</v>
      </c>
      <c r="G290">
        <v>58.6</v>
      </c>
      <c r="H290" t="s">
        <v>11</v>
      </c>
      <c r="I290" t="str">
        <f t="shared" si="4"/>
        <v>Média</v>
      </c>
    </row>
    <row r="291" spans="1:9">
      <c r="A291" t="s">
        <v>371</v>
      </c>
      <c r="B291">
        <v>2025</v>
      </c>
      <c r="C291">
        <v>1</v>
      </c>
      <c r="D291" t="s">
        <v>139</v>
      </c>
      <c r="E291" t="s">
        <v>10</v>
      </c>
      <c r="F291">
        <v>6.1</v>
      </c>
      <c r="G291">
        <v>79.8</v>
      </c>
      <c r="H291" t="s">
        <v>11</v>
      </c>
      <c r="I291" t="str">
        <f t="shared" si="4"/>
        <v>Alta</v>
      </c>
    </row>
    <row r="292" spans="1:9">
      <c r="A292" t="s">
        <v>419</v>
      </c>
      <c r="B292">
        <v>2026</v>
      </c>
      <c r="C292">
        <v>1</v>
      </c>
      <c r="D292" t="s">
        <v>9</v>
      </c>
      <c r="E292" t="s">
        <v>14</v>
      </c>
      <c r="F292">
        <v>6.1</v>
      </c>
      <c r="G292">
        <v>66.599999999999994</v>
      </c>
      <c r="H292" t="s">
        <v>11</v>
      </c>
      <c r="I292" t="str">
        <f t="shared" si="4"/>
        <v>Média</v>
      </c>
    </row>
    <row r="293" spans="1:9">
      <c r="A293" t="s">
        <v>484</v>
      </c>
      <c r="B293">
        <v>2026</v>
      </c>
      <c r="C293">
        <v>1</v>
      </c>
      <c r="D293" t="s">
        <v>75</v>
      </c>
      <c r="E293" t="s">
        <v>78</v>
      </c>
      <c r="F293">
        <v>6.1</v>
      </c>
      <c r="G293">
        <v>71</v>
      </c>
      <c r="H293" t="s">
        <v>11</v>
      </c>
      <c r="I293" t="str">
        <f t="shared" si="4"/>
        <v>Média</v>
      </c>
    </row>
    <row r="294" spans="1:9">
      <c r="A294" t="s">
        <v>497</v>
      </c>
      <c r="B294">
        <v>2026</v>
      </c>
      <c r="C294">
        <v>1</v>
      </c>
      <c r="D294" t="s">
        <v>75</v>
      </c>
      <c r="E294" t="s">
        <v>78</v>
      </c>
      <c r="F294">
        <v>6.1</v>
      </c>
      <c r="G294">
        <v>49.6</v>
      </c>
      <c r="H294" t="s">
        <v>11</v>
      </c>
      <c r="I294" t="str">
        <f t="shared" si="4"/>
        <v>Baixa</v>
      </c>
    </row>
    <row r="295" spans="1:9">
      <c r="A295" t="s">
        <v>532</v>
      </c>
      <c r="B295">
        <v>2026</v>
      </c>
      <c r="C295">
        <v>1</v>
      </c>
      <c r="D295" t="s">
        <v>139</v>
      </c>
      <c r="E295" t="s">
        <v>141</v>
      </c>
      <c r="F295">
        <v>6.1</v>
      </c>
      <c r="G295">
        <v>70.7</v>
      </c>
      <c r="H295" t="s">
        <v>11</v>
      </c>
      <c r="I295" t="str">
        <f t="shared" si="4"/>
        <v>Média</v>
      </c>
    </row>
    <row r="296" spans="1:9">
      <c r="A296" t="s">
        <v>392</v>
      </c>
      <c r="B296">
        <v>2026</v>
      </c>
      <c r="C296">
        <v>2</v>
      </c>
      <c r="D296" t="s">
        <v>9</v>
      </c>
      <c r="E296" t="s">
        <v>14</v>
      </c>
      <c r="F296">
        <v>6.1</v>
      </c>
      <c r="G296">
        <v>67.099999999999994</v>
      </c>
      <c r="H296" t="s">
        <v>11</v>
      </c>
      <c r="I296" t="str">
        <f t="shared" si="4"/>
        <v>Média</v>
      </c>
    </row>
    <row r="297" spans="1:9">
      <c r="A297" t="s">
        <v>470</v>
      </c>
      <c r="B297">
        <v>2026</v>
      </c>
      <c r="C297">
        <v>2</v>
      </c>
      <c r="D297" t="s">
        <v>75</v>
      </c>
      <c r="E297" t="s">
        <v>77</v>
      </c>
      <c r="F297">
        <v>6.1</v>
      </c>
      <c r="G297">
        <v>58.8</v>
      </c>
      <c r="H297" t="s">
        <v>11</v>
      </c>
      <c r="I297" t="str">
        <f t="shared" si="4"/>
        <v>Média</v>
      </c>
    </row>
    <row r="298" spans="1:9">
      <c r="A298" t="s">
        <v>550</v>
      </c>
      <c r="B298">
        <v>2026</v>
      </c>
      <c r="C298">
        <v>2</v>
      </c>
      <c r="D298" t="s">
        <v>139</v>
      </c>
      <c r="E298" t="s">
        <v>140</v>
      </c>
      <c r="F298">
        <v>6.1</v>
      </c>
      <c r="G298">
        <v>65.900000000000006</v>
      </c>
      <c r="H298" t="s">
        <v>11</v>
      </c>
      <c r="I298" t="str">
        <f t="shared" si="4"/>
        <v>Média</v>
      </c>
    </row>
    <row r="299" spans="1:9">
      <c r="A299" t="s">
        <v>556</v>
      </c>
      <c r="B299">
        <v>2026</v>
      </c>
      <c r="C299">
        <v>2</v>
      </c>
      <c r="D299" t="s">
        <v>139</v>
      </c>
      <c r="E299" t="s">
        <v>10</v>
      </c>
      <c r="F299">
        <v>6.1</v>
      </c>
      <c r="G299">
        <v>49.1</v>
      </c>
      <c r="H299" t="s">
        <v>11</v>
      </c>
      <c r="I299" t="str">
        <f t="shared" si="4"/>
        <v>Baixa</v>
      </c>
    </row>
    <row r="300" spans="1:9">
      <c r="A300" t="s">
        <v>196</v>
      </c>
      <c r="B300">
        <v>2024</v>
      </c>
      <c r="C300">
        <v>1</v>
      </c>
      <c r="D300" t="s">
        <v>139</v>
      </c>
      <c r="E300" t="s">
        <v>10</v>
      </c>
      <c r="F300">
        <v>6.2</v>
      </c>
      <c r="G300">
        <v>48</v>
      </c>
      <c r="H300" t="s">
        <v>11</v>
      </c>
      <c r="I300" t="str">
        <f t="shared" si="4"/>
        <v>Baixa</v>
      </c>
    </row>
    <row r="301" spans="1:9">
      <c r="A301" t="s">
        <v>28</v>
      </c>
      <c r="B301">
        <v>2024</v>
      </c>
      <c r="C301">
        <v>2</v>
      </c>
      <c r="D301" t="s">
        <v>9</v>
      </c>
      <c r="E301" t="s">
        <v>10</v>
      </c>
      <c r="F301">
        <v>6.2</v>
      </c>
      <c r="G301">
        <v>59.7</v>
      </c>
      <c r="H301" t="s">
        <v>11</v>
      </c>
      <c r="I301" t="str">
        <f t="shared" si="4"/>
        <v>Média</v>
      </c>
    </row>
    <row r="302" spans="1:9">
      <c r="A302" t="s">
        <v>63</v>
      </c>
      <c r="B302">
        <v>2024</v>
      </c>
      <c r="C302">
        <v>2</v>
      </c>
      <c r="D302" t="s">
        <v>9</v>
      </c>
      <c r="E302" t="s">
        <v>12</v>
      </c>
      <c r="F302">
        <v>6.2</v>
      </c>
      <c r="G302">
        <v>46.6</v>
      </c>
      <c r="H302" t="s">
        <v>11</v>
      </c>
      <c r="I302" t="str">
        <f t="shared" si="4"/>
        <v>Baixa</v>
      </c>
    </row>
    <row r="303" spans="1:9">
      <c r="A303" t="s">
        <v>64</v>
      </c>
      <c r="B303">
        <v>2024</v>
      </c>
      <c r="C303">
        <v>2</v>
      </c>
      <c r="D303" t="s">
        <v>9</v>
      </c>
      <c r="E303" t="s">
        <v>10</v>
      </c>
      <c r="F303">
        <v>6.2</v>
      </c>
      <c r="G303">
        <v>47.4</v>
      </c>
      <c r="H303" t="s">
        <v>11</v>
      </c>
      <c r="I303" t="str">
        <f t="shared" si="4"/>
        <v>Baixa</v>
      </c>
    </row>
    <row r="304" spans="1:9">
      <c r="A304" t="s">
        <v>81</v>
      </c>
      <c r="B304">
        <v>2024</v>
      </c>
      <c r="C304">
        <v>2</v>
      </c>
      <c r="D304" t="s">
        <v>75</v>
      </c>
      <c r="E304" t="s">
        <v>76</v>
      </c>
      <c r="F304">
        <v>6.2</v>
      </c>
      <c r="G304">
        <v>53.4</v>
      </c>
      <c r="H304" t="s">
        <v>11</v>
      </c>
      <c r="I304" t="str">
        <f t="shared" si="4"/>
        <v>Média</v>
      </c>
    </row>
    <row r="305" spans="1:9">
      <c r="A305" t="s">
        <v>157</v>
      </c>
      <c r="B305">
        <v>2024</v>
      </c>
      <c r="C305">
        <v>2</v>
      </c>
      <c r="D305" t="s">
        <v>139</v>
      </c>
      <c r="E305" t="s">
        <v>10</v>
      </c>
      <c r="F305">
        <v>6.2</v>
      </c>
      <c r="G305">
        <v>57.1</v>
      </c>
      <c r="H305" t="s">
        <v>11</v>
      </c>
      <c r="I305" t="str">
        <f t="shared" si="4"/>
        <v>Média</v>
      </c>
    </row>
    <row r="306" spans="1:9">
      <c r="A306" t="s">
        <v>215</v>
      </c>
      <c r="B306">
        <v>2025</v>
      </c>
      <c r="C306">
        <v>1</v>
      </c>
      <c r="D306" t="s">
        <v>9</v>
      </c>
      <c r="E306" t="s">
        <v>12</v>
      </c>
      <c r="F306">
        <v>6.2</v>
      </c>
      <c r="G306">
        <v>88.3</v>
      </c>
      <c r="H306" t="s">
        <v>11</v>
      </c>
      <c r="I306" t="str">
        <f t="shared" si="4"/>
        <v>Alta</v>
      </c>
    </row>
    <row r="307" spans="1:9">
      <c r="A307" t="s">
        <v>236</v>
      </c>
      <c r="B307">
        <v>2025</v>
      </c>
      <c r="C307">
        <v>1</v>
      </c>
      <c r="D307" t="s">
        <v>9</v>
      </c>
      <c r="E307" t="s">
        <v>12</v>
      </c>
      <c r="F307">
        <v>6.2</v>
      </c>
      <c r="G307">
        <v>67.3</v>
      </c>
      <c r="H307" t="s">
        <v>11</v>
      </c>
      <c r="I307" t="str">
        <f t="shared" si="4"/>
        <v>Média</v>
      </c>
    </row>
    <row r="308" spans="1:9">
      <c r="A308" t="s">
        <v>260</v>
      </c>
      <c r="B308">
        <v>2025</v>
      </c>
      <c r="C308">
        <v>1</v>
      </c>
      <c r="D308" t="s">
        <v>9</v>
      </c>
      <c r="E308" t="s">
        <v>10</v>
      </c>
      <c r="F308">
        <v>6.2</v>
      </c>
      <c r="G308">
        <v>62</v>
      </c>
      <c r="H308" t="s">
        <v>11</v>
      </c>
      <c r="I308" t="str">
        <f t="shared" si="4"/>
        <v>Média</v>
      </c>
    </row>
    <row r="309" spans="1:9">
      <c r="A309" t="s">
        <v>201</v>
      </c>
      <c r="B309">
        <v>2025</v>
      </c>
      <c r="C309">
        <v>2</v>
      </c>
      <c r="D309" t="s">
        <v>9</v>
      </c>
      <c r="E309" t="s">
        <v>10</v>
      </c>
      <c r="F309">
        <v>6.2</v>
      </c>
      <c r="G309">
        <v>65.3</v>
      </c>
      <c r="H309" t="s">
        <v>11</v>
      </c>
      <c r="I309" t="str">
        <f t="shared" si="4"/>
        <v>Média</v>
      </c>
    </row>
    <row r="310" spans="1:9">
      <c r="A310" t="s">
        <v>237</v>
      </c>
      <c r="B310">
        <v>2025</v>
      </c>
      <c r="C310">
        <v>2</v>
      </c>
      <c r="D310" t="s">
        <v>9</v>
      </c>
      <c r="E310" t="s">
        <v>10</v>
      </c>
      <c r="F310">
        <v>6.2</v>
      </c>
      <c r="G310">
        <v>57.9</v>
      </c>
      <c r="H310" t="s">
        <v>11</v>
      </c>
      <c r="I310" t="str">
        <f t="shared" si="4"/>
        <v>Média</v>
      </c>
    </row>
    <row r="311" spans="1:9">
      <c r="A311" t="s">
        <v>307</v>
      </c>
      <c r="B311">
        <v>2025</v>
      </c>
      <c r="C311">
        <v>2</v>
      </c>
      <c r="D311" t="s">
        <v>75</v>
      </c>
      <c r="E311" t="s">
        <v>77</v>
      </c>
      <c r="F311">
        <v>6.2</v>
      </c>
      <c r="G311">
        <v>61.8</v>
      </c>
      <c r="H311" t="s">
        <v>11</v>
      </c>
      <c r="I311" t="str">
        <f t="shared" si="4"/>
        <v>Média</v>
      </c>
    </row>
    <row r="312" spans="1:9">
      <c r="A312" t="s">
        <v>413</v>
      </c>
      <c r="B312">
        <v>2026</v>
      </c>
      <c r="C312">
        <v>1</v>
      </c>
      <c r="D312" t="s">
        <v>9</v>
      </c>
      <c r="E312" t="s">
        <v>10</v>
      </c>
      <c r="F312">
        <v>6.2</v>
      </c>
      <c r="G312">
        <v>45.4</v>
      </c>
      <c r="H312" t="s">
        <v>11</v>
      </c>
      <c r="I312" t="str">
        <f t="shared" si="4"/>
        <v>Baixa</v>
      </c>
    </row>
    <row r="313" spans="1:9">
      <c r="A313" t="s">
        <v>447</v>
      </c>
      <c r="B313">
        <v>2026</v>
      </c>
      <c r="C313">
        <v>1</v>
      </c>
      <c r="D313" t="s">
        <v>75</v>
      </c>
      <c r="E313" t="s">
        <v>78</v>
      </c>
      <c r="F313">
        <v>6.2</v>
      </c>
      <c r="G313">
        <v>60.4</v>
      </c>
      <c r="H313" t="s">
        <v>11</v>
      </c>
      <c r="I313" t="str">
        <f t="shared" si="4"/>
        <v>Média</v>
      </c>
    </row>
    <row r="314" spans="1:9">
      <c r="A314" t="s">
        <v>472</v>
      </c>
      <c r="B314">
        <v>2026</v>
      </c>
      <c r="C314">
        <v>1</v>
      </c>
      <c r="D314" t="s">
        <v>75</v>
      </c>
      <c r="E314" t="s">
        <v>77</v>
      </c>
      <c r="F314">
        <v>6.2</v>
      </c>
      <c r="G314">
        <v>48.5</v>
      </c>
      <c r="H314" t="s">
        <v>11</v>
      </c>
      <c r="I314" t="str">
        <f t="shared" si="4"/>
        <v>Baixa</v>
      </c>
    </row>
    <row r="315" spans="1:9">
      <c r="A315" t="s">
        <v>558</v>
      </c>
      <c r="B315">
        <v>2026</v>
      </c>
      <c r="C315">
        <v>1</v>
      </c>
      <c r="D315" t="s">
        <v>139</v>
      </c>
      <c r="E315" t="s">
        <v>10</v>
      </c>
      <c r="F315">
        <v>6.2</v>
      </c>
      <c r="G315">
        <v>65.2</v>
      </c>
      <c r="H315" t="s">
        <v>11</v>
      </c>
      <c r="I315" t="str">
        <f t="shared" si="4"/>
        <v>Média</v>
      </c>
    </row>
    <row r="316" spans="1:9">
      <c r="A316" t="s">
        <v>560</v>
      </c>
      <c r="B316">
        <v>2026</v>
      </c>
      <c r="C316">
        <v>2</v>
      </c>
      <c r="D316" t="s">
        <v>139</v>
      </c>
      <c r="E316" t="s">
        <v>140</v>
      </c>
      <c r="F316">
        <v>6.2</v>
      </c>
      <c r="G316">
        <v>56.6</v>
      </c>
      <c r="H316" t="s">
        <v>11</v>
      </c>
      <c r="I316" t="str">
        <f t="shared" si="4"/>
        <v>Média</v>
      </c>
    </row>
    <row r="317" spans="1:9">
      <c r="A317" t="s">
        <v>15</v>
      </c>
      <c r="B317">
        <v>2024</v>
      </c>
      <c r="C317">
        <v>1</v>
      </c>
      <c r="D317" t="s">
        <v>9</v>
      </c>
      <c r="E317" t="s">
        <v>12</v>
      </c>
      <c r="F317">
        <v>6.3</v>
      </c>
      <c r="G317">
        <v>50.7</v>
      </c>
      <c r="H317" t="s">
        <v>11</v>
      </c>
      <c r="I317" t="str">
        <f t="shared" si="4"/>
        <v>Média</v>
      </c>
    </row>
    <row r="318" spans="1:9">
      <c r="A318" t="s">
        <v>41</v>
      </c>
      <c r="B318">
        <v>2024</v>
      </c>
      <c r="C318">
        <v>1</v>
      </c>
      <c r="D318" t="s">
        <v>9</v>
      </c>
      <c r="E318" t="s">
        <v>14</v>
      </c>
      <c r="F318">
        <v>6.3</v>
      </c>
      <c r="G318">
        <v>52.1</v>
      </c>
      <c r="H318" t="s">
        <v>11</v>
      </c>
      <c r="I318" t="str">
        <f t="shared" si="4"/>
        <v>Média</v>
      </c>
    </row>
    <row r="319" spans="1:9">
      <c r="A319" t="s">
        <v>129</v>
      </c>
      <c r="B319">
        <v>2024</v>
      </c>
      <c r="C319">
        <v>1</v>
      </c>
      <c r="D319" t="s">
        <v>75</v>
      </c>
      <c r="E319" t="s">
        <v>76</v>
      </c>
      <c r="F319">
        <v>6.3</v>
      </c>
      <c r="G319">
        <v>49.8</v>
      </c>
      <c r="H319" t="s">
        <v>11</v>
      </c>
      <c r="I319" t="str">
        <f t="shared" si="4"/>
        <v>Baixa</v>
      </c>
    </row>
    <row r="320" spans="1:9">
      <c r="A320" t="s">
        <v>18</v>
      </c>
      <c r="B320">
        <v>2024</v>
      </c>
      <c r="C320">
        <v>2</v>
      </c>
      <c r="D320" t="s">
        <v>9</v>
      </c>
      <c r="E320" t="s">
        <v>12</v>
      </c>
      <c r="F320">
        <v>6.3</v>
      </c>
      <c r="G320">
        <v>48.4</v>
      </c>
      <c r="H320" t="s">
        <v>11</v>
      </c>
      <c r="I320" t="str">
        <f t="shared" si="4"/>
        <v>Baixa</v>
      </c>
    </row>
    <row r="321" spans="1:9">
      <c r="A321" t="s">
        <v>20</v>
      </c>
      <c r="B321">
        <v>2024</v>
      </c>
      <c r="C321">
        <v>2</v>
      </c>
      <c r="D321" t="s">
        <v>9</v>
      </c>
      <c r="E321" t="s">
        <v>10</v>
      </c>
      <c r="F321">
        <v>6.3</v>
      </c>
      <c r="G321">
        <v>49.8</v>
      </c>
      <c r="H321" t="s">
        <v>11</v>
      </c>
      <c r="I321" t="str">
        <f t="shared" si="4"/>
        <v>Baixa</v>
      </c>
    </row>
    <row r="322" spans="1:9">
      <c r="A322" t="s">
        <v>31</v>
      </c>
      <c r="B322">
        <v>2024</v>
      </c>
      <c r="C322">
        <v>2</v>
      </c>
      <c r="D322" t="s">
        <v>9</v>
      </c>
      <c r="E322" t="s">
        <v>14</v>
      </c>
      <c r="F322">
        <v>6.3</v>
      </c>
      <c r="G322">
        <v>98.4</v>
      </c>
      <c r="H322" t="s">
        <v>11</v>
      </c>
      <c r="I322" t="str">
        <f t="shared" ref="I322:I385" si="5">IF(G322&lt;50,"Baixa",IF(G322&lt;75,"Média","Alta"))</f>
        <v>Alta</v>
      </c>
    </row>
    <row r="323" spans="1:9">
      <c r="A323" t="s">
        <v>72</v>
      </c>
      <c r="B323">
        <v>2024</v>
      </c>
      <c r="C323">
        <v>2</v>
      </c>
      <c r="D323" t="s">
        <v>9</v>
      </c>
      <c r="E323" t="s">
        <v>14</v>
      </c>
      <c r="F323">
        <v>6.3</v>
      </c>
      <c r="G323">
        <v>84.9</v>
      </c>
      <c r="H323" t="s">
        <v>11</v>
      </c>
      <c r="I323" t="str">
        <f t="shared" si="5"/>
        <v>Alta</v>
      </c>
    </row>
    <row r="324" spans="1:9">
      <c r="A324" t="s">
        <v>137</v>
      </c>
      <c r="B324">
        <v>2024</v>
      </c>
      <c r="C324">
        <v>2</v>
      </c>
      <c r="D324" t="s">
        <v>75</v>
      </c>
      <c r="E324" t="s">
        <v>76</v>
      </c>
      <c r="F324">
        <v>6.3</v>
      </c>
      <c r="G324">
        <v>78.599999999999994</v>
      </c>
      <c r="H324" t="s">
        <v>11</v>
      </c>
      <c r="I324" t="str">
        <f t="shared" si="5"/>
        <v>Alta</v>
      </c>
    </row>
    <row r="325" spans="1:9">
      <c r="A325" t="s">
        <v>143</v>
      </c>
      <c r="B325">
        <v>2024</v>
      </c>
      <c r="C325">
        <v>2</v>
      </c>
      <c r="D325" t="s">
        <v>139</v>
      </c>
      <c r="E325" t="s">
        <v>10</v>
      </c>
      <c r="F325">
        <v>6.3</v>
      </c>
      <c r="G325">
        <v>50.4</v>
      </c>
      <c r="H325" t="s">
        <v>11</v>
      </c>
      <c r="I325" t="str">
        <f t="shared" si="5"/>
        <v>Média</v>
      </c>
    </row>
    <row r="326" spans="1:9">
      <c r="A326" t="s">
        <v>194</v>
      </c>
      <c r="B326">
        <v>2024</v>
      </c>
      <c r="C326">
        <v>2</v>
      </c>
      <c r="D326" t="s">
        <v>139</v>
      </c>
      <c r="E326" t="s">
        <v>141</v>
      </c>
      <c r="F326">
        <v>6.3</v>
      </c>
      <c r="G326">
        <v>49.5</v>
      </c>
      <c r="H326" t="s">
        <v>11</v>
      </c>
      <c r="I326" t="str">
        <f t="shared" si="5"/>
        <v>Baixa</v>
      </c>
    </row>
    <row r="327" spans="1:9">
      <c r="A327" t="s">
        <v>233</v>
      </c>
      <c r="B327">
        <v>2025</v>
      </c>
      <c r="C327">
        <v>1</v>
      </c>
      <c r="D327" t="s">
        <v>9</v>
      </c>
      <c r="E327" t="s">
        <v>10</v>
      </c>
      <c r="F327">
        <v>6.3</v>
      </c>
      <c r="G327">
        <v>90.6</v>
      </c>
      <c r="H327" t="s">
        <v>11</v>
      </c>
      <c r="I327" t="str">
        <f t="shared" si="5"/>
        <v>Alta</v>
      </c>
    </row>
    <row r="328" spans="1:9">
      <c r="A328" t="s">
        <v>242</v>
      </c>
      <c r="B328">
        <v>2025</v>
      </c>
      <c r="C328">
        <v>1</v>
      </c>
      <c r="D328" t="s">
        <v>9</v>
      </c>
      <c r="E328" t="s">
        <v>12</v>
      </c>
      <c r="F328">
        <v>6.3</v>
      </c>
      <c r="G328">
        <v>48.7</v>
      </c>
      <c r="H328" t="s">
        <v>11</v>
      </c>
      <c r="I328" t="str">
        <f t="shared" si="5"/>
        <v>Baixa</v>
      </c>
    </row>
    <row r="329" spans="1:9">
      <c r="A329" t="s">
        <v>232</v>
      </c>
      <c r="B329">
        <v>2025</v>
      </c>
      <c r="C329">
        <v>2</v>
      </c>
      <c r="D329" t="s">
        <v>9</v>
      </c>
      <c r="E329" t="s">
        <v>14</v>
      </c>
      <c r="F329">
        <v>6.3</v>
      </c>
      <c r="G329">
        <v>51.9</v>
      </c>
      <c r="H329" t="s">
        <v>11</v>
      </c>
      <c r="I329" t="str">
        <f t="shared" si="5"/>
        <v>Média</v>
      </c>
    </row>
    <row r="330" spans="1:9">
      <c r="A330" t="s">
        <v>294</v>
      </c>
      <c r="B330">
        <v>2025</v>
      </c>
      <c r="C330">
        <v>2</v>
      </c>
      <c r="D330" t="s">
        <v>75</v>
      </c>
      <c r="E330" t="s">
        <v>78</v>
      </c>
      <c r="F330">
        <v>6.3</v>
      </c>
      <c r="G330">
        <v>55.2</v>
      </c>
      <c r="H330" t="s">
        <v>11</v>
      </c>
      <c r="I330" t="str">
        <f t="shared" si="5"/>
        <v>Média</v>
      </c>
    </row>
    <row r="331" spans="1:9">
      <c r="A331" t="s">
        <v>342</v>
      </c>
      <c r="B331">
        <v>2025</v>
      </c>
      <c r="C331">
        <v>2</v>
      </c>
      <c r="D331" t="s">
        <v>139</v>
      </c>
      <c r="E331" t="s">
        <v>140</v>
      </c>
      <c r="F331">
        <v>6.3</v>
      </c>
      <c r="G331">
        <v>45.7</v>
      </c>
      <c r="H331" t="s">
        <v>11</v>
      </c>
      <c r="I331" t="str">
        <f t="shared" si="5"/>
        <v>Baixa</v>
      </c>
    </row>
    <row r="332" spans="1:9">
      <c r="A332" t="s">
        <v>453</v>
      </c>
      <c r="B332">
        <v>2026</v>
      </c>
      <c r="C332">
        <v>1</v>
      </c>
      <c r="D332" t="s">
        <v>75</v>
      </c>
      <c r="E332" t="s">
        <v>78</v>
      </c>
      <c r="F332">
        <v>6.3</v>
      </c>
      <c r="G332">
        <v>78.3</v>
      </c>
      <c r="H332" t="s">
        <v>11</v>
      </c>
      <c r="I332" t="str">
        <f t="shared" si="5"/>
        <v>Alta</v>
      </c>
    </row>
    <row r="333" spans="1:9">
      <c r="A333" t="s">
        <v>496</v>
      </c>
      <c r="B333">
        <v>2026</v>
      </c>
      <c r="C333">
        <v>1</v>
      </c>
      <c r="D333" t="s">
        <v>75</v>
      </c>
      <c r="E333" t="s">
        <v>78</v>
      </c>
      <c r="F333">
        <v>6.3</v>
      </c>
      <c r="G333">
        <v>81.099999999999994</v>
      </c>
      <c r="H333" t="s">
        <v>11</v>
      </c>
      <c r="I333" t="str">
        <f t="shared" si="5"/>
        <v>Alta</v>
      </c>
    </row>
    <row r="334" spans="1:9">
      <c r="A334" t="s">
        <v>512</v>
      </c>
      <c r="B334">
        <v>2026</v>
      </c>
      <c r="C334">
        <v>1</v>
      </c>
      <c r="D334" t="s">
        <v>139</v>
      </c>
      <c r="E334" t="s">
        <v>141</v>
      </c>
      <c r="F334">
        <v>6.3</v>
      </c>
      <c r="G334">
        <v>62.4</v>
      </c>
      <c r="H334" t="s">
        <v>11</v>
      </c>
      <c r="I334" t="str">
        <f t="shared" si="5"/>
        <v>Média</v>
      </c>
    </row>
    <row r="335" spans="1:9">
      <c r="A335" t="s">
        <v>544</v>
      </c>
      <c r="B335">
        <v>2026</v>
      </c>
      <c r="C335">
        <v>1</v>
      </c>
      <c r="D335" t="s">
        <v>139</v>
      </c>
      <c r="E335" t="s">
        <v>140</v>
      </c>
      <c r="F335">
        <v>6.3</v>
      </c>
      <c r="G335">
        <v>53.5</v>
      </c>
      <c r="H335" t="s">
        <v>11</v>
      </c>
      <c r="I335" t="str">
        <f t="shared" si="5"/>
        <v>Média</v>
      </c>
    </row>
    <row r="336" spans="1:9">
      <c r="A336" t="s">
        <v>412</v>
      </c>
      <c r="B336">
        <v>2026</v>
      </c>
      <c r="C336">
        <v>2</v>
      </c>
      <c r="D336" t="s">
        <v>9</v>
      </c>
      <c r="E336" t="s">
        <v>10</v>
      </c>
      <c r="F336">
        <v>6.3</v>
      </c>
      <c r="G336">
        <v>46.9</v>
      </c>
      <c r="H336" t="s">
        <v>11</v>
      </c>
      <c r="I336" t="str">
        <f t="shared" si="5"/>
        <v>Baixa</v>
      </c>
    </row>
    <row r="337" spans="1:9">
      <c r="A337" t="s">
        <v>434</v>
      </c>
      <c r="B337">
        <v>2026</v>
      </c>
      <c r="C337">
        <v>2</v>
      </c>
      <c r="D337" t="s">
        <v>9</v>
      </c>
      <c r="E337" t="s">
        <v>10</v>
      </c>
      <c r="F337">
        <v>6.3</v>
      </c>
      <c r="G337">
        <v>53.1</v>
      </c>
      <c r="H337" t="s">
        <v>11</v>
      </c>
      <c r="I337" t="str">
        <f t="shared" si="5"/>
        <v>Média</v>
      </c>
    </row>
    <row r="338" spans="1:9">
      <c r="A338" t="s">
        <v>547</v>
      </c>
      <c r="B338">
        <v>2026</v>
      </c>
      <c r="C338">
        <v>2</v>
      </c>
      <c r="D338" t="s">
        <v>139</v>
      </c>
      <c r="E338" t="s">
        <v>141</v>
      </c>
      <c r="F338">
        <v>6.3</v>
      </c>
      <c r="G338">
        <v>62.7</v>
      </c>
      <c r="H338" t="s">
        <v>11</v>
      </c>
      <c r="I338" t="str">
        <f t="shared" si="5"/>
        <v>Média</v>
      </c>
    </row>
    <row r="339" spans="1:9">
      <c r="A339" t="s">
        <v>558</v>
      </c>
      <c r="B339">
        <v>2026</v>
      </c>
      <c r="C339">
        <v>2</v>
      </c>
      <c r="D339" t="s">
        <v>139</v>
      </c>
      <c r="E339" t="s">
        <v>10</v>
      </c>
      <c r="F339">
        <v>6.3</v>
      </c>
      <c r="G339">
        <v>67.2</v>
      </c>
      <c r="H339" t="s">
        <v>11</v>
      </c>
      <c r="I339" t="str">
        <f t="shared" si="5"/>
        <v>Média</v>
      </c>
    </row>
    <row r="340" spans="1:9">
      <c r="A340" t="s">
        <v>63</v>
      </c>
      <c r="B340">
        <v>2024</v>
      </c>
      <c r="C340">
        <v>1</v>
      </c>
      <c r="D340" t="s">
        <v>9</v>
      </c>
      <c r="E340" t="s">
        <v>12</v>
      </c>
      <c r="F340">
        <v>6.4</v>
      </c>
      <c r="G340">
        <v>62.2</v>
      </c>
      <c r="H340" t="s">
        <v>11</v>
      </c>
      <c r="I340" t="str">
        <f t="shared" si="5"/>
        <v>Média</v>
      </c>
    </row>
    <row r="341" spans="1:9">
      <c r="A341" t="s">
        <v>128</v>
      </c>
      <c r="B341">
        <v>2024</v>
      </c>
      <c r="C341">
        <v>1</v>
      </c>
      <c r="D341" t="s">
        <v>75</v>
      </c>
      <c r="E341" t="s">
        <v>78</v>
      </c>
      <c r="F341">
        <v>6.4</v>
      </c>
      <c r="G341">
        <v>54.9</v>
      </c>
      <c r="H341" t="s">
        <v>11</v>
      </c>
      <c r="I341" t="str">
        <f t="shared" si="5"/>
        <v>Média</v>
      </c>
    </row>
    <row r="342" spans="1:9">
      <c r="A342" t="s">
        <v>188</v>
      </c>
      <c r="B342">
        <v>2024</v>
      </c>
      <c r="C342">
        <v>1</v>
      </c>
      <c r="D342" t="s">
        <v>139</v>
      </c>
      <c r="E342" t="s">
        <v>140</v>
      </c>
      <c r="F342">
        <v>6.4</v>
      </c>
      <c r="G342">
        <v>47.9</v>
      </c>
      <c r="H342" t="s">
        <v>11</v>
      </c>
      <c r="I342" t="str">
        <f t="shared" si="5"/>
        <v>Baixa</v>
      </c>
    </row>
    <row r="343" spans="1:9">
      <c r="A343" t="s">
        <v>15</v>
      </c>
      <c r="B343">
        <v>2024</v>
      </c>
      <c r="C343">
        <v>2</v>
      </c>
      <c r="D343" t="s">
        <v>9</v>
      </c>
      <c r="E343" t="s">
        <v>14</v>
      </c>
      <c r="F343">
        <v>6.4</v>
      </c>
      <c r="G343">
        <v>62.5</v>
      </c>
      <c r="H343" t="s">
        <v>11</v>
      </c>
      <c r="I343" t="str">
        <f t="shared" si="5"/>
        <v>Média</v>
      </c>
    </row>
    <row r="344" spans="1:9">
      <c r="A344" t="s">
        <v>51</v>
      </c>
      <c r="B344">
        <v>2024</v>
      </c>
      <c r="C344">
        <v>2</v>
      </c>
      <c r="D344" t="s">
        <v>9</v>
      </c>
      <c r="E344" t="s">
        <v>14</v>
      </c>
      <c r="F344">
        <v>6.4</v>
      </c>
      <c r="G344">
        <v>93.9</v>
      </c>
      <c r="H344" t="s">
        <v>11</v>
      </c>
      <c r="I344" t="str">
        <f t="shared" si="5"/>
        <v>Alta</v>
      </c>
    </row>
    <row r="345" spans="1:9">
      <c r="A345" t="s">
        <v>62</v>
      </c>
      <c r="B345">
        <v>2024</v>
      </c>
      <c r="C345">
        <v>2</v>
      </c>
      <c r="D345" t="s">
        <v>9</v>
      </c>
      <c r="E345" t="s">
        <v>14</v>
      </c>
      <c r="F345">
        <v>6.4</v>
      </c>
      <c r="G345">
        <v>57.9</v>
      </c>
      <c r="H345" t="s">
        <v>11</v>
      </c>
      <c r="I345" t="str">
        <f t="shared" si="5"/>
        <v>Média</v>
      </c>
    </row>
    <row r="346" spans="1:9">
      <c r="A346" t="s">
        <v>279</v>
      </c>
      <c r="B346">
        <v>2025</v>
      </c>
      <c r="C346">
        <v>1</v>
      </c>
      <c r="D346" t="s">
        <v>75</v>
      </c>
      <c r="E346" t="s">
        <v>77</v>
      </c>
      <c r="F346">
        <v>6.4</v>
      </c>
      <c r="G346">
        <v>55.3</v>
      </c>
      <c r="H346" t="s">
        <v>11</v>
      </c>
      <c r="I346" t="str">
        <f t="shared" si="5"/>
        <v>Média</v>
      </c>
    </row>
    <row r="347" spans="1:9">
      <c r="A347" t="s">
        <v>353</v>
      </c>
      <c r="B347">
        <v>2025</v>
      </c>
      <c r="C347">
        <v>1</v>
      </c>
      <c r="D347" t="s">
        <v>139</v>
      </c>
      <c r="E347" t="s">
        <v>141</v>
      </c>
      <c r="F347">
        <v>6.4</v>
      </c>
      <c r="G347">
        <v>89.1</v>
      </c>
      <c r="H347" t="s">
        <v>11</v>
      </c>
      <c r="I347" t="str">
        <f t="shared" si="5"/>
        <v>Alta</v>
      </c>
    </row>
    <row r="348" spans="1:9">
      <c r="A348" t="s">
        <v>252</v>
      </c>
      <c r="B348">
        <v>2025</v>
      </c>
      <c r="C348">
        <v>2</v>
      </c>
      <c r="D348" t="s">
        <v>9</v>
      </c>
      <c r="E348" t="s">
        <v>10</v>
      </c>
      <c r="F348">
        <v>6.4</v>
      </c>
      <c r="G348">
        <v>66.3</v>
      </c>
      <c r="H348" t="s">
        <v>11</v>
      </c>
      <c r="I348" t="str">
        <f t="shared" si="5"/>
        <v>Média</v>
      </c>
    </row>
    <row r="349" spans="1:9">
      <c r="A349" t="s">
        <v>272</v>
      </c>
      <c r="B349">
        <v>2025</v>
      </c>
      <c r="C349">
        <v>2</v>
      </c>
      <c r="D349" t="s">
        <v>75</v>
      </c>
      <c r="E349" t="s">
        <v>77</v>
      </c>
      <c r="F349">
        <v>6.4</v>
      </c>
      <c r="G349">
        <v>85.5</v>
      </c>
      <c r="H349" t="s">
        <v>11</v>
      </c>
      <c r="I349" t="str">
        <f t="shared" si="5"/>
        <v>Alta</v>
      </c>
    </row>
    <row r="350" spans="1:9">
      <c r="A350" t="s">
        <v>370</v>
      </c>
      <c r="B350">
        <v>2025</v>
      </c>
      <c r="C350">
        <v>2</v>
      </c>
      <c r="D350" t="s">
        <v>139</v>
      </c>
      <c r="E350" t="s">
        <v>10</v>
      </c>
      <c r="F350">
        <v>6.4</v>
      </c>
      <c r="G350">
        <v>57.7</v>
      </c>
      <c r="H350" t="s">
        <v>11</v>
      </c>
      <c r="I350" t="str">
        <f t="shared" si="5"/>
        <v>Média</v>
      </c>
    </row>
    <row r="351" spans="1:9">
      <c r="A351" t="s">
        <v>395</v>
      </c>
      <c r="B351">
        <v>2026</v>
      </c>
      <c r="C351">
        <v>1</v>
      </c>
      <c r="D351" t="s">
        <v>9</v>
      </c>
      <c r="E351" t="s">
        <v>10</v>
      </c>
      <c r="F351">
        <v>6.4</v>
      </c>
      <c r="G351">
        <v>88.9</v>
      </c>
      <c r="H351" t="s">
        <v>11</v>
      </c>
      <c r="I351" t="str">
        <f t="shared" si="5"/>
        <v>Alta</v>
      </c>
    </row>
    <row r="352" spans="1:9">
      <c r="A352" t="s">
        <v>506</v>
      </c>
      <c r="B352">
        <v>2026</v>
      </c>
      <c r="C352">
        <v>1</v>
      </c>
      <c r="D352" t="s">
        <v>139</v>
      </c>
      <c r="E352" t="s">
        <v>141</v>
      </c>
      <c r="F352">
        <v>6.4</v>
      </c>
      <c r="G352">
        <v>72.2</v>
      </c>
      <c r="H352" t="s">
        <v>11</v>
      </c>
      <c r="I352" t="str">
        <f t="shared" si="5"/>
        <v>Média</v>
      </c>
    </row>
    <row r="353" spans="1:9">
      <c r="A353" t="s">
        <v>466</v>
      </c>
      <c r="B353">
        <v>2026</v>
      </c>
      <c r="C353">
        <v>2</v>
      </c>
      <c r="D353" t="s">
        <v>75</v>
      </c>
      <c r="E353" t="s">
        <v>78</v>
      </c>
      <c r="F353">
        <v>6.4</v>
      </c>
      <c r="G353">
        <v>62.9</v>
      </c>
      <c r="H353" t="s">
        <v>11</v>
      </c>
      <c r="I353" t="str">
        <f t="shared" si="5"/>
        <v>Média</v>
      </c>
    </row>
    <row r="354" spans="1:9">
      <c r="A354" t="s">
        <v>133</v>
      </c>
      <c r="B354">
        <v>2024</v>
      </c>
      <c r="C354">
        <v>2</v>
      </c>
      <c r="D354" t="s">
        <v>75</v>
      </c>
      <c r="E354" t="s">
        <v>77</v>
      </c>
      <c r="F354">
        <v>6.5</v>
      </c>
      <c r="G354">
        <v>53.8</v>
      </c>
      <c r="H354" t="s">
        <v>11</v>
      </c>
      <c r="I354" t="str">
        <f t="shared" si="5"/>
        <v>Média</v>
      </c>
    </row>
    <row r="355" spans="1:9">
      <c r="A355" t="s">
        <v>179</v>
      </c>
      <c r="B355">
        <v>2024</v>
      </c>
      <c r="C355">
        <v>2</v>
      </c>
      <c r="D355" t="s">
        <v>139</v>
      </c>
      <c r="E355" t="s">
        <v>10</v>
      </c>
      <c r="F355">
        <v>6.5</v>
      </c>
      <c r="G355">
        <v>61.1</v>
      </c>
      <c r="H355" t="s">
        <v>11</v>
      </c>
      <c r="I355" t="str">
        <f t="shared" si="5"/>
        <v>Média</v>
      </c>
    </row>
    <row r="356" spans="1:9">
      <c r="A356" t="s">
        <v>228</v>
      </c>
      <c r="B356">
        <v>2025</v>
      </c>
      <c r="C356">
        <v>1</v>
      </c>
      <c r="D356" t="s">
        <v>9</v>
      </c>
      <c r="E356" t="s">
        <v>14</v>
      </c>
      <c r="F356">
        <v>6.5</v>
      </c>
      <c r="G356">
        <v>69.599999999999994</v>
      </c>
      <c r="H356" t="s">
        <v>11</v>
      </c>
      <c r="I356" t="str">
        <f t="shared" si="5"/>
        <v>Média</v>
      </c>
    </row>
    <row r="357" spans="1:9">
      <c r="A357" t="s">
        <v>322</v>
      </c>
      <c r="B357">
        <v>2025</v>
      </c>
      <c r="C357">
        <v>1</v>
      </c>
      <c r="D357" t="s">
        <v>139</v>
      </c>
      <c r="E357" t="s">
        <v>141</v>
      </c>
      <c r="F357">
        <v>6.5</v>
      </c>
      <c r="G357">
        <v>84</v>
      </c>
      <c r="H357" t="s">
        <v>11</v>
      </c>
      <c r="I357" t="str">
        <f t="shared" si="5"/>
        <v>Alta</v>
      </c>
    </row>
    <row r="358" spans="1:9">
      <c r="A358" t="s">
        <v>327</v>
      </c>
      <c r="B358">
        <v>2025</v>
      </c>
      <c r="C358">
        <v>1</v>
      </c>
      <c r="D358" t="s">
        <v>139</v>
      </c>
      <c r="E358" t="s">
        <v>10</v>
      </c>
      <c r="F358">
        <v>6.5</v>
      </c>
      <c r="G358">
        <v>57.4</v>
      </c>
      <c r="H358" t="s">
        <v>11</v>
      </c>
      <c r="I358" t="str">
        <f t="shared" si="5"/>
        <v>Média</v>
      </c>
    </row>
    <row r="359" spans="1:9">
      <c r="A359" t="s">
        <v>366</v>
      </c>
      <c r="B359">
        <v>2025</v>
      </c>
      <c r="C359">
        <v>1</v>
      </c>
      <c r="D359" t="s">
        <v>139</v>
      </c>
      <c r="E359" t="s">
        <v>140</v>
      </c>
      <c r="F359">
        <v>6.5</v>
      </c>
      <c r="G359">
        <v>59.3</v>
      </c>
      <c r="H359" t="s">
        <v>11</v>
      </c>
      <c r="I359" t="str">
        <f t="shared" si="5"/>
        <v>Média</v>
      </c>
    </row>
    <row r="360" spans="1:9">
      <c r="A360" t="s">
        <v>250</v>
      </c>
      <c r="B360">
        <v>2025</v>
      </c>
      <c r="C360">
        <v>2</v>
      </c>
      <c r="D360" t="s">
        <v>9</v>
      </c>
      <c r="E360" t="s">
        <v>14</v>
      </c>
      <c r="F360">
        <v>6.5</v>
      </c>
      <c r="G360">
        <v>69.599999999999994</v>
      </c>
      <c r="H360" t="s">
        <v>11</v>
      </c>
      <c r="I360" t="str">
        <f t="shared" si="5"/>
        <v>Média</v>
      </c>
    </row>
    <row r="361" spans="1:9">
      <c r="A361" t="s">
        <v>253</v>
      </c>
      <c r="B361">
        <v>2025</v>
      </c>
      <c r="C361">
        <v>2</v>
      </c>
      <c r="D361" t="s">
        <v>9</v>
      </c>
      <c r="E361" t="s">
        <v>12</v>
      </c>
      <c r="F361">
        <v>6.5</v>
      </c>
      <c r="G361">
        <v>93.4</v>
      </c>
      <c r="H361" t="s">
        <v>11</v>
      </c>
      <c r="I361" t="str">
        <f t="shared" si="5"/>
        <v>Alta</v>
      </c>
    </row>
    <row r="362" spans="1:9">
      <c r="A362" t="s">
        <v>298</v>
      </c>
      <c r="B362">
        <v>2025</v>
      </c>
      <c r="C362">
        <v>2</v>
      </c>
      <c r="D362" t="s">
        <v>75</v>
      </c>
      <c r="E362" t="s">
        <v>76</v>
      </c>
      <c r="F362">
        <v>6.5</v>
      </c>
      <c r="G362">
        <v>47.7</v>
      </c>
      <c r="H362" t="s">
        <v>11</v>
      </c>
      <c r="I362" t="str">
        <f t="shared" si="5"/>
        <v>Baixa</v>
      </c>
    </row>
    <row r="363" spans="1:9">
      <c r="A363" t="s">
        <v>400</v>
      </c>
      <c r="B363">
        <v>2026</v>
      </c>
      <c r="C363">
        <v>1</v>
      </c>
      <c r="D363" t="s">
        <v>9</v>
      </c>
      <c r="E363" t="s">
        <v>12</v>
      </c>
      <c r="F363">
        <v>6.5</v>
      </c>
      <c r="G363">
        <v>68.900000000000006</v>
      </c>
      <c r="H363" t="s">
        <v>11</v>
      </c>
      <c r="I363" t="str">
        <f t="shared" si="5"/>
        <v>Média</v>
      </c>
    </row>
    <row r="364" spans="1:9">
      <c r="A364" t="s">
        <v>469</v>
      </c>
      <c r="B364">
        <v>2026</v>
      </c>
      <c r="C364">
        <v>2</v>
      </c>
      <c r="D364" t="s">
        <v>75</v>
      </c>
      <c r="E364" t="s">
        <v>76</v>
      </c>
      <c r="F364">
        <v>6.5</v>
      </c>
      <c r="G364">
        <v>49.4</v>
      </c>
      <c r="H364" t="s">
        <v>11</v>
      </c>
      <c r="I364" t="str">
        <f t="shared" si="5"/>
        <v>Baixa</v>
      </c>
    </row>
    <row r="365" spans="1:9">
      <c r="A365" t="s">
        <v>552</v>
      </c>
      <c r="B365">
        <v>2026</v>
      </c>
      <c r="C365">
        <v>2</v>
      </c>
      <c r="D365" t="s">
        <v>139</v>
      </c>
      <c r="E365" t="s">
        <v>141</v>
      </c>
      <c r="F365">
        <v>6.5</v>
      </c>
      <c r="G365">
        <v>81.5</v>
      </c>
      <c r="H365" t="s">
        <v>11</v>
      </c>
      <c r="I365" t="str">
        <f t="shared" si="5"/>
        <v>Alta</v>
      </c>
    </row>
    <row r="366" spans="1:9">
      <c r="A366" t="s">
        <v>88</v>
      </c>
      <c r="B366">
        <v>2024</v>
      </c>
      <c r="C366">
        <v>1</v>
      </c>
      <c r="D366" t="s">
        <v>75</v>
      </c>
      <c r="E366" t="s">
        <v>77</v>
      </c>
      <c r="F366">
        <v>6.6</v>
      </c>
      <c r="G366">
        <v>76.2</v>
      </c>
      <c r="H366" t="s">
        <v>11</v>
      </c>
      <c r="I366" t="str">
        <f t="shared" si="5"/>
        <v>Alta</v>
      </c>
    </row>
    <row r="367" spans="1:9">
      <c r="A367" t="s">
        <v>56</v>
      </c>
      <c r="B367">
        <v>2024</v>
      </c>
      <c r="C367">
        <v>2</v>
      </c>
      <c r="D367" t="s">
        <v>9</v>
      </c>
      <c r="E367" t="s">
        <v>14</v>
      </c>
      <c r="F367">
        <v>6.6</v>
      </c>
      <c r="G367">
        <v>70.3</v>
      </c>
      <c r="H367" t="s">
        <v>11</v>
      </c>
      <c r="I367" t="str">
        <f t="shared" si="5"/>
        <v>Média</v>
      </c>
    </row>
    <row r="368" spans="1:9">
      <c r="A368" t="s">
        <v>197</v>
      </c>
      <c r="B368">
        <v>2024</v>
      </c>
      <c r="C368">
        <v>2</v>
      </c>
      <c r="D368" t="s">
        <v>139</v>
      </c>
      <c r="E368" t="s">
        <v>10</v>
      </c>
      <c r="F368">
        <v>6.6</v>
      </c>
      <c r="G368">
        <v>52.3</v>
      </c>
      <c r="H368" t="s">
        <v>11</v>
      </c>
      <c r="I368" t="str">
        <f t="shared" si="5"/>
        <v>Média</v>
      </c>
    </row>
    <row r="369" spans="1:9">
      <c r="A369" t="s">
        <v>278</v>
      </c>
      <c r="B369">
        <v>2025</v>
      </c>
      <c r="C369">
        <v>1</v>
      </c>
      <c r="D369" t="s">
        <v>75</v>
      </c>
      <c r="E369" t="s">
        <v>76</v>
      </c>
      <c r="F369">
        <v>6.6</v>
      </c>
      <c r="G369">
        <v>61.6</v>
      </c>
      <c r="H369" t="s">
        <v>11</v>
      </c>
      <c r="I369" t="str">
        <f t="shared" si="5"/>
        <v>Média</v>
      </c>
    </row>
    <row r="370" spans="1:9">
      <c r="A370" t="s">
        <v>320</v>
      </c>
      <c r="B370">
        <v>2025</v>
      </c>
      <c r="C370">
        <v>1</v>
      </c>
      <c r="D370" t="s">
        <v>75</v>
      </c>
      <c r="E370" t="s">
        <v>77</v>
      </c>
      <c r="F370">
        <v>6.6</v>
      </c>
      <c r="G370">
        <v>48</v>
      </c>
      <c r="H370" t="s">
        <v>11</v>
      </c>
      <c r="I370" t="str">
        <f t="shared" si="5"/>
        <v>Baixa</v>
      </c>
    </row>
    <row r="371" spans="1:9">
      <c r="A371" t="s">
        <v>335</v>
      </c>
      <c r="B371">
        <v>2025</v>
      </c>
      <c r="C371">
        <v>1</v>
      </c>
      <c r="D371" t="s">
        <v>139</v>
      </c>
      <c r="E371" t="s">
        <v>141</v>
      </c>
      <c r="F371">
        <v>6.6</v>
      </c>
      <c r="G371">
        <v>68.2</v>
      </c>
      <c r="H371" t="s">
        <v>11</v>
      </c>
      <c r="I371" t="str">
        <f t="shared" si="5"/>
        <v>Média</v>
      </c>
    </row>
    <row r="372" spans="1:9">
      <c r="A372" t="s">
        <v>203</v>
      </c>
      <c r="B372">
        <v>2025</v>
      </c>
      <c r="C372">
        <v>2</v>
      </c>
      <c r="D372" t="s">
        <v>9</v>
      </c>
      <c r="E372" t="s">
        <v>10</v>
      </c>
      <c r="F372">
        <v>6.6</v>
      </c>
      <c r="G372">
        <v>51</v>
      </c>
      <c r="H372" t="s">
        <v>11</v>
      </c>
      <c r="I372" t="str">
        <f t="shared" si="5"/>
        <v>Média</v>
      </c>
    </row>
    <row r="373" spans="1:9">
      <c r="A373" t="s">
        <v>267</v>
      </c>
      <c r="B373">
        <v>2025</v>
      </c>
      <c r="C373">
        <v>2</v>
      </c>
      <c r="D373" t="s">
        <v>75</v>
      </c>
      <c r="E373" t="s">
        <v>78</v>
      </c>
      <c r="F373">
        <v>6.6</v>
      </c>
      <c r="G373">
        <v>88.2</v>
      </c>
      <c r="H373" t="s">
        <v>11</v>
      </c>
      <c r="I373" t="str">
        <f t="shared" si="5"/>
        <v>Alta</v>
      </c>
    </row>
    <row r="374" spans="1:9">
      <c r="A374" t="s">
        <v>283</v>
      </c>
      <c r="B374">
        <v>2025</v>
      </c>
      <c r="C374">
        <v>2</v>
      </c>
      <c r="D374" t="s">
        <v>75</v>
      </c>
      <c r="E374" t="s">
        <v>78</v>
      </c>
      <c r="F374">
        <v>6.6</v>
      </c>
      <c r="G374">
        <v>51.8</v>
      </c>
      <c r="H374" t="s">
        <v>11</v>
      </c>
      <c r="I374" t="str">
        <f t="shared" si="5"/>
        <v>Média</v>
      </c>
    </row>
    <row r="375" spans="1:9">
      <c r="A375" t="s">
        <v>358</v>
      </c>
      <c r="B375">
        <v>2025</v>
      </c>
      <c r="C375">
        <v>2</v>
      </c>
      <c r="D375" t="s">
        <v>139</v>
      </c>
      <c r="E375" t="s">
        <v>141</v>
      </c>
      <c r="F375">
        <v>6.6</v>
      </c>
      <c r="G375">
        <v>52</v>
      </c>
      <c r="H375" t="s">
        <v>11</v>
      </c>
      <c r="I375" t="str">
        <f t="shared" si="5"/>
        <v>Média</v>
      </c>
    </row>
    <row r="376" spans="1:9">
      <c r="A376" t="s">
        <v>440</v>
      </c>
      <c r="B376">
        <v>2026</v>
      </c>
      <c r="C376">
        <v>1</v>
      </c>
      <c r="D376" t="s">
        <v>9</v>
      </c>
      <c r="E376" t="s">
        <v>10</v>
      </c>
      <c r="F376">
        <v>6.6</v>
      </c>
      <c r="G376">
        <v>67.099999999999994</v>
      </c>
      <c r="H376" t="s">
        <v>11</v>
      </c>
      <c r="I376" t="str">
        <f t="shared" si="5"/>
        <v>Média</v>
      </c>
    </row>
    <row r="377" spans="1:9">
      <c r="A377" t="s">
        <v>467</v>
      </c>
      <c r="B377">
        <v>2026</v>
      </c>
      <c r="C377">
        <v>1</v>
      </c>
      <c r="D377" t="s">
        <v>75</v>
      </c>
      <c r="E377" t="s">
        <v>78</v>
      </c>
      <c r="F377">
        <v>6.6</v>
      </c>
      <c r="G377">
        <v>45.2</v>
      </c>
      <c r="H377" t="s">
        <v>11</v>
      </c>
      <c r="I377" t="str">
        <f t="shared" si="5"/>
        <v>Baixa</v>
      </c>
    </row>
    <row r="378" spans="1:9">
      <c r="A378" t="s">
        <v>517</v>
      </c>
      <c r="B378">
        <v>2026</v>
      </c>
      <c r="C378">
        <v>1</v>
      </c>
      <c r="D378" t="s">
        <v>139</v>
      </c>
      <c r="E378" t="s">
        <v>10</v>
      </c>
      <c r="F378">
        <v>6.6</v>
      </c>
      <c r="G378">
        <v>51.6</v>
      </c>
      <c r="H378" t="s">
        <v>11</v>
      </c>
      <c r="I378" t="str">
        <f t="shared" si="5"/>
        <v>Média</v>
      </c>
    </row>
    <row r="379" spans="1:9">
      <c r="A379" t="s">
        <v>547</v>
      </c>
      <c r="B379">
        <v>2026</v>
      </c>
      <c r="C379">
        <v>1</v>
      </c>
      <c r="D379" t="s">
        <v>139</v>
      </c>
      <c r="E379" t="s">
        <v>10</v>
      </c>
      <c r="F379">
        <v>6.6</v>
      </c>
      <c r="G379">
        <v>55.9</v>
      </c>
      <c r="H379" t="s">
        <v>11</v>
      </c>
      <c r="I379" t="str">
        <f t="shared" si="5"/>
        <v>Média</v>
      </c>
    </row>
    <row r="380" spans="1:9">
      <c r="A380" t="s">
        <v>550</v>
      </c>
      <c r="B380">
        <v>2026</v>
      </c>
      <c r="C380">
        <v>1</v>
      </c>
      <c r="D380" t="s">
        <v>139</v>
      </c>
      <c r="E380" t="s">
        <v>10</v>
      </c>
      <c r="F380">
        <v>6.6</v>
      </c>
      <c r="G380">
        <v>59.1</v>
      </c>
      <c r="H380" t="s">
        <v>11</v>
      </c>
      <c r="I380" t="str">
        <f t="shared" si="5"/>
        <v>Média</v>
      </c>
    </row>
    <row r="381" spans="1:9">
      <c r="A381" t="s">
        <v>487</v>
      </c>
      <c r="B381">
        <v>2026</v>
      </c>
      <c r="C381">
        <v>2</v>
      </c>
      <c r="D381" t="s">
        <v>75</v>
      </c>
      <c r="E381" t="s">
        <v>78</v>
      </c>
      <c r="F381">
        <v>6.6</v>
      </c>
      <c r="G381">
        <v>62.6</v>
      </c>
      <c r="H381" t="s">
        <v>11</v>
      </c>
      <c r="I381" t="str">
        <f t="shared" si="5"/>
        <v>Média</v>
      </c>
    </row>
    <row r="382" spans="1:9">
      <c r="A382" t="s">
        <v>492</v>
      </c>
      <c r="B382">
        <v>2026</v>
      </c>
      <c r="C382">
        <v>2</v>
      </c>
      <c r="D382" t="s">
        <v>75</v>
      </c>
      <c r="E382" t="s">
        <v>77</v>
      </c>
      <c r="F382">
        <v>6.6</v>
      </c>
      <c r="G382">
        <v>93.1</v>
      </c>
      <c r="H382" t="s">
        <v>11</v>
      </c>
      <c r="I382" t="str">
        <f t="shared" si="5"/>
        <v>Alta</v>
      </c>
    </row>
    <row r="383" spans="1:9">
      <c r="A383" t="s">
        <v>156</v>
      </c>
      <c r="B383">
        <v>2024</v>
      </c>
      <c r="C383">
        <v>1</v>
      </c>
      <c r="D383" t="s">
        <v>139</v>
      </c>
      <c r="E383" t="s">
        <v>10</v>
      </c>
      <c r="F383">
        <v>6.7</v>
      </c>
      <c r="G383">
        <v>58.4</v>
      </c>
      <c r="H383" t="s">
        <v>11</v>
      </c>
      <c r="I383" t="str">
        <f t="shared" si="5"/>
        <v>Média</v>
      </c>
    </row>
    <row r="384" spans="1:9">
      <c r="A384" t="s">
        <v>232</v>
      </c>
      <c r="B384">
        <v>2025</v>
      </c>
      <c r="C384">
        <v>1</v>
      </c>
      <c r="D384" t="s">
        <v>9</v>
      </c>
      <c r="E384" t="s">
        <v>12</v>
      </c>
      <c r="F384">
        <v>6.7</v>
      </c>
      <c r="G384">
        <v>50.4</v>
      </c>
      <c r="H384" t="s">
        <v>11</v>
      </c>
      <c r="I384" t="str">
        <f t="shared" si="5"/>
        <v>Média</v>
      </c>
    </row>
    <row r="385" spans="1:9">
      <c r="A385" t="s">
        <v>303</v>
      </c>
      <c r="B385">
        <v>2025</v>
      </c>
      <c r="C385">
        <v>1</v>
      </c>
      <c r="D385" t="s">
        <v>75</v>
      </c>
      <c r="E385" t="s">
        <v>76</v>
      </c>
      <c r="F385">
        <v>6.7</v>
      </c>
      <c r="G385">
        <v>68.8</v>
      </c>
      <c r="H385" t="s">
        <v>11</v>
      </c>
      <c r="I385" t="str">
        <f t="shared" si="5"/>
        <v>Média</v>
      </c>
    </row>
    <row r="386" spans="1:9">
      <c r="A386" t="s">
        <v>323</v>
      </c>
      <c r="B386">
        <v>2025</v>
      </c>
      <c r="C386">
        <v>1</v>
      </c>
      <c r="D386" t="s">
        <v>139</v>
      </c>
      <c r="E386" t="s">
        <v>10</v>
      </c>
      <c r="F386">
        <v>6.7</v>
      </c>
      <c r="G386">
        <v>65.7</v>
      </c>
      <c r="H386" t="s">
        <v>11</v>
      </c>
      <c r="I386" t="str">
        <f t="shared" ref="I386:I449" si="6">IF(G386&lt;50,"Baixa",IF(G386&lt;75,"Média","Alta"))</f>
        <v>Média</v>
      </c>
    </row>
    <row r="387" spans="1:9">
      <c r="A387" t="s">
        <v>362</v>
      </c>
      <c r="B387">
        <v>2025</v>
      </c>
      <c r="C387">
        <v>1</v>
      </c>
      <c r="D387" t="s">
        <v>139</v>
      </c>
      <c r="E387" t="s">
        <v>140</v>
      </c>
      <c r="F387">
        <v>6.7</v>
      </c>
      <c r="G387">
        <v>60.5</v>
      </c>
      <c r="H387" t="s">
        <v>11</v>
      </c>
      <c r="I387" t="str">
        <f t="shared" si="6"/>
        <v>Média</v>
      </c>
    </row>
    <row r="388" spans="1:9">
      <c r="A388" t="s">
        <v>368</v>
      </c>
      <c r="B388">
        <v>2025</v>
      </c>
      <c r="C388">
        <v>1</v>
      </c>
      <c r="D388" t="s">
        <v>139</v>
      </c>
      <c r="E388" t="s">
        <v>140</v>
      </c>
      <c r="F388">
        <v>6.7</v>
      </c>
      <c r="G388">
        <v>50</v>
      </c>
      <c r="H388" t="s">
        <v>11</v>
      </c>
      <c r="I388" t="str">
        <f t="shared" si="6"/>
        <v>Média</v>
      </c>
    </row>
    <row r="389" spans="1:9">
      <c r="A389" t="s">
        <v>380</v>
      </c>
      <c r="B389">
        <v>2025</v>
      </c>
      <c r="C389">
        <v>1</v>
      </c>
      <c r="D389" t="s">
        <v>139</v>
      </c>
      <c r="E389" t="s">
        <v>141</v>
      </c>
      <c r="F389">
        <v>6.7</v>
      </c>
      <c r="G389">
        <v>63</v>
      </c>
      <c r="H389" t="s">
        <v>11</v>
      </c>
      <c r="I389" t="str">
        <f t="shared" si="6"/>
        <v>Média</v>
      </c>
    </row>
    <row r="390" spans="1:9">
      <c r="A390" t="s">
        <v>288</v>
      </c>
      <c r="B390">
        <v>2025</v>
      </c>
      <c r="C390">
        <v>2</v>
      </c>
      <c r="D390" t="s">
        <v>75</v>
      </c>
      <c r="E390" t="s">
        <v>76</v>
      </c>
      <c r="F390">
        <v>6.7</v>
      </c>
      <c r="G390">
        <v>70.900000000000006</v>
      </c>
      <c r="H390" t="s">
        <v>11</v>
      </c>
      <c r="I390" t="str">
        <f t="shared" si="6"/>
        <v>Média</v>
      </c>
    </row>
    <row r="391" spans="1:9">
      <c r="A391" t="s">
        <v>327</v>
      </c>
      <c r="B391">
        <v>2025</v>
      </c>
      <c r="C391">
        <v>2</v>
      </c>
      <c r="D391" t="s">
        <v>139</v>
      </c>
      <c r="E391" t="s">
        <v>10</v>
      </c>
      <c r="F391">
        <v>6.7</v>
      </c>
      <c r="G391">
        <v>50.8</v>
      </c>
      <c r="H391" t="s">
        <v>11</v>
      </c>
      <c r="I391" t="str">
        <f t="shared" si="6"/>
        <v>Média</v>
      </c>
    </row>
    <row r="392" spans="1:9">
      <c r="A392" t="s">
        <v>391</v>
      </c>
      <c r="B392">
        <v>2026</v>
      </c>
      <c r="C392">
        <v>1</v>
      </c>
      <c r="D392" t="s">
        <v>9</v>
      </c>
      <c r="E392" t="s">
        <v>14</v>
      </c>
      <c r="F392">
        <v>6.7</v>
      </c>
      <c r="G392">
        <v>52.8</v>
      </c>
      <c r="H392" t="s">
        <v>11</v>
      </c>
      <c r="I392" t="str">
        <f t="shared" si="6"/>
        <v>Média</v>
      </c>
    </row>
    <row r="393" spans="1:9">
      <c r="A393" t="s">
        <v>421</v>
      </c>
      <c r="B393">
        <v>2026</v>
      </c>
      <c r="C393">
        <v>1</v>
      </c>
      <c r="D393" t="s">
        <v>9</v>
      </c>
      <c r="E393" t="s">
        <v>10</v>
      </c>
      <c r="F393">
        <v>6.7</v>
      </c>
      <c r="G393">
        <v>65.099999999999994</v>
      </c>
      <c r="H393" t="s">
        <v>11</v>
      </c>
      <c r="I393" t="str">
        <f t="shared" si="6"/>
        <v>Média</v>
      </c>
    </row>
    <row r="394" spans="1:9">
      <c r="A394" t="s">
        <v>431</v>
      </c>
      <c r="B394">
        <v>2026</v>
      </c>
      <c r="C394">
        <v>1</v>
      </c>
      <c r="D394" t="s">
        <v>9</v>
      </c>
      <c r="E394" t="s">
        <v>14</v>
      </c>
      <c r="F394">
        <v>6.7</v>
      </c>
      <c r="G394">
        <v>48.3</v>
      </c>
      <c r="H394" t="s">
        <v>11</v>
      </c>
      <c r="I394" t="str">
        <f t="shared" si="6"/>
        <v>Baixa</v>
      </c>
    </row>
    <row r="395" spans="1:9">
      <c r="A395" t="s">
        <v>453</v>
      </c>
      <c r="B395">
        <v>2026</v>
      </c>
      <c r="C395">
        <v>1</v>
      </c>
      <c r="D395" t="s">
        <v>75</v>
      </c>
      <c r="E395" t="s">
        <v>76</v>
      </c>
      <c r="F395">
        <v>6.7</v>
      </c>
      <c r="G395">
        <v>46.9</v>
      </c>
      <c r="H395" t="s">
        <v>11</v>
      </c>
      <c r="I395" t="str">
        <f t="shared" si="6"/>
        <v>Baixa</v>
      </c>
    </row>
    <row r="396" spans="1:9">
      <c r="A396" t="s">
        <v>470</v>
      </c>
      <c r="B396">
        <v>2026</v>
      </c>
      <c r="C396">
        <v>1</v>
      </c>
      <c r="D396" t="s">
        <v>75</v>
      </c>
      <c r="E396" t="s">
        <v>77</v>
      </c>
      <c r="F396">
        <v>6.7</v>
      </c>
      <c r="G396">
        <v>84.6</v>
      </c>
      <c r="H396" t="s">
        <v>11</v>
      </c>
      <c r="I396" t="str">
        <f t="shared" si="6"/>
        <v>Alta</v>
      </c>
    </row>
    <row r="397" spans="1:9">
      <c r="A397" t="s">
        <v>485</v>
      </c>
      <c r="B397">
        <v>2026</v>
      </c>
      <c r="C397">
        <v>2</v>
      </c>
      <c r="D397" t="s">
        <v>75</v>
      </c>
      <c r="E397" t="s">
        <v>76</v>
      </c>
      <c r="F397">
        <v>6.7</v>
      </c>
      <c r="G397">
        <v>63</v>
      </c>
      <c r="H397" t="s">
        <v>11</v>
      </c>
      <c r="I397" t="str">
        <f t="shared" si="6"/>
        <v>Média</v>
      </c>
    </row>
    <row r="398" spans="1:9">
      <c r="A398" t="s">
        <v>40</v>
      </c>
      <c r="B398">
        <v>2024</v>
      </c>
      <c r="C398">
        <v>1</v>
      </c>
      <c r="D398" t="s">
        <v>9</v>
      </c>
      <c r="E398" t="s">
        <v>10</v>
      </c>
      <c r="F398">
        <v>6.8</v>
      </c>
      <c r="G398">
        <v>61.4</v>
      </c>
      <c r="H398" t="s">
        <v>11</v>
      </c>
      <c r="I398" t="str">
        <f t="shared" si="6"/>
        <v>Média</v>
      </c>
    </row>
    <row r="399" spans="1:9">
      <c r="A399" t="s">
        <v>42</v>
      </c>
      <c r="B399">
        <v>2024</v>
      </c>
      <c r="C399">
        <v>1</v>
      </c>
      <c r="D399" t="s">
        <v>9</v>
      </c>
      <c r="E399" t="s">
        <v>12</v>
      </c>
      <c r="F399">
        <v>6.8</v>
      </c>
      <c r="G399">
        <v>65.2</v>
      </c>
      <c r="H399" t="s">
        <v>11</v>
      </c>
      <c r="I399" t="str">
        <f t="shared" si="6"/>
        <v>Média</v>
      </c>
    </row>
    <row r="400" spans="1:9">
      <c r="A400" t="s">
        <v>43</v>
      </c>
      <c r="B400">
        <v>2024</v>
      </c>
      <c r="C400">
        <v>1</v>
      </c>
      <c r="D400" t="s">
        <v>9</v>
      </c>
      <c r="E400" t="s">
        <v>14</v>
      </c>
      <c r="F400">
        <v>6.8</v>
      </c>
      <c r="G400">
        <v>85.9</v>
      </c>
      <c r="H400" t="s">
        <v>11</v>
      </c>
      <c r="I400" t="str">
        <f t="shared" si="6"/>
        <v>Alta</v>
      </c>
    </row>
    <row r="401" spans="1:9">
      <c r="A401" t="s">
        <v>49</v>
      </c>
      <c r="B401">
        <v>2024</v>
      </c>
      <c r="C401">
        <v>1</v>
      </c>
      <c r="D401" t="s">
        <v>9</v>
      </c>
      <c r="E401" t="s">
        <v>12</v>
      </c>
      <c r="F401">
        <v>6.8</v>
      </c>
      <c r="G401">
        <v>58.4</v>
      </c>
      <c r="H401" t="s">
        <v>11</v>
      </c>
      <c r="I401" t="str">
        <f t="shared" si="6"/>
        <v>Média</v>
      </c>
    </row>
    <row r="402" spans="1:9">
      <c r="A402" t="s">
        <v>103</v>
      </c>
      <c r="B402">
        <v>2024</v>
      </c>
      <c r="C402">
        <v>1</v>
      </c>
      <c r="D402" t="s">
        <v>75</v>
      </c>
      <c r="E402" t="s">
        <v>77</v>
      </c>
      <c r="F402">
        <v>6.8</v>
      </c>
      <c r="G402">
        <v>50.9</v>
      </c>
      <c r="H402" t="s">
        <v>11</v>
      </c>
      <c r="I402" t="str">
        <f t="shared" si="6"/>
        <v>Média</v>
      </c>
    </row>
    <row r="403" spans="1:9">
      <c r="A403" t="s">
        <v>126</v>
      </c>
      <c r="B403">
        <v>2024</v>
      </c>
      <c r="C403">
        <v>1</v>
      </c>
      <c r="D403" t="s">
        <v>75</v>
      </c>
      <c r="E403" t="s">
        <v>76</v>
      </c>
      <c r="F403">
        <v>6.8</v>
      </c>
      <c r="G403">
        <v>60.2</v>
      </c>
      <c r="H403" t="s">
        <v>11</v>
      </c>
      <c r="I403" t="str">
        <f t="shared" si="6"/>
        <v>Média</v>
      </c>
    </row>
    <row r="404" spans="1:9">
      <c r="A404" t="s">
        <v>152</v>
      </c>
      <c r="B404">
        <v>2024</v>
      </c>
      <c r="C404">
        <v>1</v>
      </c>
      <c r="D404" t="s">
        <v>139</v>
      </c>
      <c r="E404" t="s">
        <v>141</v>
      </c>
      <c r="F404">
        <v>6.8</v>
      </c>
      <c r="G404">
        <v>74.8</v>
      </c>
      <c r="H404" t="s">
        <v>11</v>
      </c>
      <c r="I404" t="str">
        <f t="shared" si="6"/>
        <v>Média</v>
      </c>
    </row>
    <row r="405" spans="1:9">
      <c r="A405" t="s">
        <v>59</v>
      </c>
      <c r="B405">
        <v>2024</v>
      </c>
      <c r="C405">
        <v>2</v>
      </c>
      <c r="D405" t="s">
        <v>9</v>
      </c>
      <c r="E405" t="s">
        <v>10</v>
      </c>
      <c r="F405">
        <v>6.8</v>
      </c>
      <c r="G405">
        <v>49.8</v>
      </c>
      <c r="H405" t="s">
        <v>11</v>
      </c>
      <c r="I405" t="str">
        <f t="shared" si="6"/>
        <v>Baixa</v>
      </c>
    </row>
    <row r="406" spans="1:9">
      <c r="A406" t="s">
        <v>223</v>
      </c>
      <c r="B406">
        <v>2025</v>
      </c>
      <c r="C406">
        <v>1</v>
      </c>
      <c r="D406" t="s">
        <v>9</v>
      </c>
      <c r="E406" t="s">
        <v>12</v>
      </c>
      <c r="F406">
        <v>6.8</v>
      </c>
      <c r="G406">
        <v>52.2</v>
      </c>
      <c r="H406" t="s">
        <v>11</v>
      </c>
      <c r="I406" t="str">
        <f t="shared" si="6"/>
        <v>Média</v>
      </c>
    </row>
    <row r="407" spans="1:9">
      <c r="A407" t="s">
        <v>232</v>
      </c>
      <c r="B407">
        <v>2025</v>
      </c>
      <c r="C407">
        <v>1</v>
      </c>
      <c r="D407" t="s">
        <v>9</v>
      </c>
      <c r="E407" t="s">
        <v>10</v>
      </c>
      <c r="F407">
        <v>6.8</v>
      </c>
      <c r="G407">
        <v>54.8</v>
      </c>
      <c r="H407" t="s">
        <v>11</v>
      </c>
      <c r="I407" t="str">
        <f t="shared" si="6"/>
        <v>Média</v>
      </c>
    </row>
    <row r="408" spans="1:9">
      <c r="A408" t="s">
        <v>317</v>
      </c>
      <c r="B408">
        <v>2025</v>
      </c>
      <c r="C408">
        <v>1</v>
      </c>
      <c r="D408" t="s">
        <v>75</v>
      </c>
      <c r="E408" t="s">
        <v>76</v>
      </c>
      <c r="F408">
        <v>6.8</v>
      </c>
      <c r="G408">
        <v>57.3</v>
      </c>
      <c r="H408" t="s">
        <v>11</v>
      </c>
      <c r="I408" t="str">
        <f t="shared" si="6"/>
        <v>Média</v>
      </c>
    </row>
    <row r="409" spans="1:9">
      <c r="A409" t="s">
        <v>278</v>
      </c>
      <c r="B409">
        <v>2025</v>
      </c>
      <c r="C409">
        <v>2</v>
      </c>
      <c r="D409" t="s">
        <v>75</v>
      </c>
      <c r="E409" t="s">
        <v>77</v>
      </c>
      <c r="F409">
        <v>6.8</v>
      </c>
      <c r="G409">
        <v>46.3</v>
      </c>
      <c r="H409" t="s">
        <v>11</v>
      </c>
      <c r="I409" t="str">
        <f t="shared" si="6"/>
        <v>Baixa</v>
      </c>
    </row>
    <row r="410" spans="1:9">
      <c r="A410" t="s">
        <v>284</v>
      </c>
      <c r="B410">
        <v>2025</v>
      </c>
      <c r="C410">
        <v>2</v>
      </c>
      <c r="D410" t="s">
        <v>75</v>
      </c>
      <c r="E410" t="s">
        <v>77</v>
      </c>
      <c r="F410">
        <v>6.8</v>
      </c>
      <c r="G410">
        <v>47.9</v>
      </c>
      <c r="H410" t="s">
        <v>11</v>
      </c>
      <c r="I410" t="str">
        <f t="shared" si="6"/>
        <v>Baixa</v>
      </c>
    </row>
    <row r="411" spans="1:9">
      <c r="A411" t="s">
        <v>305</v>
      </c>
      <c r="B411">
        <v>2025</v>
      </c>
      <c r="C411">
        <v>2</v>
      </c>
      <c r="D411" t="s">
        <v>75</v>
      </c>
      <c r="E411" t="s">
        <v>78</v>
      </c>
      <c r="F411">
        <v>6.8</v>
      </c>
      <c r="G411">
        <v>62.3</v>
      </c>
      <c r="H411" t="s">
        <v>11</v>
      </c>
      <c r="I411" t="str">
        <f t="shared" si="6"/>
        <v>Média</v>
      </c>
    </row>
    <row r="412" spans="1:9">
      <c r="A412" t="s">
        <v>317</v>
      </c>
      <c r="B412">
        <v>2025</v>
      </c>
      <c r="C412">
        <v>2</v>
      </c>
      <c r="D412" t="s">
        <v>75</v>
      </c>
      <c r="E412" t="s">
        <v>76</v>
      </c>
      <c r="F412">
        <v>6.8</v>
      </c>
      <c r="G412">
        <v>62.1</v>
      </c>
      <c r="H412" t="s">
        <v>11</v>
      </c>
      <c r="I412" t="str">
        <f t="shared" si="6"/>
        <v>Média</v>
      </c>
    </row>
    <row r="413" spans="1:9">
      <c r="A413" t="s">
        <v>340</v>
      </c>
      <c r="B413">
        <v>2025</v>
      </c>
      <c r="C413">
        <v>2</v>
      </c>
      <c r="D413" t="s">
        <v>139</v>
      </c>
      <c r="E413" t="s">
        <v>141</v>
      </c>
      <c r="F413">
        <v>6.8</v>
      </c>
      <c r="G413">
        <v>55.3</v>
      </c>
      <c r="H413" t="s">
        <v>11</v>
      </c>
      <c r="I413" t="str">
        <f t="shared" si="6"/>
        <v>Média</v>
      </c>
    </row>
    <row r="414" spans="1:9">
      <c r="A414" t="s">
        <v>341</v>
      </c>
      <c r="B414">
        <v>2025</v>
      </c>
      <c r="C414">
        <v>2</v>
      </c>
      <c r="D414" t="s">
        <v>139</v>
      </c>
      <c r="E414" t="s">
        <v>10</v>
      </c>
      <c r="F414">
        <v>6.8</v>
      </c>
      <c r="G414">
        <v>48.4</v>
      </c>
      <c r="H414" t="s">
        <v>11</v>
      </c>
      <c r="I414" t="str">
        <f t="shared" si="6"/>
        <v>Baixa</v>
      </c>
    </row>
    <row r="415" spans="1:9">
      <c r="A415" t="s">
        <v>530</v>
      </c>
      <c r="B415">
        <v>2026</v>
      </c>
      <c r="C415">
        <v>1</v>
      </c>
      <c r="D415" t="s">
        <v>139</v>
      </c>
      <c r="E415" t="s">
        <v>140</v>
      </c>
      <c r="F415">
        <v>6.8</v>
      </c>
      <c r="G415">
        <v>81.5</v>
      </c>
      <c r="H415" t="s">
        <v>11</v>
      </c>
      <c r="I415" t="str">
        <f t="shared" si="6"/>
        <v>Alta</v>
      </c>
    </row>
    <row r="416" spans="1:9">
      <c r="A416" t="s">
        <v>505</v>
      </c>
      <c r="B416">
        <v>2026</v>
      </c>
      <c r="C416">
        <v>2</v>
      </c>
      <c r="D416" t="s">
        <v>139</v>
      </c>
      <c r="E416" t="s">
        <v>10</v>
      </c>
      <c r="F416">
        <v>6.8</v>
      </c>
      <c r="G416">
        <v>65.099999999999994</v>
      </c>
      <c r="H416" t="s">
        <v>11</v>
      </c>
      <c r="I416" t="str">
        <f t="shared" si="6"/>
        <v>Média</v>
      </c>
    </row>
    <row r="417" spans="1:9">
      <c r="A417" t="s">
        <v>81</v>
      </c>
      <c r="B417">
        <v>2024</v>
      </c>
      <c r="C417">
        <v>1</v>
      </c>
      <c r="D417" t="s">
        <v>75</v>
      </c>
      <c r="E417" t="s">
        <v>76</v>
      </c>
      <c r="F417">
        <v>6.9</v>
      </c>
      <c r="G417">
        <v>60.4</v>
      </c>
      <c r="H417" t="s">
        <v>11</v>
      </c>
      <c r="I417" t="str">
        <f t="shared" si="6"/>
        <v>Média</v>
      </c>
    </row>
    <row r="418" spans="1:9">
      <c r="A418" t="s">
        <v>147</v>
      </c>
      <c r="B418">
        <v>2024</v>
      </c>
      <c r="C418">
        <v>1</v>
      </c>
      <c r="D418" t="s">
        <v>139</v>
      </c>
      <c r="E418" t="s">
        <v>140</v>
      </c>
      <c r="F418">
        <v>6.9</v>
      </c>
      <c r="G418">
        <v>71.400000000000006</v>
      </c>
      <c r="H418" t="s">
        <v>11</v>
      </c>
      <c r="I418" t="str">
        <f t="shared" si="6"/>
        <v>Média</v>
      </c>
    </row>
    <row r="419" spans="1:9">
      <c r="A419" t="s">
        <v>146</v>
      </c>
      <c r="B419">
        <v>2024</v>
      </c>
      <c r="C419">
        <v>2</v>
      </c>
      <c r="D419" t="s">
        <v>139</v>
      </c>
      <c r="E419" t="s">
        <v>10</v>
      </c>
      <c r="F419">
        <v>6.9</v>
      </c>
      <c r="G419">
        <v>54.8</v>
      </c>
      <c r="H419" t="s">
        <v>11</v>
      </c>
      <c r="I419" t="str">
        <f t="shared" si="6"/>
        <v>Média</v>
      </c>
    </row>
    <row r="420" spans="1:9">
      <c r="A420" t="s">
        <v>237</v>
      </c>
      <c r="B420">
        <v>2025</v>
      </c>
      <c r="C420">
        <v>1</v>
      </c>
      <c r="D420" t="s">
        <v>9</v>
      </c>
      <c r="E420" t="s">
        <v>12</v>
      </c>
      <c r="F420">
        <v>6.9</v>
      </c>
      <c r="G420">
        <v>57</v>
      </c>
      <c r="H420" t="s">
        <v>11</v>
      </c>
      <c r="I420" t="str">
        <f t="shared" si="6"/>
        <v>Média</v>
      </c>
    </row>
    <row r="421" spans="1:9">
      <c r="A421" t="s">
        <v>267</v>
      </c>
      <c r="B421">
        <v>2025</v>
      </c>
      <c r="C421">
        <v>1</v>
      </c>
      <c r="D421" t="s">
        <v>75</v>
      </c>
      <c r="E421" t="s">
        <v>78</v>
      </c>
      <c r="F421">
        <v>6.9</v>
      </c>
      <c r="G421">
        <v>47</v>
      </c>
      <c r="H421" t="s">
        <v>11</v>
      </c>
      <c r="I421" t="str">
        <f t="shared" si="6"/>
        <v>Baixa</v>
      </c>
    </row>
    <row r="422" spans="1:9">
      <c r="A422" t="s">
        <v>285</v>
      </c>
      <c r="B422">
        <v>2025</v>
      </c>
      <c r="C422">
        <v>1</v>
      </c>
      <c r="D422" t="s">
        <v>75</v>
      </c>
      <c r="E422" t="s">
        <v>78</v>
      </c>
      <c r="F422">
        <v>6.9</v>
      </c>
      <c r="G422">
        <v>61.2</v>
      </c>
      <c r="H422" t="s">
        <v>11</v>
      </c>
      <c r="I422" t="str">
        <f t="shared" si="6"/>
        <v>Média</v>
      </c>
    </row>
    <row r="423" spans="1:9">
      <c r="A423" t="s">
        <v>291</v>
      </c>
      <c r="B423">
        <v>2025</v>
      </c>
      <c r="C423">
        <v>1</v>
      </c>
      <c r="D423" t="s">
        <v>75</v>
      </c>
      <c r="E423" t="s">
        <v>76</v>
      </c>
      <c r="F423">
        <v>6.9</v>
      </c>
      <c r="G423">
        <v>56.6</v>
      </c>
      <c r="H423" t="s">
        <v>11</v>
      </c>
      <c r="I423" t="str">
        <f t="shared" si="6"/>
        <v>Média</v>
      </c>
    </row>
    <row r="424" spans="1:9">
      <c r="A424" t="s">
        <v>372</v>
      </c>
      <c r="B424">
        <v>2025</v>
      </c>
      <c r="C424">
        <v>1</v>
      </c>
      <c r="D424" t="s">
        <v>139</v>
      </c>
      <c r="E424" t="s">
        <v>10</v>
      </c>
      <c r="F424">
        <v>6.9</v>
      </c>
      <c r="G424">
        <v>65</v>
      </c>
      <c r="H424" t="s">
        <v>11</v>
      </c>
      <c r="I424" t="str">
        <f t="shared" si="6"/>
        <v>Média</v>
      </c>
    </row>
    <row r="425" spans="1:9">
      <c r="A425" t="s">
        <v>219</v>
      </c>
      <c r="B425">
        <v>2025</v>
      </c>
      <c r="C425">
        <v>2</v>
      </c>
      <c r="D425" t="s">
        <v>9</v>
      </c>
      <c r="E425" t="s">
        <v>10</v>
      </c>
      <c r="F425">
        <v>6.9</v>
      </c>
      <c r="G425">
        <v>59.5</v>
      </c>
      <c r="H425" t="s">
        <v>11</v>
      </c>
      <c r="I425" t="str">
        <f t="shared" si="6"/>
        <v>Média</v>
      </c>
    </row>
    <row r="426" spans="1:9">
      <c r="A426" t="s">
        <v>230</v>
      </c>
      <c r="B426">
        <v>2025</v>
      </c>
      <c r="C426">
        <v>2</v>
      </c>
      <c r="D426" t="s">
        <v>9</v>
      </c>
      <c r="E426" t="s">
        <v>10</v>
      </c>
      <c r="F426">
        <v>6.9</v>
      </c>
      <c r="G426">
        <v>65.400000000000006</v>
      </c>
      <c r="H426" t="s">
        <v>11</v>
      </c>
      <c r="I426" t="str">
        <f t="shared" si="6"/>
        <v>Média</v>
      </c>
    </row>
    <row r="427" spans="1:9">
      <c r="A427" t="s">
        <v>235</v>
      </c>
      <c r="B427">
        <v>2025</v>
      </c>
      <c r="C427">
        <v>2</v>
      </c>
      <c r="D427" t="s">
        <v>9</v>
      </c>
      <c r="E427" t="s">
        <v>10</v>
      </c>
      <c r="F427">
        <v>6.9</v>
      </c>
      <c r="G427">
        <v>87.8</v>
      </c>
      <c r="H427" t="s">
        <v>11</v>
      </c>
      <c r="I427" t="str">
        <f t="shared" si="6"/>
        <v>Alta</v>
      </c>
    </row>
    <row r="428" spans="1:9">
      <c r="A428" t="s">
        <v>265</v>
      </c>
      <c r="B428">
        <v>2025</v>
      </c>
      <c r="C428">
        <v>2</v>
      </c>
      <c r="D428" t="s">
        <v>75</v>
      </c>
      <c r="E428" t="s">
        <v>77</v>
      </c>
      <c r="F428">
        <v>6.9</v>
      </c>
      <c r="G428">
        <v>46.8</v>
      </c>
      <c r="H428" t="s">
        <v>11</v>
      </c>
      <c r="I428" t="str">
        <f t="shared" si="6"/>
        <v>Baixa</v>
      </c>
    </row>
    <row r="429" spans="1:9">
      <c r="A429" t="s">
        <v>301</v>
      </c>
      <c r="B429">
        <v>2025</v>
      </c>
      <c r="C429">
        <v>2</v>
      </c>
      <c r="D429" t="s">
        <v>75</v>
      </c>
      <c r="E429" t="s">
        <v>76</v>
      </c>
      <c r="F429">
        <v>6.9</v>
      </c>
      <c r="G429">
        <v>65</v>
      </c>
      <c r="H429" t="s">
        <v>11</v>
      </c>
      <c r="I429" t="str">
        <f t="shared" si="6"/>
        <v>Média</v>
      </c>
    </row>
    <row r="430" spans="1:9">
      <c r="A430" t="s">
        <v>446</v>
      </c>
      <c r="B430">
        <v>2026</v>
      </c>
      <c r="C430">
        <v>1</v>
      </c>
      <c r="D430" t="s">
        <v>75</v>
      </c>
      <c r="E430" t="s">
        <v>76</v>
      </c>
      <c r="F430">
        <v>6.9</v>
      </c>
      <c r="G430">
        <v>53.3</v>
      </c>
      <c r="H430" t="s">
        <v>11</v>
      </c>
      <c r="I430" t="str">
        <f t="shared" si="6"/>
        <v>Média</v>
      </c>
    </row>
    <row r="431" spans="1:9">
      <c r="A431" t="s">
        <v>485</v>
      </c>
      <c r="B431">
        <v>2026</v>
      </c>
      <c r="C431">
        <v>1</v>
      </c>
      <c r="D431" t="s">
        <v>75</v>
      </c>
      <c r="E431" t="s">
        <v>76</v>
      </c>
      <c r="F431">
        <v>6.9</v>
      </c>
      <c r="G431">
        <v>96.7</v>
      </c>
      <c r="H431" t="s">
        <v>11</v>
      </c>
      <c r="I431" t="str">
        <f t="shared" si="6"/>
        <v>Alta</v>
      </c>
    </row>
    <row r="432" spans="1:9">
      <c r="A432" t="s">
        <v>490</v>
      </c>
      <c r="B432">
        <v>2026</v>
      </c>
      <c r="C432">
        <v>1</v>
      </c>
      <c r="D432" t="s">
        <v>75</v>
      </c>
      <c r="E432" t="s">
        <v>76</v>
      </c>
      <c r="F432">
        <v>6.9</v>
      </c>
      <c r="G432">
        <v>73.400000000000006</v>
      </c>
      <c r="H432" t="s">
        <v>11</v>
      </c>
      <c r="I432" t="str">
        <f t="shared" si="6"/>
        <v>Média</v>
      </c>
    </row>
    <row r="433" spans="1:9">
      <c r="A433" t="s">
        <v>402</v>
      </c>
      <c r="B433">
        <v>2026</v>
      </c>
      <c r="C433">
        <v>2</v>
      </c>
      <c r="D433" t="s">
        <v>9</v>
      </c>
      <c r="E433" t="s">
        <v>10</v>
      </c>
      <c r="F433">
        <v>6.9</v>
      </c>
      <c r="G433">
        <v>64.2</v>
      </c>
      <c r="H433" t="s">
        <v>11</v>
      </c>
      <c r="I433" t="str">
        <f t="shared" si="6"/>
        <v>Média</v>
      </c>
    </row>
    <row r="434" spans="1:9">
      <c r="A434" t="s">
        <v>443</v>
      </c>
      <c r="B434">
        <v>2026</v>
      </c>
      <c r="C434">
        <v>2</v>
      </c>
      <c r="D434" t="s">
        <v>75</v>
      </c>
      <c r="E434" t="s">
        <v>78</v>
      </c>
      <c r="F434">
        <v>6.9</v>
      </c>
      <c r="G434">
        <v>53.2</v>
      </c>
      <c r="H434" t="s">
        <v>11</v>
      </c>
      <c r="I434" t="str">
        <f t="shared" si="6"/>
        <v>Média</v>
      </c>
    </row>
    <row r="435" spans="1:9">
      <c r="A435" t="s">
        <v>446</v>
      </c>
      <c r="B435">
        <v>2026</v>
      </c>
      <c r="C435">
        <v>2</v>
      </c>
      <c r="D435" t="s">
        <v>75</v>
      </c>
      <c r="E435" t="s">
        <v>78</v>
      </c>
      <c r="F435">
        <v>6.9</v>
      </c>
      <c r="G435">
        <v>73.599999999999994</v>
      </c>
      <c r="H435" t="s">
        <v>11</v>
      </c>
      <c r="I435" t="str">
        <f t="shared" si="6"/>
        <v>Média</v>
      </c>
    </row>
    <row r="436" spans="1:9">
      <c r="A436" t="s">
        <v>39</v>
      </c>
      <c r="B436">
        <v>2024</v>
      </c>
      <c r="C436">
        <v>1</v>
      </c>
      <c r="D436" t="s">
        <v>9</v>
      </c>
      <c r="E436" t="s">
        <v>10</v>
      </c>
      <c r="F436">
        <v>7</v>
      </c>
      <c r="G436">
        <v>57.1</v>
      </c>
      <c r="H436" t="s">
        <v>11</v>
      </c>
      <c r="I436" t="str">
        <f t="shared" si="6"/>
        <v>Média</v>
      </c>
    </row>
    <row r="437" spans="1:9">
      <c r="A437" t="s">
        <v>34</v>
      </c>
      <c r="B437">
        <v>2024</v>
      </c>
      <c r="C437">
        <v>2</v>
      </c>
      <c r="D437" t="s">
        <v>9</v>
      </c>
      <c r="E437" t="s">
        <v>12</v>
      </c>
      <c r="F437">
        <v>7</v>
      </c>
      <c r="G437">
        <v>89.9</v>
      </c>
      <c r="H437" t="s">
        <v>11</v>
      </c>
      <c r="I437" t="str">
        <f t="shared" si="6"/>
        <v>Alta</v>
      </c>
    </row>
    <row r="438" spans="1:9">
      <c r="A438" t="s">
        <v>93</v>
      </c>
      <c r="B438">
        <v>2024</v>
      </c>
      <c r="C438">
        <v>2</v>
      </c>
      <c r="D438" t="s">
        <v>75</v>
      </c>
      <c r="E438" t="s">
        <v>76</v>
      </c>
      <c r="F438">
        <v>7</v>
      </c>
      <c r="G438">
        <v>48.9</v>
      </c>
      <c r="H438" t="s">
        <v>11</v>
      </c>
      <c r="I438" t="str">
        <f t="shared" si="6"/>
        <v>Baixa</v>
      </c>
    </row>
    <row r="439" spans="1:9">
      <c r="A439" t="s">
        <v>262</v>
      </c>
      <c r="B439">
        <v>2025</v>
      </c>
      <c r="C439">
        <v>1</v>
      </c>
      <c r="D439" t="s">
        <v>75</v>
      </c>
      <c r="E439" t="s">
        <v>76</v>
      </c>
      <c r="F439">
        <v>7</v>
      </c>
      <c r="G439">
        <v>55.9</v>
      </c>
      <c r="H439" t="s">
        <v>11</v>
      </c>
      <c r="I439" t="str">
        <f t="shared" si="6"/>
        <v>Média</v>
      </c>
    </row>
    <row r="440" spans="1:9">
      <c r="A440" t="s">
        <v>266</v>
      </c>
      <c r="B440">
        <v>2025</v>
      </c>
      <c r="C440">
        <v>1</v>
      </c>
      <c r="D440" t="s">
        <v>75</v>
      </c>
      <c r="E440" t="s">
        <v>77</v>
      </c>
      <c r="F440">
        <v>7</v>
      </c>
      <c r="G440">
        <v>59.5</v>
      </c>
      <c r="H440" t="s">
        <v>11</v>
      </c>
      <c r="I440" t="str">
        <f t="shared" si="6"/>
        <v>Média</v>
      </c>
    </row>
    <row r="441" spans="1:9">
      <c r="A441" t="s">
        <v>293</v>
      </c>
      <c r="B441">
        <v>2025</v>
      </c>
      <c r="C441">
        <v>1</v>
      </c>
      <c r="D441" t="s">
        <v>75</v>
      </c>
      <c r="E441" t="s">
        <v>77</v>
      </c>
      <c r="F441">
        <v>7</v>
      </c>
      <c r="G441">
        <v>47.8</v>
      </c>
      <c r="H441" t="s">
        <v>11</v>
      </c>
      <c r="I441" t="str">
        <f t="shared" si="6"/>
        <v>Baixa</v>
      </c>
    </row>
    <row r="442" spans="1:9">
      <c r="A442" t="s">
        <v>366</v>
      </c>
      <c r="B442">
        <v>2025</v>
      </c>
      <c r="C442">
        <v>1</v>
      </c>
      <c r="D442" t="s">
        <v>139</v>
      </c>
      <c r="E442" t="s">
        <v>141</v>
      </c>
      <c r="F442">
        <v>7</v>
      </c>
      <c r="G442">
        <v>62.1</v>
      </c>
      <c r="H442" t="s">
        <v>11</v>
      </c>
      <c r="I442" t="str">
        <f t="shared" si="6"/>
        <v>Média</v>
      </c>
    </row>
    <row r="443" spans="1:9">
      <c r="A443" t="s">
        <v>238</v>
      </c>
      <c r="B443">
        <v>2025</v>
      </c>
      <c r="C443">
        <v>2</v>
      </c>
      <c r="D443" t="s">
        <v>9</v>
      </c>
      <c r="E443" t="s">
        <v>14</v>
      </c>
      <c r="F443">
        <v>7</v>
      </c>
      <c r="G443">
        <v>55.8</v>
      </c>
      <c r="H443" t="s">
        <v>11</v>
      </c>
      <c r="I443" t="str">
        <f t="shared" si="6"/>
        <v>Média</v>
      </c>
    </row>
    <row r="444" spans="1:9">
      <c r="A444" t="s">
        <v>243</v>
      </c>
      <c r="B444">
        <v>2025</v>
      </c>
      <c r="C444">
        <v>2</v>
      </c>
      <c r="D444" t="s">
        <v>9</v>
      </c>
      <c r="E444" t="s">
        <v>14</v>
      </c>
      <c r="F444">
        <v>7</v>
      </c>
      <c r="G444">
        <v>83.1</v>
      </c>
      <c r="H444" t="s">
        <v>11</v>
      </c>
      <c r="I444" t="str">
        <f t="shared" si="6"/>
        <v>Alta</v>
      </c>
    </row>
    <row r="445" spans="1:9">
      <c r="A445" t="s">
        <v>261</v>
      </c>
      <c r="B445">
        <v>2025</v>
      </c>
      <c r="C445">
        <v>2</v>
      </c>
      <c r="D445" t="s">
        <v>75</v>
      </c>
      <c r="E445" t="s">
        <v>77</v>
      </c>
      <c r="F445">
        <v>7</v>
      </c>
      <c r="G445">
        <v>47.5</v>
      </c>
      <c r="H445" t="s">
        <v>11</v>
      </c>
      <c r="I445" t="str">
        <f t="shared" si="6"/>
        <v>Baixa</v>
      </c>
    </row>
    <row r="446" spans="1:9">
      <c r="A446" t="s">
        <v>269</v>
      </c>
      <c r="B446">
        <v>2025</v>
      </c>
      <c r="C446">
        <v>2</v>
      </c>
      <c r="D446" t="s">
        <v>75</v>
      </c>
      <c r="E446" t="s">
        <v>78</v>
      </c>
      <c r="F446">
        <v>7</v>
      </c>
      <c r="G446">
        <v>46.1</v>
      </c>
      <c r="H446" t="s">
        <v>11</v>
      </c>
      <c r="I446" t="str">
        <f t="shared" si="6"/>
        <v>Baixa</v>
      </c>
    </row>
    <row r="447" spans="1:9">
      <c r="A447" t="s">
        <v>403</v>
      </c>
      <c r="B447">
        <v>2026</v>
      </c>
      <c r="C447">
        <v>1</v>
      </c>
      <c r="D447" t="s">
        <v>9</v>
      </c>
      <c r="E447" t="s">
        <v>10</v>
      </c>
      <c r="F447">
        <v>7</v>
      </c>
      <c r="G447">
        <v>61.1</v>
      </c>
      <c r="H447" t="s">
        <v>11</v>
      </c>
      <c r="I447" t="str">
        <f t="shared" si="6"/>
        <v>Média</v>
      </c>
    </row>
    <row r="448" spans="1:9">
      <c r="A448" t="s">
        <v>449</v>
      </c>
      <c r="B448">
        <v>2026</v>
      </c>
      <c r="C448">
        <v>1</v>
      </c>
      <c r="D448" t="s">
        <v>75</v>
      </c>
      <c r="E448" t="s">
        <v>76</v>
      </c>
      <c r="F448">
        <v>7</v>
      </c>
      <c r="G448">
        <v>69.5</v>
      </c>
      <c r="H448" t="s">
        <v>11</v>
      </c>
      <c r="I448" t="str">
        <f t="shared" si="6"/>
        <v>Média</v>
      </c>
    </row>
    <row r="449" spans="1:9">
      <c r="A449" t="s">
        <v>469</v>
      </c>
      <c r="B449">
        <v>2026</v>
      </c>
      <c r="C449">
        <v>1</v>
      </c>
      <c r="D449" t="s">
        <v>75</v>
      </c>
      <c r="E449" t="s">
        <v>78</v>
      </c>
      <c r="F449">
        <v>7</v>
      </c>
      <c r="G449">
        <v>94.5</v>
      </c>
      <c r="H449" t="s">
        <v>11</v>
      </c>
      <c r="I449" t="str">
        <f t="shared" si="6"/>
        <v>Alta</v>
      </c>
    </row>
    <row r="450" spans="1:9">
      <c r="A450" t="s">
        <v>480</v>
      </c>
      <c r="B450">
        <v>2026</v>
      </c>
      <c r="C450">
        <v>1</v>
      </c>
      <c r="D450" t="s">
        <v>75</v>
      </c>
      <c r="E450" t="s">
        <v>77</v>
      </c>
      <c r="F450">
        <v>7</v>
      </c>
      <c r="G450">
        <v>55.4</v>
      </c>
      <c r="H450" t="s">
        <v>11</v>
      </c>
      <c r="I450" t="str">
        <f t="shared" ref="I450:I513" si="7">IF(G450&lt;50,"Baixa",IF(G450&lt;75,"Média","Alta"))</f>
        <v>Média</v>
      </c>
    </row>
    <row r="451" spans="1:9">
      <c r="A451" t="s">
        <v>538</v>
      </c>
      <c r="B451">
        <v>2026</v>
      </c>
      <c r="C451">
        <v>1</v>
      </c>
      <c r="D451" t="s">
        <v>139</v>
      </c>
      <c r="E451" t="s">
        <v>141</v>
      </c>
      <c r="F451">
        <v>7</v>
      </c>
      <c r="G451">
        <v>45.7</v>
      </c>
      <c r="H451" t="s">
        <v>11</v>
      </c>
      <c r="I451" t="str">
        <f t="shared" si="7"/>
        <v>Baixa</v>
      </c>
    </row>
    <row r="452" spans="1:9">
      <c r="A452" t="s">
        <v>415</v>
      </c>
      <c r="B452">
        <v>2026</v>
      </c>
      <c r="C452">
        <v>2</v>
      </c>
      <c r="D452" t="s">
        <v>9</v>
      </c>
      <c r="E452" t="s">
        <v>12</v>
      </c>
      <c r="F452">
        <v>7</v>
      </c>
      <c r="G452">
        <v>66.7</v>
      </c>
      <c r="H452" t="s">
        <v>11</v>
      </c>
      <c r="I452" t="str">
        <f t="shared" si="7"/>
        <v>Média</v>
      </c>
    </row>
    <row r="453" spans="1:9">
      <c r="A453" t="s">
        <v>422</v>
      </c>
      <c r="B453">
        <v>2026</v>
      </c>
      <c r="C453">
        <v>2</v>
      </c>
      <c r="D453" t="s">
        <v>9</v>
      </c>
      <c r="E453" t="s">
        <v>10</v>
      </c>
      <c r="F453">
        <v>7</v>
      </c>
      <c r="G453">
        <v>73.8</v>
      </c>
      <c r="H453" t="s">
        <v>11</v>
      </c>
      <c r="I453" t="str">
        <f t="shared" si="7"/>
        <v>Média</v>
      </c>
    </row>
    <row r="454" spans="1:9">
      <c r="A454" t="s">
        <v>49</v>
      </c>
      <c r="B454">
        <v>2024</v>
      </c>
      <c r="C454">
        <v>1</v>
      </c>
      <c r="D454" t="s">
        <v>9</v>
      </c>
      <c r="E454" t="s">
        <v>14</v>
      </c>
      <c r="F454">
        <v>7.1</v>
      </c>
      <c r="G454">
        <v>61.8</v>
      </c>
      <c r="H454" t="s">
        <v>11</v>
      </c>
      <c r="I454" t="str">
        <f t="shared" si="7"/>
        <v>Média</v>
      </c>
    </row>
    <row r="455" spans="1:9">
      <c r="A455" t="s">
        <v>154</v>
      </c>
      <c r="B455">
        <v>2024</v>
      </c>
      <c r="C455">
        <v>1</v>
      </c>
      <c r="D455" t="s">
        <v>139</v>
      </c>
      <c r="E455" t="s">
        <v>10</v>
      </c>
      <c r="F455">
        <v>7.1</v>
      </c>
      <c r="G455">
        <v>57.5</v>
      </c>
      <c r="H455" t="s">
        <v>11</v>
      </c>
      <c r="I455" t="str">
        <f t="shared" si="7"/>
        <v>Média</v>
      </c>
    </row>
    <row r="456" spans="1:9">
      <c r="A456" t="s">
        <v>178</v>
      </c>
      <c r="B456">
        <v>2024</v>
      </c>
      <c r="C456">
        <v>1</v>
      </c>
      <c r="D456" t="s">
        <v>139</v>
      </c>
      <c r="E456" t="s">
        <v>140</v>
      </c>
      <c r="F456">
        <v>7.1</v>
      </c>
      <c r="G456">
        <v>53.2</v>
      </c>
      <c r="H456" t="s">
        <v>11</v>
      </c>
      <c r="I456" t="str">
        <f t="shared" si="7"/>
        <v>Média</v>
      </c>
    </row>
    <row r="457" spans="1:9">
      <c r="A457" t="s">
        <v>187</v>
      </c>
      <c r="B457">
        <v>2024</v>
      </c>
      <c r="C457">
        <v>1</v>
      </c>
      <c r="D457" t="s">
        <v>139</v>
      </c>
      <c r="E457" t="s">
        <v>141</v>
      </c>
      <c r="F457">
        <v>7.1</v>
      </c>
      <c r="G457">
        <v>63.3</v>
      </c>
      <c r="H457" t="s">
        <v>11</v>
      </c>
      <c r="I457" t="str">
        <f t="shared" si="7"/>
        <v>Média</v>
      </c>
    </row>
    <row r="458" spans="1:9">
      <c r="A458" t="s">
        <v>22</v>
      </c>
      <c r="B458">
        <v>2024</v>
      </c>
      <c r="C458">
        <v>2</v>
      </c>
      <c r="D458" t="s">
        <v>9</v>
      </c>
      <c r="E458" t="s">
        <v>10</v>
      </c>
      <c r="F458">
        <v>7.1</v>
      </c>
      <c r="G458">
        <v>84.4</v>
      </c>
      <c r="H458" t="s">
        <v>11</v>
      </c>
      <c r="I458" t="str">
        <f t="shared" si="7"/>
        <v>Alta</v>
      </c>
    </row>
    <row r="459" spans="1:9">
      <c r="A459" t="s">
        <v>45</v>
      </c>
      <c r="B459">
        <v>2024</v>
      </c>
      <c r="C459">
        <v>2</v>
      </c>
      <c r="D459" t="s">
        <v>9</v>
      </c>
      <c r="E459" t="s">
        <v>12</v>
      </c>
      <c r="F459">
        <v>7.1</v>
      </c>
      <c r="G459">
        <v>49.5</v>
      </c>
      <c r="H459" t="s">
        <v>11</v>
      </c>
      <c r="I459" t="str">
        <f t="shared" si="7"/>
        <v>Baixa</v>
      </c>
    </row>
    <row r="460" spans="1:9">
      <c r="A460" t="s">
        <v>99</v>
      </c>
      <c r="B460">
        <v>2024</v>
      </c>
      <c r="C460">
        <v>2</v>
      </c>
      <c r="D460" t="s">
        <v>75</v>
      </c>
      <c r="E460" t="s">
        <v>76</v>
      </c>
      <c r="F460">
        <v>7.1</v>
      </c>
      <c r="G460">
        <v>65.8</v>
      </c>
      <c r="H460" t="s">
        <v>11</v>
      </c>
      <c r="I460" t="str">
        <f t="shared" si="7"/>
        <v>Média</v>
      </c>
    </row>
    <row r="461" spans="1:9">
      <c r="A461" t="s">
        <v>234</v>
      </c>
      <c r="B461">
        <v>2025</v>
      </c>
      <c r="C461">
        <v>1</v>
      </c>
      <c r="D461" t="s">
        <v>9</v>
      </c>
      <c r="E461" t="s">
        <v>14</v>
      </c>
      <c r="F461">
        <v>7.1</v>
      </c>
      <c r="G461">
        <v>59.5</v>
      </c>
      <c r="H461" t="s">
        <v>11</v>
      </c>
      <c r="I461" t="str">
        <f t="shared" si="7"/>
        <v>Média</v>
      </c>
    </row>
    <row r="462" spans="1:9">
      <c r="A462" t="s">
        <v>281</v>
      </c>
      <c r="B462">
        <v>2025</v>
      </c>
      <c r="C462">
        <v>1</v>
      </c>
      <c r="D462" t="s">
        <v>75</v>
      </c>
      <c r="E462" t="s">
        <v>76</v>
      </c>
      <c r="F462">
        <v>7.1</v>
      </c>
      <c r="G462">
        <v>49.9</v>
      </c>
      <c r="H462" t="s">
        <v>11</v>
      </c>
      <c r="I462" t="str">
        <f t="shared" si="7"/>
        <v>Baixa</v>
      </c>
    </row>
    <row r="463" spans="1:9">
      <c r="A463" t="s">
        <v>322</v>
      </c>
      <c r="B463">
        <v>2025</v>
      </c>
      <c r="C463">
        <v>1</v>
      </c>
      <c r="D463" t="s">
        <v>139</v>
      </c>
      <c r="E463" t="s">
        <v>140</v>
      </c>
      <c r="F463">
        <v>7.1</v>
      </c>
      <c r="G463">
        <v>62.4</v>
      </c>
      <c r="H463" t="s">
        <v>11</v>
      </c>
      <c r="I463" t="str">
        <f t="shared" si="7"/>
        <v>Média</v>
      </c>
    </row>
    <row r="464" spans="1:9">
      <c r="A464" t="s">
        <v>325</v>
      </c>
      <c r="B464">
        <v>2025</v>
      </c>
      <c r="C464">
        <v>1</v>
      </c>
      <c r="D464" t="s">
        <v>139</v>
      </c>
      <c r="E464" t="s">
        <v>141</v>
      </c>
      <c r="F464">
        <v>7.1</v>
      </c>
      <c r="G464">
        <v>51.4</v>
      </c>
      <c r="H464" t="s">
        <v>11</v>
      </c>
      <c r="I464" t="str">
        <f t="shared" si="7"/>
        <v>Média</v>
      </c>
    </row>
    <row r="465" spans="1:9">
      <c r="A465" t="s">
        <v>341</v>
      </c>
      <c r="B465">
        <v>2025</v>
      </c>
      <c r="C465">
        <v>1</v>
      </c>
      <c r="D465" t="s">
        <v>139</v>
      </c>
      <c r="E465" t="s">
        <v>10</v>
      </c>
      <c r="F465">
        <v>7.1</v>
      </c>
      <c r="G465">
        <v>53.1</v>
      </c>
      <c r="H465" t="s">
        <v>11</v>
      </c>
      <c r="I465" t="str">
        <f t="shared" si="7"/>
        <v>Média</v>
      </c>
    </row>
    <row r="466" spans="1:9">
      <c r="A466" t="s">
        <v>345</v>
      </c>
      <c r="B466">
        <v>2025</v>
      </c>
      <c r="C466">
        <v>1</v>
      </c>
      <c r="D466" t="s">
        <v>139</v>
      </c>
      <c r="E466" t="s">
        <v>10</v>
      </c>
      <c r="F466">
        <v>7.1</v>
      </c>
      <c r="G466">
        <v>57.2</v>
      </c>
      <c r="H466" t="s">
        <v>11</v>
      </c>
      <c r="I466" t="str">
        <f t="shared" si="7"/>
        <v>Média</v>
      </c>
    </row>
    <row r="467" spans="1:9">
      <c r="A467" t="s">
        <v>223</v>
      </c>
      <c r="B467">
        <v>2025</v>
      </c>
      <c r="C467">
        <v>2</v>
      </c>
      <c r="D467" t="s">
        <v>9</v>
      </c>
      <c r="E467" t="s">
        <v>10</v>
      </c>
      <c r="F467">
        <v>7.1</v>
      </c>
      <c r="G467">
        <v>65.099999999999994</v>
      </c>
      <c r="H467" t="s">
        <v>11</v>
      </c>
      <c r="I467" t="str">
        <f t="shared" si="7"/>
        <v>Média</v>
      </c>
    </row>
    <row r="468" spans="1:9">
      <c r="A468" t="s">
        <v>270</v>
      </c>
      <c r="B468">
        <v>2025</v>
      </c>
      <c r="C468">
        <v>2</v>
      </c>
      <c r="D468" t="s">
        <v>75</v>
      </c>
      <c r="E468" t="s">
        <v>78</v>
      </c>
      <c r="F468">
        <v>7.1</v>
      </c>
      <c r="G468">
        <v>71.8</v>
      </c>
      <c r="H468" t="s">
        <v>11</v>
      </c>
      <c r="I468" t="str">
        <f t="shared" si="7"/>
        <v>Média</v>
      </c>
    </row>
    <row r="469" spans="1:9">
      <c r="A469" t="s">
        <v>321</v>
      </c>
      <c r="B469">
        <v>2025</v>
      </c>
      <c r="C469">
        <v>2</v>
      </c>
      <c r="D469" t="s">
        <v>139</v>
      </c>
      <c r="E469" t="s">
        <v>140</v>
      </c>
      <c r="F469">
        <v>7.1</v>
      </c>
      <c r="G469">
        <v>60.4</v>
      </c>
      <c r="H469" t="s">
        <v>11</v>
      </c>
      <c r="I469" t="str">
        <f t="shared" si="7"/>
        <v>Média</v>
      </c>
    </row>
    <row r="470" spans="1:9">
      <c r="A470" t="s">
        <v>452</v>
      </c>
      <c r="B470">
        <v>2026</v>
      </c>
      <c r="C470">
        <v>1</v>
      </c>
      <c r="D470" t="s">
        <v>75</v>
      </c>
      <c r="E470" t="s">
        <v>77</v>
      </c>
      <c r="F470">
        <v>7.1</v>
      </c>
      <c r="G470">
        <v>80.3</v>
      </c>
      <c r="H470" t="s">
        <v>11</v>
      </c>
      <c r="I470" t="str">
        <f t="shared" si="7"/>
        <v>Alta</v>
      </c>
    </row>
    <row r="471" spans="1:9">
      <c r="A471" t="s">
        <v>461</v>
      </c>
      <c r="B471">
        <v>2026</v>
      </c>
      <c r="C471">
        <v>1</v>
      </c>
      <c r="D471" t="s">
        <v>75</v>
      </c>
      <c r="E471" t="s">
        <v>78</v>
      </c>
      <c r="F471">
        <v>7.1</v>
      </c>
      <c r="G471">
        <v>52.7</v>
      </c>
      <c r="H471" t="s">
        <v>11</v>
      </c>
      <c r="I471" t="str">
        <f t="shared" si="7"/>
        <v>Média</v>
      </c>
    </row>
    <row r="472" spans="1:9">
      <c r="A472" t="s">
        <v>462</v>
      </c>
      <c r="B472">
        <v>2026</v>
      </c>
      <c r="C472">
        <v>1</v>
      </c>
      <c r="D472" t="s">
        <v>75</v>
      </c>
      <c r="E472" t="s">
        <v>76</v>
      </c>
      <c r="F472">
        <v>7.1</v>
      </c>
      <c r="G472">
        <v>77.099999999999994</v>
      </c>
      <c r="H472" t="s">
        <v>11</v>
      </c>
      <c r="I472" t="str">
        <f t="shared" si="7"/>
        <v>Alta</v>
      </c>
    </row>
    <row r="473" spans="1:9">
      <c r="A473" t="s">
        <v>470</v>
      </c>
      <c r="B473">
        <v>2026</v>
      </c>
      <c r="C473">
        <v>1</v>
      </c>
      <c r="D473" t="s">
        <v>75</v>
      </c>
      <c r="E473" t="s">
        <v>76</v>
      </c>
      <c r="F473">
        <v>7.1</v>
      </c>
      <c r="G473">
        <v>66.400000000000006</v>
      </c>
      <c r="H473" t="s">
        <v>11</v>
      </c>
      <c r="I473" t="str">
        <f t="shared" si="7"/>
        <v>Média</v>
      </c>
    </row>
    <row r="474" spans="1:9">
      <c r="A474" t="s">
        <v>505</v>
      </c>
      <c r="B474">
        <v>2026</v>
      </c>
      <c r="C474">
        <v>1</v>
      </c>
      <c r="D474" t="s">
        <v>139</v>
      </c>
      <c r="E474" t="s">
        <v>10</v>
      </c>
      <c r="F474">
        <v>7.1</v>
      </c>
      <c r="G474">
        <v>84.2</v>
      </c>
      <c r="H474" t="s">
        <v>11</v>
      </c>
      <c r="I474" t="str">
        <f t="shared" si="7"/>
        <v>Alta</v>
      </c>
    </row>
    <row r="475" spans="1:9">
      <c r="A475" t="s">
        <v>552</v>
      </c>
      <c r="B475">
        <v>2026</v>
      </c>
      <c r="C475">
        <v>1</v>
      </c>
      <c r="D475" t="s">
        <v>139</v>
      </c>
      <c r="E475" t="s">
        <v>10</v>
      </c>
      <c r="F475">
        <v>7.1</v>
      </c>
      <c r="G475">
        <v>58.5</v>
      </c>
      <c r="H475" t="s">
        <v>11</v>
      </c>
      <c r="I475" t="str">
        <f t="shared" si="7"/>
        <v>Média</v>
      </c>
    </row>
    <row r="476" spans="1:9">
      <c r="A476" t="s">
        <v>390</v>
      </c>
      <c r="B476">
        <v>2026</v>
      </c>
      <c r="C476">
        <v>2</v>
      </c>
      <c r="D476" t="s">
        <v>9</v>
      </c>
      <c r="E476" t="s">
        <v>10</v>
      </c>
      <c r="F476">
        <v>7.1</v>
      </c>
      <c r="G476">
        <v>51</v>
      </c>
      <c r="H476" t="s">
        <v>11</v>
      </c>
      <c r="I476" t="str">
        <f t="shared" si="7"/>
        <v>Média</v>
      </c>
    </row>
    <row r="477" spans="1:9">
      <c r="A477" t="s">
        <v>518</v>
      </c>
      <c r="B477">
        <v>2026</v>
      </c>
      <c r="C477">
        <v>2</v>
      </c>
      <c r="D477" t="s">
        <v>139</v>
      </c>
      <c r="E477" t="s">
        <v>10</v>
      </c>
      <c r="F477">
        <v>7.1</v>
      </c>
      <c r="G477">
        <v>54.3</v>
      </c>
      <c r="H477" t="s">
        <v>11</v>
      </c>
      <c r="I477" t="str">
        <f t="shared" si="7"/>
        <v>Média</v>
      </c>
    </row>
    <row r="478" spans="1:9">
      <c r="A478" t="s">
        <v>549</v>
      </c>
      <c r="B478">
        <v>2026</v>
      </c>
      <c r="C478">
        <v>2</v>
      </c>
      <c r="D478" t="s">
        <v>139</v>
      </c>
      <c r="E478" t="s">
        <v>10</v>
      </c>
      <c r="F478">
        <v>7.1</v>
      </c>
      <c r="G478">
        <v>73.3</v>
      </c>
      <c r="H478" t="s">
        <v>11</v>
      </c>
      <c r="I478" t="str">
        <f t="shared" si="7"/>
        <v>Média</v>
      </c>
    </row>
    <row r="479" spans="1:9">
      <c r="A479" t="s">
        <v>37</v>
      </c>
      <c r="B479">
        <v>2024</v>
      </c>
      <c r="C479">
        <v>1</v>
      </c>
      <c r="D479" t="s">
        <v>9</v>
      </c>
      <c r="E479" t="s">
        <v>12</v>
      </c>
      <c r="F479">
        <v>7.2</v>
      </c>
      <c r="G479">
        <v>51.4</v>
      </c>
      <c r="H479" t="s">
        <v>11</v>
      </c>
      <c r="I479" t="str">
        <f t="shared" si="7"/>
        <v>Média</v>
      </c>
    </row>
    <row r="480" spans="1:9">
      <c r="A480" t="s">
        <v>101</v>
      </c>
      <c r="B480">
        <v>2024</v>
      </c>
      <c r="C480">
        <v>1</v>
      </c>
      <c r="D480" t="s">
        <v>75</v>
      </c>
      <c r="E480" t="s">
        <v>78</v>
      </c>
      <c r="F480">
        <v>7.2</v>
      </c>
      <c r="G480">
        <v>64.599999999999994</v>
      </c>
      <c r="H480" t="s">
        <v>11</v>
      </c>
      <c r="I480" t="str">
        <f t="shared" si="7"/>
        <v>Média</v>
      </c>
    </row>
    <row r="481" spans="1:9">
      <c r="A481" t="s">
        <v>135</v>
      </c>
      <c r="B481">
        <v>2024</v>
      </c>
      <c r="C481">
        <v>2</v>
      </c>
      <c r="D481" t="s">
        <v>75</v>
      </c>
      <c r="E481" t="s">
        <v>78</v>
      </c>
      <c r="F481">
        <v>7.2</v>
      </c>
      <c r="G481">
        <v>76.7</v>
      </c>
      <c r="H481" t="s">
        <v>11</v>
      </c>
      <c r="I481" t="str">
        <f t="shared" si="7"/>
        <v>Alta</v>
      </c>
    </row>
    <row r="482" spans="1:9">
      <c r="A482" t="s">
        <v>172</v>
      </c>
      <c r="B482">
        <v>2024</v>
      </c>
      <c r="C482">
        <v>2</v>
      </c>
      <c r="D482" t="s">
        <v>139</v>
      </c>
      <c r="E482" t="s">
        <v>141</v>
      </c>
      <c r="F482">
        <v>7.2</v>
      </c>
      <c r="G482">
        <v>56.8</v>
      </c>
      <c r="H482" t="s">
        <v>11</v>
      </c>
      <c r="I482" t="str">
        <f t="shared" si="7"/>
        <v>Média</v>
      </c>
    </row>
    <row r="483" spans="1:9">
      <c r="A483" t="s">
        <v>220</v>
      </c>
      <c r="B483">
        <v>2025</v>
      </c>
      <c r="C483">
        <v>1</v>
      </c>
      <c r="D483" t="s">
        <v>9</v>
      </c>
      <c r="E483" t="s">
        <v>12</v>
      </c>
      <c r="F483">
        <v>7.2</v>
      </c>
      <c r="G483">
        <v>53.7</v>
      </c>
      <c r="H483" t="s">
        <v>11</v>
      </c>
      <c r="I483" t="str">
        <f t="shared" si="7"/>
        <v>Média</v>
      </c>
    </row>
    <row r="484" spans="1:9">
      <c r="A484" t="s">
        <v>250</v>
      </c>
      <c r="B484">
        <v>2025</v>
      </c>
      <c r="C484">
        <v>1</v>
      </c>
      <c r="D484" t="s">
        <v>9</v>
      </c>
      <c r="E484" t="s">
        <v>14</v>
      </c>
      <c r="F484">
        <v>7.2</v>
      </c>
      <c r="G484">
        <v>49.1</v>
      </c>
      <c r="H484" t="s">
        <v>11</v>
      </c>
      <c r="I484" t="str">
        <f t="shared" si="7"/>
        <v>Baixa</v>
      </c>
    </row>
    <row r="485" spans="1:9">
      <c r="A485" t="s">
        <v>305</v>
      </c>
      <c r="B485">
        <v>2025</v>
      </c>
      <c r="C485">
        <v>1</v>
      </c>
      <c r="D485" t="s">
        <v>75</v>
      </c>
      <c r="E485" t="s">
        <v>77</v>
      </c>
      <c r="F485">
        <v>7.2</v>
      </c>
      <c r="G485">
        <v>55.7</v>
      </c>
      <c r="H485" t="s">
        <v>11</v>
      </c>
      <c r="I485" t="str">
        <f t="shared" si="7"/>
        <v>Média</v>
      </c>
    </row>
    <row r="486" spans="1:9">
      <c r="A486" t="s">
        <v>359</v>
      </c>
      <c r="B486">
        <v>2025</v>
      </c>
      <c r="C486">
        <v>1</v>
      </c>
      <c r="D486" t="s">
        <v>139</v>
      </c>
      <c r="E486" t="s">
        <v>141</v>
      </c>
      <c r="F486">
        <v>7.2</v>
      </c>
      <c r="G486">
        <v>49</v>
      </c>
      <c r="H486" t="s">
        <v>11</v>
      </c>
      <c r="I486" t="str">
        <f t="shared" si="7"/>
        <v>Baixa</v>
      </c>
    </row>
    <row r="487" spans="1:9">
      <c r="A487" t="s">
        <v>210</v>
      </c>
      <c r="B487">
        <v>2025</v>
      </c>
      <c r="C487">
        <v>2</v>
      </c>
      <c r="D487" t="s">
        <v>9</v>
      </c>
      <c r="E487" t="s">
        <v>12</v>
      </c>
      <c r="F487">
        <v>7.2</v>
      </c>
      <c r="G487">
        <v>52.5</v>
      </c>
      <c r="H487" t="s">
        <v>11</v>
      </c>
      <c r="I487" t="str">
        <f t="shared" si="7"/>
        <v>Média</v>
      </c>
    </row>
    <row r="488" spans="1:9">
      <c r="A488" t="s">
        <v>306</v>
      </c>
      <c r="B488">
        <v>2025</v>
      </c>
      <c r="C488">
        <v>2</v>
      </c>
      <c r="D488" t="s">
        <v>75</v>
      </c>
      <c r="E488" t="s">
        <v>77</v>
      </c>
      <c r="F488">
        <v>7.2</v>
      </c>
      <c r="G488">
        <v>79.900000000000006</v>
      </c>
      <c r="H488" t="s">
        <v>11</v>
      </c>
      <c r="I488" t="str">
        <f t="shared" si="7"/>
        <v>Alta</v>
      </c>
    </row>
    <row r="489" spans="1:9">
      <c r="A489" t="s">
        <v>330</v>
      </c>
      <c r="B489">
        <v>2025</v>
      </c>
      <c r="C489">
        <v>2</v>
      </c>
      <c r="D489" t="s">
        <v>139</v>
      </c>
      <c r="E489" t="s">
        <v>141</v>
      </c>
      <c r="F489">
        <v>7.2</v>
      </c>
      <c r="G489">
        <v>69.3</v>
      </c>
      <c r="H489" t="s">
        <v>11</v>
      </c>
      <c r="I489" t="str">
        <f t="shared" si="7"/>
        <v>Média</v>
      </c>
    </row>
    <row r="490" spans="1:9">
      <c r="A490" t="s">
        <v>345</v>
      </c>
      <c r="B490">
        <v>2025</v>
      </c>
      <c r="C490">
        <v>2</v>
      </c>
      <c r="D490" t="s">
        <v>139</v>
      </c>
      <c r="E490" t="s">
        <v>141</v>
      </c>
      <c r="F490">
        <v>7.2</v>
      </c>
      <c r="G490">
        <v>70</v>
      </c>
      <c r="H490" t="s">
        <v>11</v>
      </c>
      <c r="I490" t="str">
        <f t="shared" si="7"/>
        <v>Média</v>
      </c>
    </row>
    <row r="491" spans="1:9">
      <c r="A491" t="s">
        <v>348</v>
      </c>
      <c r="B491">
        <v>2025</v>
      </c>
      <c r="C491">
        <v>2</v>
      </c>
      <c r="D491" t="s">
        <v>139</v>
      </c>
      <c r="E491" t="s">
        <v>140</v>
      </c>
      <c r="F491">
        <v>7.2</v>
      </c>
      <c r="G491">
        <v>81.5</v>
      </c>
      <c r="H491" t="s">
        <v>11</v>
      </c>
      <c r="I491" t="str">
        <f t="shared" si="7"/>
        <v>Alta</v>
      </c>
    </row>
    <row r="492" spans="1:9">
      <c r="A492" t="s">
        <v>355</v>
      </c>
      <c r="B492">
        <v>2025</v>
      </c>
      <c r="C492">
        <v>2</v>
      </c>
      <c r="D492" t="s">
        <v>139</v>
      </c>
      <c r="E492" t="s">
        <v>140</v>
      </c>
      <c r="F492">
        <v>7.2</v>
      </c>
      <c r="G492">
        <v>79.900000000000006</v>
      </c>
      <c r="H492" t="s">
        <v>11</v>
      </c>
      <c r="I492" t="str">
        <f t="shared" si="7"/>
        <v>Alta</v>
      </c>
    </row>
    <row r="493" spans="1:9">
      <c r="A493" t="s">
        <v>396</v>
      </c>
      <c r="B493">
        <v>2026</v>
      </c>
      <c r="C493">
        <v>1</v>
      </c>
      <c r="D493" t="s">
        <v>9</v>
      </c>
      <c r="E493" t="s">
        <v>14</v>
      </c>
      <c r="F493">
        <v>7.2</v>
      </c>
      <c r="G493">
        <v>62.8</v>
      </c>
      <c r="H493" t="s">
        <v>11</v>
      </c>
      <c r="I493" t="str">
        <f t="shared" si="7"/>
        <v>Média</v>
      </c>
    </row>
    <row r="494" spans="1:9">
      <c r="A494" t="s">
        <v>473</v>
      </c>
      <c r="B494">
        <v>2026</v>
      </c>
      <c r="C494">
        <v>1</v>
      </c>
      <c r="D494" t="s">
        <v>75</v>
      </c>
      <c r="E494" t="s">
        <v>78</v>
      </c>
      <c r="F494">
        <v>7.2</v>
      </c>
      <c r="G494">
        <v>83.4</v>
      </c>
      <c r="H494" t="s">
        <v>11</v>
      </c>
      <c r="I494" t="str">
        <f t="shared" si="7"/>
        <v>Alta</v>
      </c>
    </row>
    <row r="495" spans="1:9">
      <c r="A495" t="s">
        <v>514</v>
      </c>
      <c r="B495">
        <v>2026</v>
      </c>
      <c r="C495">
        <v>1</v>
      </c>
      <c r="D495" t="s">
        <v>139</v>
      </c>
      <c r="E495" t="s">
        <v>141</v>
      </c>
      <c r="F495">
        <v>7.2</v>
      </c>
      <c r="G495">
        <v>48</v>
      </c>
      <c r="H495" t="s">
        <v>11</v>
      </c>
      <c r="I495" t="str">
        <f t="shared" si="7"/>
        <v>Baixa</v>
      </c>
    </row>
    <row r="496" spans="1:9">
      <c r="A496" t="s">
        <v>540</v>
      </c>
      <c r="B496">
        <v>2026</v>
      </c>
      <c r="C496">
        <v>1</v>
      </c>
      <c r="D496" t="s">
        <v>139</v>
      </c>
      <c r="E496" t="s">
        <v>141</v>
      </c>
      <c r="F496">
        <v>7.2</v>
      </c>
      <c r="G496">
        <v>60.2</v>
      </c>
      <c r="H496" t="s">
        <v>11</v>
      </c>
      <c r="I496" t="str">
        <f t="shared" si="7"/>
        <v>Média</v>
      </c>
    </row>
    <row r="497" spans="1:9">
      <c r="A497" t="s">
        <v>411</v>
      </c>
      <c r="B497">
        <v>2026</v>
      </c>
      <c r="C497">
        <v>2</v>
      </c>
      <c r="D497" t="s">
        <v>9</v>
      </c>
      <c r="E497" t="s">
        <v>10</v>
      </c>
      <c r="F497">
        <v>7.2</v>
      </c>
      <c r="G497">
        <v>55</v>
      </c>
      <c r="H497" t="s">
        <v>11</v>
      </c>
      <c r="I497" t="str">
        <f t="shared" si="7"/>
        <v>Média</v>
      </c>
    </row>
    <row r="498" spans="1:9">
      <c r="A498" t="s">
        <v>418</v>
      </c>
      <c r="B498">
        <v>2026</v>
      </c>
      <c r="C498">
        <v>2</v>
      </c>
      <c r="D498" t="s">
        <v>9</v>
      </c>
      <c r="E498" t="s">
        <v>12</v>
      </c>
      <c r="F498">
        <v>7.2</v>
      </c>
      <c r="G498">
        <v>58.8</v>
      </c>
      <c r="H498" t="s">
        <v>11</v>
      </c>
      <c r="I498" t="str">
        <f t="shared" si="7"/>
        <v>Média</v>
      </c>
    </row>
    <row r="499" spans="1:9">
      <c r="A499" t="s">
        <v>34</v>
      </c>
      <c r="B499">
        <v>2024</v>
      </c>
      <c r="C499">
        <v>1</v>
      </c>
      <c r="D499" t="s">
        <v>9</v>
      </c>
      <c r="E499" t="s">
        <v>12</v>
      </c>
      <c r="F499">
        <v>7.3</v>
      </c>
      <c r="G499">
        <v>57.2</v>
      </c>
      <c r="H499" t="s">
        <v>11</v>
      </c>
      <c r="I499" t="str">
        <f t="shared" si="7"/>
        <v>Média</v>
      </c>
    </row>
    <row r="500" spans="1:9">
      <c r="A500" t="s">
        <v>92</v>
      </c>
      <c r="B500">
        <v>2024</v>
      </c>
      <c r="C500">
        <v>1</v>
      </c>
      <c r="D500" t="s">
        <v>75</v>
      </c>
      <c r="E500" t="s">
        <v>76</v>
      </c>
      <c r="F500">
        <v>7.3</v>
      </c>
      <c r="G500">
        <v>86.3</v>
      </c>
      <c r="H500" t="s">
        <v>11</v>
      </c>
      <c r="I500" t="str">
        <f t="shared" si="7"/>
        <v>Alta</v>
      </c>
    </row>
    <row r="501" spans="1:9">
      <c r="A501" t="s">
        <v>70</v>
      </c>
      <c r="B501">
        <v>2024</v>
      </c>
      <c r="C501">
        <v>2</v>
      </c>
      <c r="D501" t="s">
        <v>9</v>
      </c>
      <c r="E501" t="s">
        <v>14</v>
      </c>
      <c r="F501">
        <v>7.3</v>
      </c>
      <c r="G501">
        <v>52.1</v>
      </c>
      <c r="H501" t="s">
        <v>11</v>
      </c>
      <c r="I501" t="str">
        <f t="shared" si="7"/>
        <v>Média</v>
      </c>
    </row>
    <row r="502" spans="1:9">
      <c r="A502" t="s">
        <v>120</v>
      </c>
      <c r="B502">
        <v>2024</v>
      </c>
      <c r="C502">
        <v>2</v>
      </c>
      <c r="D502" t="s">
        <v>75</v>
      </c>
      <c r="E502" t="s">
        <v>78</v>
      </c>
      <c r="F502">
        <v>7.3</v>
      </c>
      <c r="G502">
        <v>64</v>
      </c>
      <c r="H502" t="s">
        <v>11</v>
      </c>
      <c r="I502" t="str">
        <f t="shared" si="7"/>
        <v>Média</v>
      </c>
    </row>
    <row r="503" spans="1:9">
      <c r="A503" t="s">
        <v>127</v>
      </c>
      <c r="B503">
        <v>2024</v>
      </c>
      <c r="C503">
        <v>2</v>
      </c>
      <c r="D503" t="s">
        <v>75</v>
      </c>
      <c r="E503" t="s">
        <v>76</v>
      </c>
      <c r="F503">
        <v>7.3</v>
      </c>
      <c r="G503">
        <v>60.6</v>
      </c>
      <c r="H503" t="s">
        <v>11</v>
      </c>
      <c r="I503" t="str">
        <f t="shared" si="7"/>
        <v>Média</v>
      </c>
    </row>
    <row r="504" spans="1:9">
      <c r="A504" t="s">
        <v>191</v>
      </c>
      <c r="B504">
        <v>2024</v>
      </c>
      <c r="C504">
        <v>2</v>
      </c>
      <c r="D504" t="s">
        <v>139</v>
      </c>
      <c r="E504" t="s">
        <v>141</v>
      </c>
      <c r="F504">
        <v>7.3</v>
      </c>
      <c r="G504">
        <v>61.8</v>
      </c>
      <c r="H504" t="s">
        <v>11</v>
      </c>
      <c r="I504" t="str">
        <f t="shared" si="7"/>
        <v>Média</v>
      </c>
    </row>
    <row r="505" spans="1:9">
      <c r="A505" t="s">
        <v>206</v>
      </c>
      <c r="B505">
        <v>2025</v>
      </c>
      <c r="C505">
        <v>1</v>
      </c>
      <c r="D505" t="s">
        <v>9</v>
      </c>
      <c r="E505" t="s">
        <v>12</v>
      </c>
      <c r="F505">
        <v>7.3</v>
      </c>
      <c r="G505">
        <v>57.2</v>
      </c>
      <c r="H505" t="s">
        <v>11</v>
      </c>
      <c r="I505" t="str">
        <f t="shared" si="7"/>
        <v>Média</v>
      </c>
    </row>
    <row r="506" spans="1:9">
      <c r="A506" t="s">
        <v>208</v>
      </c>
      <c r="B506">
        <v>2025</v>
      </c>
      <c r="C506">
        <v>1</v>
      </c>
      <c r="D506" t="s">
        <v>9</v>
      </c>
      <c r="E506" t="s">
        <v>10</v>
      </c>
      <c r="F506">
        <v>7.3</v>
      </c>
      <c r="G506">
        <v>86.6</v>
      </c>
      <c r="H506" t="s">
        <v>11</v>
      </c>
      <c r="I506" t="str">
        <f t="shared" si="7"/>
        <v>Alta</v>
      </c>
    </row>
    <row r="507" spans="1:9">
      <c r="A507" t="s">
        <v>222</v>
      </c>
      <c r="B507">
        <v>2025</v>
      </c>
      <c r="C507">
        <v>1</v>
      </c>
      <c r="D507" t="s">
        <v>9</v>
      </c>
      <c r="E507" t="s">
        <v>10</v>
      </c>
      <c r="F507">
        <v>7.3</v>
      </c>
      <c r="G507">
        <v>54.2</v>
      </c>
      <c r="H507" t="s">
        <v>11</v>
      </c>
      <c r="I507" t="str">
        <f t="shared" si="7"/>
        <v>Média</v>
      </c>
    </row>
    <row r="508" spans="1:9">
      <c r="A508" t="s">
        <v>229</v>
      </c>
      <c r="B508">
        <v>2025</v>
      </c>
      <c r="C508">
        <v>1</v>
      </c>
      <c r="D508" t="s">
        <v>9</v>
      </c>
      <c r="E508" t="s">
        <v>14</v>
      </c>
      <c r="F508">
        <v>7.3</v>
      </c>
      <c r="G508">
        <v>59.2</v>
      </c>
      <c r="H508" t="s">
        <v>11</v>
      </c>
      <c r="I508" t="str">
        <f t="shared" si="7"/>
        <v>Média</v>
      </c>
    </row>
    <row r="509" spans="1:9">
      <c r="A509" t="s">
        <v>233</v>
      </c>
      <c r="B509">
        <v>2025</v>
      </c>
      <c r="C509">
        <v>1</v>
      </c>
      <c r="D509" t="s">
        <v>9</v>
      </c>
      <c r="E509" t="s">
        <v>14</v>
      </c>
      <c r="F509">
        <v>7.3</v>
      </c>
      <c r="G509">
        <v>76.8</v>
      </c>
      <c r="H509" t="s">
        <v>11</v>
      </c>
      <c r="I509" t="str">
        <f t="shared" si="7"/>
        <v>Alta</v>
      </c>
    </row>
    <row r="510" spans="1:9">
      <c r="A510" t="s">
        <v>241</v>
      </c>
      <c r="B510">
        <v>2025</v>
      </c>
      <c r="C510">
        <v>1</v>
      </c>
      <c r="D510" t="s">
        <v>9</v>
      </c>
      <c r="E510" t="s">
        <v>10</v>
      </c>
      <c r="F510">
        <v>7.3</v>
      </c>
      <c r="G510">
        <v>68.099999999999994</v>
      </c>
      <c r="H510" t="s">
        <v>11</v>
      </c>
      <c r="I510" t="str">
        <f t="shared" si="7"/>
        <v>Média</v>
      </c>
    </row>
    <row r="511" spans="1:9">
      <c r="A511" t="s">
        <v>257</v>
      </c>
      <c r="B511">
        <v>2025</v>
      </c>
      <c r="C511">
        <v>1</v>
      </c>
      <c r="D511" t="s">
        <v>9</v>
      </c>
      <c r="E511" t="s">
        <v>14</v>
      </c>
      <c r="F511">
        <v>7.3</v>
      </c>
      <c r="G511">
        <v>67.900000000000006</v>
      </c>
      <c r="H511" t="s">
        <v>11</v>
      </c>
      <c r="I511" t="str">
        <f t="shared" si="7"/>
        <v>Média</v>
      </c>
    </row>
    <row r="512" spans="1:9">
      <c r="A512" t="s">
        <v>216</v>
      </c>
      <c r="B512">
        <v>2025</v>
      </c>
      <c r="C512">
        <v>2</v>
      </c>
      <c r="D512" t="s">
        <v>9</v>
      </c>
      <c r="E512" t="s">
        <v>12</v>
      </c>
      <c r="F512">
        <v>7.3</v>
      </c>
      <c r="G512">
        <v>78.599999999999994</v>
      </c>
      <c r="H512" t="s">
        <v>11</v>
      </c>
      <c r="I512" t="str">
        <f t="shared" si="7"/>
        <v>Alta</v>
      </c>
    </row>
    <row r="513" spans="1:9">
      <c r="A513" t="s">
        <v>232</v>
      </c>
      <c r="B513">
        <v>2025</v>
      </c>
      <c r="C513">
        <v>2</v>
      </c>
      <c r="D513" t="s">
        <v>9</v>
      </c>
      <c r="E513" t="s">
        <v>10</v>
      </c>
      <c r="F513">
        <v>7.3</v>
      </c>
      <c r="G513">
        <v>60.9</v>
      </c>
      <c r="H513" t="s">
        <v>11</v>
      </c>
      <c r="I513" t="str">
        <f t="shared" si="7"/>
        <v>Média</v>
      </c>
    </row>
    <row r="514" spans="1:9">
      <c r="A514" t="s">
        <v>290</v>
      </c>
      <c r="B514">
        <v>2025</v>
      </c>
      <c r="C514">
        <v>2</v>
      </c>
      <c r="D514" t="s">
        <v>75</v>
      </c>
      <c r="E514" t="s">
        <v>77</v>
      </c>
      <c r="F514">
        <v>7.3</v>
      </c>
      <c r="G514">
        <v>77</v>
      </c>
      <c r="H514" t="s">
        <v>11</v>
      </c>
      <c r="I514" t="str">
        <f t="shared" ref="I514:I577" si="8">IF(G514&lt;50,"Baixa",IF(G514&lt;75,"Média","Alta"))</f>
        <v>Alta</v>
      </c>
    </row>
    <row r="515" spans="1:9">
      <c r="A515" t="s">
        <v>326</v>
      </c>
      <c r="B515">
        <v>2025</v>
      </c>
      <c r="C515">
        <v>2</v>
      </c>
      <c r="D515" t="s">
        <v>139</v>
      </c>
      <c r="E515" t="s">
        <v>141</v>
      </c>
      <c r="F515">
        <v>7.3</v>
      </c>
      <c r="G515">
        <v>46.8</v>
      </c>
      <c r="H515" t="s">
        <v>11</v>
      </c>
      <c r="I515" t="str">
        <f t="shared" si="8"/>
        <v>Baixa</v>
      </c>
    </row>
    <row r="516" spans="1:9">
      <c r="A516" t="s">
        <v>385</v>
      </c>
      <c r="B516">
        <v>2026</v>
      </c>
      <c r="C516">
        <v>1</v>
      </c>
      <c r="D516" t="s">
        <v>9</v>
      </c>
      <c r="E516" t="s">
        <v>14</v>
      </c>
      <c r="F516">
        <v>7.3</v>
      </c>
      <c r="G516">
        <v>64.7</v>
      </c>
      <c r="H516" t="s">
        <v>11</v>
      </c>
      <c r="I516" t="str">
        <f t="shared" si="8"/>
        <v>Média</v>
      </c>
    </row>
    <row r="517" spans="1:9">
      <c r="A517" t="s">
        <v>500</v>
      </c>
      <c r="B517">
        <v>2026</v>
      </c>
      <c r="C517">
        <v>1</v>
      </c>
      <c r="D517" t="s">
        <v>75</v>
      </c>
      <c r="E517" t="s">
        <v>76</v>
      </c>
      <c r="F517">
        <v>7.3</v>
      </c>
      <c r="G517">
        <v>67.2</v>
      </c>
      <c r="H517" t="s">
        <v>11</v>
      </c>
      <c r="I517" t="str">
        <f t="shared" si="8"/>
        <v>Média</v>
      </c>
    </row>
    <row r="518" spans="1:9">
      <c r="A518" t="s">
        <v>548</v>
      </c>
      <c r="B518">
        <v>2026</v>
      </c>
      <c r="C518">
        <v>1</v>
      </c>
      <c r="D518" t="s">
        <v>139</v>
      </c>
      <c r="E518" t="s">
        <v>140</v>
      </c>
      <c r="F518">
        <v>7.3</v>
      </c>
      <c r="G518">
        <v>64.099999999999994</v>
      </c>
      <c r="H518" t="s">
        <v>11</v>
      </c>
      <c r="I518" t="str">
        <f t="shared" si="8"/>
        <v>Média</v>
      </c>
    </row>
    <row r="519" spans="1:9">
      <c r="A519" t="s">
        <v>385</v>
      </c>
      <c r="B519">
        <v>2026</v>
      </c>
      <c r="C519">
        <v>2</v>
      </c>
      <c r="D519" t="s">
        <v>9</v>
      </c>
      <c r="E519" t="s">
        <v>10</v>
      </c>
      <c r="F519">
        <v>7.3</v>
      </c>
      <c r="G519">
        <v>47.4</v>
      </c>
      <c r="H519" t="s">
        <v>11</v>
      </c>
      <c r="I519" t="str">
        <f t="shared" si="8"/>
        <v>Baixa</v>
      </c>
    </row>
    <row r="520" spans="1:9">
      <c r="A520" t="s">
        <v>399</v>
      </c>
      <c r="B520">
        <v>2026</v>
      </c>
      <c r="C520">
        <v>2</v>
      </c>
      <c r="D520" t="s">
        <v>9</v>
      </c>
      <c r="E520" t="s">
        <v>10</v>
      </c>
      <c r="F520">
        <v>7.3</v>
      </c>
      <c r="G520">
        <v>82.1</v>
      </c>
      <c r="H520" t="s">
        <v>11</v>
      </c>
      <c r="I520" t="str">
        <f t="shared" si="8"/>
        <v>Alta</v>
      </c>
    </row>
    <row r="521" spans="1:9">
      <c r="A521" t="s">
        <v>419</v>
      </c>
      <c r="B521">
        <v>2026</v>
      </c>
      <c r="C521">
        <v>2</v>
      </c>
      <c r="D521" t="s">
        <v>9</v>
      </c>
      <c r="E521" t="s">
        <v>14</v>
      </c>
      <c r="F521">
        <v>7.3</v>
      </c>
      <c r="G521">
        <v>49.7</v>
      </c>
      <c r="H521" t="s">
        <v>11</v>
      </c>
      <c r="I521" t="str">
        <f t="shared" si="8"/>
        <v>Baixa</v>
      </c>
    </row>
    <row r="522" spans="1:9">
      <c r="A522" t="s">
        <v>443</v>
      </c>
      <c r="B522">
        <v>2026</v>
      </c>
      <c r="C522">
        <v>2</v>
      </c>
      <c r="D522" t="s">
        <v>75</v>
      </c>
      <c r="E522" t="s">
        <v>76</v>
      </c>
      <c r="F522">
        <v>7.3</v>
      </c>
      <c r="G522">
        <v>58.5</v>
      </c>
      <c r="H522" t="s">
        <v>11</v>
      </c>
      <c r="I522" t="str">
        <f t="shared" si="8"/>
        <v>Média</v>
      </c>
    </row>
    <row r="523" spans="1:9">
      <c r="A523" t="s">
        <v>536</v>
      </c>
      <c r="B523">
        <v>2026</v>
      </c>
      <c r="C523">
        <v>2</v>
      </c>
      <c r="D523" t="s">
        <v>139</v>
      </c>
      <c r="E523" t="s">
        <v>140</v>
      </c>
      <c r="F523">
        <v>7.3</v>
      </c>
      <c r="G523">
        <v>51.1</v>
      </c>
      <c r="H523" t="s">
        <v>11</v>
      </c>
      <c r="I523" t="str">
        <f t="shared" si="8"/>
        <v>Média</v>
      </c>
    </row>
    <row r="524" spans="1:9">
      <c r="A524" t="s">
        <v>540</v>
      </c>
      <c r="B524">
        <v>2026</v>
      </c>
      <c r="C524">
        <v>2</v>
      </c>
      <c r="D524" t="s">
        <v>139</v>
      </c>
      <c r="E524" t="s">
        <v>10</v>
      </c>
      <c r="F524">
        <v>7.3</v>
      </c>
      <c r="G524">
        <v>92.7</v>
      </c>
      <c r="H524" t="s">
        <v>11</v>
      </c>
      <c r="I524" t="str">
        <f t="shared" si="8"/>
        <v>Alta</v>
      </c>
    </row>
    <row r="525" spans="1:9">
      <c r="A525" t="s">
        <v>79</v>
      </c>
      <c r="B525">
        <v>2024</v>
      </c>
      <c r="C525">
        <v>1</v>
      </c>
      <c r="D525" t="s">
        <v>75</v>
      </c>
      <c r="E525" t="s">
        <v>77</v>
      </c>
      <c r="F525">
        <v>7.4</v>
      </c>
      <c r="G525">
        <v>61.7</v>
      </c>
      <c r="H525" t="s">
        <v>11</v>
      </c>
      <c r="I525" t="str">
        <f t="shared" si="8"/>
        <v>Média</v>
      </c>
    </row>
    <row r="526" spans="1:9">
      <c r="A526" t="s">
        <v>90</v>
      </c>
      <c r="B526">
        <v>2024</v>
      </c>
      <c r="C526">
        <v>1</v>
      </c>
      <c r="D526" t="s">
        <v>75</v>
      </c>
      <c r="E526" t="s">
        <v>76</v>
      </c>
      <c r="F526">
        <v>7.4</v>
      </c>
      <c r="G526">
        <v>55.8</v>
      </c>
      <c r="H526" t="s">
        <v>11</v>
      </c>
      <c r="I526" t="str">
        <f t="shared" si="8"/>
        <v>Média</v>
      </c>
    </row>
    <row r="527" spans="1:9">
      <c r="A527" t="s">
        <v>184</v>
      </c>
      <c r="B527">
        <v>2024</v>
      </c>
      <c r="C527">
        <v>1</v>
      </c>
      <c r="D527" t="s">
        <v>139</v>
      </c>
      <c r="E527" t="s">
        <v>141</v>
      </c>
      <c r="F527">
        <v>7.4</v>
      </c>
      <c r="G527">
        <v>75.900000000000006</v>
      </c>
      <c r="H527" t="s">
        <v>11</v>
      </c>
      <c r="I527" t="str">
        <f t="shared" si="8"/>
        <v>Alta</v>
      </c>
    </row>
    <row r="528" spans="1:9">
      <c r="A528" t="s">
        <v>188</v>
      </c>
      <c r="B528">
        <v>2024</v>
      </c>
      <c r="C528">
        <v>1</v>
      </c>
      <c r="D528" t="s">
        <v>139</v>
      </c>
      <c r="E528" t="s">
        <v>10</v>
      </c>
      <c r="F528">
        <v>7.4</v>
      </c>
      <c r="G528">
        <v>81.900000000000006</v>
      </c>
      <c r="H528" t="s">
        <v>11</v>
      </c>
      <c r="I528" t="str">
        <f t="shared" si="8"/>
        <v>Alta</v>
      </c>
    </row>
    <row r="529" spans="1:9">
      <c r="A529" t="s">
        <v>57</v>
      </c>
      <c r="B529">
        <v>2024</v>
      </c>
      <c r="C529">
        <v>2</v>
      </c>
      <c r="D529" t="s">
        <v>9</v>
      </c>
      <c r="E529" t="s">
        <v>12</v>
      </c>
      <c r="F529">
        <v>7.4</v>
      </c>
      <c r="G529">
        <v>51.8</v>
      </c>
      <c r="H529" t="s">
        <v>11</v>
      </c>
      <c r="I529" t="str">
        <f t="shared" si="8"/>
        <v>Média</v>
      </c>
    </row>
    <row r="530" spans="1:9">
      <c r="A530" t="s">
        <v>110</v>
      </c>
      <c r="B530">
        <v>2024</v>
      </c>
      <c r="C530">
        <v>2</v>
      </c>
      <c r="D530" t="s">
        <v>75</v>
      </c>
      <c r="E530" t="s">
        <v>76</v>
      </c>
      <c r="F530">
        <v>7.4</v>
      </c>
      <c r="G530">
        <v>47.8</v>
      </c>
      <c r="H530" t="s">
        <v>11</v>
      </c>
      <c r="I530" t="str">
        <f t="shared" si="8"/>
        <v>Baixa</v>
      </c>
    </row>
    <row r="531" spans="1:9">
      <c r="A531" t="s">
        <v>203</v>
      </c>
      <c r="B531">
        <v>2025</v>
      </c>
      <c r="C531">
        <v>1</v>
      </c>
      <c r="D531" t="s">
        <v>9</v>
      </c>
      <c r="E531" t="s">
        <v>10</v>
      </c>
      <c r="F531">
        <v>7.4</v>
      </c>
      <c r="G531">
        <v>51.6</v>
      </c>
      <c r="H531" t="s">
        <v>11</v>
      </c>
      <c r="I531" t="str">
        <f t="shared" si="8"/>
        <v>Média</v>
      </c>
    </row>
    <row r="532" spans="1:9">
      <c r="A532" t="s">
        <v>213</v>
      </c>
      <c r="B532">
        <v>2025</v>
      </c>
      <c r="C532">
        <v>1</v>
      </c>
      <c r="D532" t="s">
        <v>9</v>
      </c>
      <c r="E532" t="s">
        <v>12</v>
      </c>
      <c r="F532">
        <v>7.4</v>
      </c>
      <c r="G532">
        <v>75.2</v>
      </c>
      <c r="H532" t="s">
        <v>11</v>
      </c>
      <c r="I532" t="str">
        <f t="shared" si="8"/>
        <v>Alta</v>
      </c>
    </row>
    <row r="533" spans="1:9">
      <c r="A533" t="s">
        <v>240</v>
      </c>
      <c r="B533">
        <v>2025</v>
      </c>
      <c r="C533">
        <v>1</v>
      </c>
      <c r="D533" t="s">
        <v>9</v>
      </c>
      <c r="E533" t="s">
        <v>10</v>
      </c>
      <c r="F533">
        <v>7.4</v>
      </c>
      <c r="G533">
        <v>96.9</v>
      </c>
      <c r="H533" t="s">
        <v>11</v>
      </c>
      <c r="I533" t="str">
        <f t="shared" si="8"/>
        <v>Alta</v>
      </c>
    </row>
    <row r="534" spans="1:9">
      <c r="A534" t="s">
        <v>261</v>
      </c>
      <c r="B534">
        <v>2025</v>
      </c>
      <c r="C534">
        <v>1</v>
      </c>
      <c r="D534" t="s">
        <v>75</v>
      </c>
      <c r="E534" t="s">
        <v>78</v>
      </c>
      <c r="F534">
        <v>7.4</v>
      </c>
      <c r="G534">
        <v>77</v>
      </c>
      <c r="H534" t="s">
        <v>11</v>
      </c>
      <c r="I534" t="str">
        <f t="shared" si="8"/>
        <v>Alta</v>
      </c>
    </row>
    <row r="535" spans="1:9">
      <c r="A535" t="s">
        <v>283</v>
      </c>
      <c r="B535">
        <v>2025</v>
      </c>
      <c r="C535">
        <v>1</v>
      </c>
      <c r="D535" t="s">
        <v>75</v>
      </c>
      <c r="E535" t="s">
        <v>78</v>
      </c>
      <c r="F535">
        <v>7.4</v>
      </c>
      <c r="G535">
        <v>70.3</v>
      </c>
      <c r="H535" t="s">
        <v>11</v>
      </c>
      <c r="I535" t="str">
        <f t="shared" si="8"/>
        <v>Média</v>
      </c>
    </row>
    <row r="536" spans="1:9">
      <c r="A536" t="s">
        <v>321</v>
      </c>
      <c r="B536">
        <v>2025</v>
      </c>
      <c r="C536">
        <v>1</v>
      </c>
      <c r="D536" t="s">
        <v>139</v>
      </c>
      <c r="E536" t="s">
        <v>141</v>
      </c>
      <c r="F536">
        <v>7.4</v>
      </c>
      <c r="G536">
        <v>52.5</v>
      </c>
      <c r="H536" t="s">
        <v>11</v>
      </c>
      <c r="I536" t="str">
        <f t="shared" si="8"/>
        <v>Média</v>
      </c>
    </row>
    <row r="537" spans="1:9">
      <c r="A537" t="s">
        <v>336</v>
      </c>
      <c r="B537">
        <v>2025</v>
      </c>
      <c r="C537">
        <v>1</v>
      </c>
      <c r="D537" t="s">
        <v>139</v>
      </c>
      <c r="E537" t="s">
        <v>141</v>
      </c>
      <c r="F537">
        <v>7.4</v>
      </c>
      <c r="G537">
        <v>80.7</v>
      </c>
      <c r="H537" t="s">
        <v>11</v>
      </c>
      <c r="I537" t="str">
        <f t="shared" si="8"/>
        <v>Alta</v>
      </c>
    </row>
    <row r="538" spans="1:9">
      <c r="A538" t="s">
        <v>249</v>
      </c>
      <c r="B538">
        <v>2025</v>
      </c>
      <c r="C538">
        <v>2</v>
      </c>
      <c r="D538" t="s">
        <v>9</v>
      </c>
      <c r="E538" t="s">
        <v>14</v>
      </c>
      <c r="F538">
        <v>7.4</v>
      </c>
      <c r="G538">
        <v>46.5</v>
      </c>
      <c r="H538" t="s">
        <v>11</v>
      </c>
      <c r="I538" t="str">
        <f t="shared" si="8"/>
        <v>Baixa</v>
      </c>
    </row>
    <row r="539" spans="1:9">
      <c r="A539" t="s">
        <v>350</v>
      </c>
      <c r="B539">
        <v>2025</v>
      </c>
      <c r="C539">
        <v>2</v>
      </c>
      <c r="D539" t="s">
        <v>139</v>
      </c>
      <c r="E539" t="s">
        <v>141</v>
      </c>
      <c r="F539">
        <v>7.4</v>
      </c>
      <c r="G539">
        <v>88</v>
      </c>
      <c r="H539" t="s">
        <v>11</v>
      </c>
      <c r="I539" t="str">
        <f t="shared" si="8"/>
        <v>Alta</v>
      </c>
    </row>
    <row r="540" spans="1:9">
      <c r="A540" t="s">
        <v>430</v>
      </c>
      <c r="B540">
        <v>2026</v>
      </c>
      <c r="C540">
        <v>1</v>
      </c>
      <c r="D540" t="s">
        <v>9</v>
      </c>
      <c r="E540" t="s">
        <v>14</v>
      </c>
      <c r="F540">
        <v>7.4</v>
      </c>
      <c r="G540">
        <v>52.1</v>
      </c>
      <c r="H540" t="s">
        <v>11</v>
      </c>
      <c r="I540" t="str">
        <f t="shared" si="8"/>
        <v>Média</v>
      </c>
    </row>
    <row r="541" spans="1:9">
      <c r="A541" t="s">
        <v>471</v>
      </c>
      <c r="B541">
        <v>2026</v>
      </c>
      <c r="C541">
        <v>1</v>
      </c>
      <c r="D541" t="s">
        <v>75</v>
      </c>
      <c r="E541" t="s">
        <v>76</v>
      </c>
      <c r="F541">
        <v>7.4</v>
      </c>
      <c r="G541">
        <v>52.3</v>
      </c>
      <c r="H541" t="s">
        <v>11</v>
      </c>
      <c r="I541" t="str">
        <f t="shared" si="8"/>
        <v>Média</v>
      </c>
    </row>
    <row r="542" spans="1:9">
      <c r="A542" t="s">
        <v>507</v>
      </c>
      <c r="B542">
        <v>2026</v>
      </c>
      <c r="C542">
        <v>1</v>
      </c>
      <c r="D542" t="s">
        <v>139</v>
      </c>
      <c r="E542" t="s">
        <v>140</v>
      </c>
      <c r="F542">
        <v>7.4</v>
      </c>
      <c r="G542">
        <v>61.3</v>
      </c>
      <c r="H542" t="s">
        <v>11</v>
      </c>
      <c r="I542" t="str">
        <f t="shared" si="8"/>
        <v>Média</v>
      </c>
    </row>
    <row r="543" spans="1:9">
      <c r="A543" t="s">
        <v>520</v>
      </c>
      <c r="B543">
        <v>2026</v>
      </c>
      <c r="C543">
        <v>1</v>
      </c>
      <c r="D543" t="s">
        <v>139</v>
      </c>
      <c r="E543" t="s">
        <v>10</v>
      </c>
      <c r="F543">
        <v>7.4</v>
      </c>
      <c r="G543">
        <v>92.1</v>
      </c>
      <c r="H543" t="s">
        <v>11</v>
      </c>
      <c r="I543" t="str">
        <f t="shared" si="8"/>
        <v>Alta</v>
      </c>
    </row>
    <row r="544" spans="1:9">
      <c r="A544" t="s">
        <v>541</v>
      </c>
      <c r="B544">
        <v>2026</v>
      </c>
      <c r="C544">
        <v>1</v>
      </c>
      <c r="D544" t="s">
        <v>139</v>
      </c>
      <c r="E544" t="s">
        <v>141</v>
      </c>
      <c r="F544">
        <v>7.4</v>
      </c>
      <c r="G544">
        <v>61.4</v>
      </c>
      <c r="H544" t="s">
        <v>11</v>
      </c>
      <c r="I544" t="str">
        <f t="shared" si="8"/>
        <v>Média</v>
      </c>
    </row>
    <row r="545" spans="1:9">
      <c r="A545" t="s">
        <v>445</v>
      </c>
      <c r="B545">
        <v>2026</v>
      </c>
      <c r="C545">
        <v>2</v>
      </c>
      <c r="D545" t="s">
        <v>75</v>
      </c>
      <c r="E545" t="s">
        <v>76</v>
      </c>
      <c r="F545">
        <v>7.4</v>
      </c>
      <c r="G545">
        <v>75.8</v>
      </c>
      <c r="H545" t="s">
        <v>11</v>
      </c>
      <c r="I545" t="str">
        <f t="shared" si="8"/>
        <v>Alta</v>
      </c>
    </row>
    <row r="546" spans="1:9">
      <c r="A546" t="s">
        <v>453</v>
      </c>
      <c r="B546">
        <v>2026</v>
      </c>
      <c r="C546">
        <v>2</v>
      </c>
      <c r="D546" t="s">
        <v>75</v>
      </c>
      <c r="E546" t="s">
        <v>77</v>
      </c>
      <c r="F546">
        <v>7.4</v>
      </c>
      <c r="G546">
        <v>54.5</v>
      </c>
      <c r="H546" t="s">
        <v>11</v>
      </c>
      <c r="I546" t="str">
        <f t="shared" si="8"/>
        <v>Média</v>
      </c>
    </row>
    <row r="547" spans="1:9">
      <c r="A547" t="s">
        <v>453</v>
      </c>
      <c r="B547">
        <v>2026</v>
      </c>
      <c r="C547">
        <v>2</v>
      </c>
      <c r="D547" t="s">
        <v>75</v>
      </c>
      <c r="E547" t="s">
        <v>78</v>
      </c>
      <c r="F547">
        <v>7.4</v>
      </c>
      <c r="G547">
        <v>47.4</v>
      </c>
      <c r="H547" t="s">
        <v>11</v>
      </c>
      <c r="I547" t="str">
        <f t="shared" si="8"/>
        <v>Baixa</v>
      </c>
    </row>
    <row r="548" spans="1:9">
      <c r="A548" t="s">
        <v>509</v>
      </c>
      <c r="B548">
        <v>2026</v>
      </c>
      <c r="C548">
        <v>2</v>
      </c>
      <c r="D548" t="s">
        <v>139</v>
      </c>
      <c r="E548" t="s">
        <v>140</v>
      </c>
      <c r="F548">
        <v>7.4</v>
      </c>
      <c r="G548">
        <v>70.7</v>
      </c>
      <c r="H548" t="s">
        <v>11</v>
      </c>
      <c r="I548" t="str">
        <f t="shared" si="8"/>
        <v>Média</v>
      </c>
    </row>
    <row r="549" spans="1:9">
      <c r="A549" t="s">
        <v>512</v>
      </c>
      <c r="B549">
        <v>2026</v>
      </c>
      <c r="C549">
        <v>2</v>
      </c>
      <c r="D549" t="s">
        <v>139</v>
      </c>
      <c r="E549" t="s">
        <v>140</v>
      </c>
      <c r="F549">
        <v>7.4</v>
      </c>
      <c r="G549">
        <v>52.1</v>
      </c>
      <c r="H549" t="s">
        <v>11</v>
      </c>
      <c r="I549" t="str">
        <f t="shared" si="8"/>
        <v>Média</v>
      </c>
    </row>
    <row r="550" spans="1:9">
      <c r="A550" t="s">
        <v>113</v>
      </c>
      <c r="B550">
        <v>2024</v>
      </c>
      <c r="C550">
        <v>1</v>
      </c>
      <c r="D550" t="s">
        <v>75</v>
      </c>
      <c r="E550" t="s">
        <v>76</v>
      </c>
      <c r="F550">
        <v>7.5</v>
      </c>
      <c r="G550">
        <v>56.9</v>
      </c>
      <c r="H550" t="s">
        <v>11</v>
      </c>
      <c r="I550" t="str">
        <f t="shared" si="8"/>
        <v>Média</v>
      </c>
    </row>
    <row r="551" spans="1:9">
      <c r="A551" t="s">
        <v>144</v>
      </c>
      <c r="B551">
        <v>2024</v>
      </c>
      <c r="C551">
        <v>1</v>
      </c>
      <c r="D551" t="s">
        <v>139</v>
      </c>
      <c r="E551" t="s">
        <v>141</v>
      </c>
      <c r="F551">
        <v>7.5</v>
      </c>
      <c r="G551">
        <v>99.9</v>
      </c>
      <c r="H551" t="s">
        <v>11</v>
      </c>
      <c r="I551" t="str">
        <f t="shared" si="8"/>
        <v>Alta</v>
      </c>
    </row>
    <row r="552" spans="1:9">
      <c r="A552" t="s">
        <v>168</v>
      </c>
      <c r="B552">
        <v>2024</v>
      </c>
      <c r="C552">
        <v>1</v>
      </c>
      <c r="D552" t="s">
        <v>139</v>
      </c>
      <c r="E552" t="s">
        <v>10</v>
      </c>
      <c r="F552">
        <v>7.5</v>
      </c>
      <c r="G552">
        <v>85.6</v>
      </c>
      <c r="H552" t="s">
        <v>11</v>
      </c>
      <c r="I552" t="str">
        <f t="shared" si="8"/>
        <v>Alta</v>
      </c>
    </row>
    <row r="553" spans="1:9">
      <c r="A553" t="s">
        <v>110</v>
      </c>
      <c r="B553">
        <v>2024</v>
      </c>
      <c r="C553">
        <v>2</v>
      </c>
      <c r="D553" t="s">
        <v>75</v>
      </c>
      <c r="E553" t="s">
        <v>77</v>
      </c>
      <c r="F553">
        <v>7.5</v>
      </c>
      <c r="G553">
        <v>83.4</v>
      </c>
      <c r="H553" t="s">
        <v>11</v>
      </c>
      <c r="I553" t="str">
        <f t="shared" si="8"/>
        <v>Alta</v>
      </c>
    </row>
    <row r="554" spans="1:9">
      <c r="A554" t="s">
        <v>154</v>
      </c>
      <c r="B554">
        <v>2024</v>
      </c>
      <c r="C554">
        <v>2</v>
      </c>
      <c r="D554" t="s">
        <v>139</v>
      </c>
      <c r="E554" t="s">
        <v>140</v>
      </c>
      <c r="F554">
        <v>7.5</v>
      </c>
      <c r="G554">
        <v>85.5</v>
      </c>
      <c r="H554" t="s">
        <v>11</v>
      </c>
      <c r="I554" t="str">
        <f t="shared" si="8"/>
        <v>Alta</v>
      </c>
    </row>
    <row r="555" spans="1:9">
      <c r="A555" t="s">
        <v>160</v>
      </c>
      <c r="B555">
        <v>2024</v>
      </c>
      <c r="C555">
        <v>2</v>
      </c>
      <c r="D555" t="s">
        <v>139</v>
      </c>
      <c r="E555" t="s">
        <v>141</v>
      </c>
      <c r="F555">
        <v>7.5</v>
      </c>
      <c r="G555">
        <v>67.7</v>
      </c>
      <c r="H555" t="s">
        <v>11</v>
      </c>
      <c r="I555" t="str">
        <f t="shared" si="8"/>
        <v>Média</v>
      </c>
    </row>
    <row r="556" spans="1:9">
      <c r="A556" t="s">
        <v>172</v>
      </c>
      <c r="B556">
        <v>2024</v>
      </c>
      <c r="C556">
        <v>2</v>
      </c>
      <c r="D556" t="s">
        <v>139</v>
      </c>
      <c r="E556" t="s">
        <v>140</v>
      </c>
      <c r="F556">
        <v>7.5</v>
      </c>
      <c r="G556">
        <v>64.7</v>
      </c>
      <c r="H556" t="s">
        <v>11</v>
      </c>
      <c r="I556" t="str">
        <f t="shared" si="8"/>
        <v>Média</v>
      </c>
    </row>
    <row r="557" spans="1:9">
      <c r="A557" t="s">
        <v>216</v>
      </c>
      <c r="B557">
        <v>2025</v>
      </c>
      <c r="C557">
        <v>1</v>
      </c>
      <c r="D557" t="s">
        <v>9</v>
      </c>
      <c r="E557" t="s">
        <v>12</v>
      </c>
      <c r="F557">
        <v>7.5</v>
      </c>
      <c r="G557">
        <v>46.2</v>
      </c>
      <c r="H557" t="s">
        <v>11</v>
      </c>
      <c r="I557" t="str">
        <f t="shared" si="8"/>
        <v>Baixa</v>
      </c>
    </row>
    <row r="558" spans="1:9">
      <c r="A558" t="s">
        <v>258</v>
      </c>
      <c r="B558">
        <v>2025</v>
      </c>
      <c r="C558">
        <v>1</v>
      </c>
      <c r="D558" t="s">
        <v>9</v>
      </c>
      <c r="E558" t="s">
        <v>10</v>
      </c>
      <c r="F558">
        <v>7.5</v>
      </c>
      <c r="G558">
        <v>60.7</v>
      </c>
      <c r="H558" t="s">
        <v>11</v>
      </c>
      <c r="I558" t="str">
        <f t="shared" si="8"/>
        <v>Média</v>
      </c>
    </row>
    <row r="559" spans="1:9">
      <c r="A559" t="s">
        <v>270</v>
      </c>
      <c r="B559">
        <v>2025</v>
      </c>
      <c r="C559">
        <v>1</v>
      </c>
      <c r="D559" t="s">
        <v>75</v>
      </c>
      <c r="E559" t="s">
        <v>78</v>
      </c>
      <c r="F559">
        <v>7.5</v>
      </c>
      <c r="G559">
        <v>72</v>
      </c>
      <c r="H559" t="s">
        <v>11</v>
      </c>
      <c r="I559" t="str">
        <f t="shared" si="8"/>
        <v>Média</v>
      </c>
    </row>
    <row r="560" spans="1:9">
      <c r="A560" t="s">
        <v>272</v>
      </c>
      <c r="B560">
        <v>2025</v>
      </c>
      <c r="C560">
        <v>1</v>
      </c>
      <c r="D560" t="s">
        <v>75</v>
      </c>
      <c r="E560" t="s">
        <v>78</v>
      </c>
      <c r="F560">
        <v>7.5</v>
      </c>
      <c r="G560">
        <v>55</v>
      </c>
      <c r="H560" t="s">
        <v>11</v>
      </c>
      <c r="I560" t="str">
        <f t="shared" si="8"/>
        <v>Média</v>
      </c>
    </row>
    <row r="561" spans="1:9">
      <c r="A561" t="s">
        <v>365</v>
      </c>
      <c r="B561">
        <v>2025</v>
      </c>
      <c r="C561">
        <v>2</v>
      </c>
      <c r="D561" t="s">
        <v>139</v>
      </c>
      <c r="E561" t="s">
        <v>140</v>
      </c>
      <c r="F561">
        <v>7.5</v>
      </c>
      <c r="G561">
        <v>49.4</v>
      </c>
      <c r="H561" t="s">
        <v>11</v>
      </c>
      <c r="I561" t="str">
        <f t="shared" si="8"/>
        <v>Baixa</v>
      </c>
    </row>
    <row r="562" spans="1:9">
      <c r="A562" t="s">
        <v>401</v>
      </c>
      <c r="B562">
        <v>2026</v>
      </c>
      <c r="C562">
        <v>1</v>
      </c>
      <c r="D562" t="s">
        <v>9</v>
      </c>
      <c r="E562" t="s">
        <v>14</v>
      </c>
      <c r="F562">
        <v>7.5</v>
      </c>
      <c r="G562">
        <v>81.8</v>
      </c>
      <c r="H562" t="s">
        <v>11</v>
      </c>
      <c r="I562" t="str">
        <f t="shared" si="8"/>
        <v>Alta</v>
      </c>
    </row>
    <row r="563" spans="1:9">
      <c r="A563" t="s">
        <v>422</v>
      </c>
      <c r="B563">
        <v>2026</v>
      </c>
      <c r="C563">
        <v>1</v>
      </c>
      <c r="D563" t="s">
        <v>9</v>
      </c>
      <c r="E563" t="s">
        <v>10</v>
      </c>
      <c r="F563">
        <v>7.5</v>
      </c>
      <c r="G563">
        <v>51.6</v>
      </c>
      <c r="H563" t="s">
        <v>11</v>
      </c>
      <c r="I563" t="str">
        <f t="shared" si="8"/>
        <v>Média</v>
      </c>
    </row>
    <row r="564" spans="1:9">
      <c r="A564" t="s">
        <v>433</v>
      </c>
      <c r="B564">
        <v>2026</v>
      </c>
      <c r="C564">
        <v>1</v>
      </c>
      <c r="D564" t="s">
        <v>9</v>
      </c>
      <c r="E564" t="s">
        <v>12</v>
      </c>
      <c r="F564">
        <v>7.5</v>
      </c>
      <c r="G564">
        <v>46.3</v>
      </c>
      <c r="H564" t="s">
        <v>11</v>
      </c>
      <c r="I564" t="str">
        <f t="shared" si="8"/>
        <v>Baixa</v>
      </c>
    </row>
    <row r="565" spans="1:9">
      <c r="A565" t="s">
        <v>450</v>
      </c>
      <c r="B565">
        <v>2026</v>
      </c>
      <c r="C565">
        <v>1</v>
      </c>
      <c r="D565" t="s">
        <v>75</v>
      </c>
      <c r="E565" t="s">
        <v>76</v>
      </c>
      <c r="F565">
        <v>7.5</v>
      </c>
      <c r="G565">
        <v>85.3</v>
      </c>
      <c r="H565" t="s">
        <v>11</v>
      </c>
      <c r="I565" t="str">
        <f t="shared" si="8"/>
        <v>Alta</v>
      </c>
    </row>
    <row r="566" spans="1:9">
      <c r="A566" t="s">
        <v>514</v>
      </c>
      <c r="B566">
        <v>2026</v>
      </c>
      <c r="C566">
        <v>1</v>
      </c>
      <c r="D566" t="s">
        <v>139</v>
      </c>
      <c r="E566" t="s">
        <v>10</v>
      </c>
      <c r="F566">
        <v>7.5</v>
      </c>
      <c r="G566">
        <v>56</v>
      </c>
      <c r="H566" t="s">
        <v>11</v>
      </c>
      <c r="I566" t="str">
        <f t="shared" si="8"/>
        <v>Média</v>
      </c>
    </row>
    <row r="567" spans="1:9">
      <c r="A567" t="s">
        <v>530</v>
      </c>
      <c r="B567">
        <v>2026</v>
      </c>
      <c r="C567">
        <v>1</v>
      </c>
      <c r="D567" t="s">
        <v>139</v>
      </c>
      <c r="E567" t="s">
        <v>10</v>
      </c>
      <c r="F567">
        <v>7.5</v>
      </c>
      <c r="G567">
        <v>45.9</v>
      </c>
      <c r="H567" t="s">
        <v>11</v>
      </c>
      <c r="I567" t="str">
        <f t="shared" si="8"/>
        <v>Baixa</v>
      </c>
    </row>
    <row r="568" spans="1:9">
      <c r="A568" t="s">
        <v>543</v>
      </c>
      <c r="B568">
        <v>2026</v>
      </c>
      <c r="C568">
        <v>1</v>
      </c>
      <c r="D568" t="s">
        <v>139</v>
      </c>
      <c r="E568" t="s">
        <v>140</v>
      </c>
      <c r="F568">
        <v>7.5</v>
      </c>
      <c r="G568">
        <v>91.6</v>
      </c>
      <c r="H568" t="s">
        <v>11</v>
      </c>
      <c r="I568" t="str">
        <f t="shared" si="8"/>
        <v>Alta</v>
      </c>
    </row>
    <row r="569" spans="1:9">
      <c r="A569" t="s">
        <v>551</v>
      </c>
      <c r="B569">
        <v>2026</v>
      </c>
      <c r="C569">
        <v>1</v>
      </c>
      <c r="D569" t="s">
        <v>139</v>
      </c>
      <c r="E569" t="s">
        <v>141</v>
      </c>
      <c r="F569">
        <v>7.5</v>
      </c>
      <c r="G569">
        <v>83.7</v>
      </c>
      <c r="H569" t="s">
        <v>11</v>
      </c>
      <c r="I569" t="str">
        <f t="shared" si="8"/>
        <v>Alta</v>
      </c>
    </row>
    <row r="570" spans="1:9">
      <c r="A570" t="s">
        <v>381</v>
      </c>
      <c r="B570">
        <v>2026</v>
      </c>
      <c r="C570">
        <v>2</v>
      </c>
      <c r="D570" t="s">
        <v>9</v>
      </c>
      <c r="E570" t="s">
        <v>14</v>
      </c>
      <c r="F570">
        <v>7.5</v>
      </c>
      <c r="G570">
        <v>46.5</v>
      </c>
      <c r="H570" t="s">
        <v>11</v>
      </c>
      <c r="I570" t="str">
        <f t="shared" si="8"/>
        <v>Baixa</v>
      </c>
    </row>
    <row r="571" spans="1:9">
      <c r="A571" t="s">
        <v>383</v>
      </c>
      <c r="B571">
        <v>2026</v>
      </c>
      <c r="C571">
        <v>2</v>
      </c>
      <c r="D571" t="s">
        <v>9</v>
      </c>
      <c r="E571" t="s">
        <v>12</v>
      </c>
      <c r="F571">
        <v>7.5</v>
      </c>
      <c r="G571">
        <v>48.1</v>
      </c>
      <c r="H571" t="s">
        <v>11</v>
      </c>
      <c r="I571" t="str">
        <f t="shared" si="8"/>
        <v>Baixa</v>
      </c>
    </row>
    <row r="572" spans="1:9">
      <c r="A572" t="s">
        <v>427</v>
      </c>
      <c r="B572">
        <v>2026</v>
      </c>
      <c r="C572">
        <v>2</v>
      </c>
      <c r="D572" t="s">
        <v>9</v>
      </c>
      <c r="E572" t="s">
        <v>10</v>
      </c>
      <c r="F572">
        <v>7.5</v>
      </c>
      <c r="G572">
        <v>99.2</v>
      </c>
      <c r="H572" t="s">
        <v>11</v>
      </c>
      <c r="I572" t="str">
        <f t="shared" si="8"/>
        <v>Alta</v>
      </c>
    </row>
    <row r="573" spans="1:9">
      <c r="A573" t="s">
        <v>467</v>
      </c>
      <c r="B573">
        <v>2026</v>
      </c>
      <c r="C573">
        <v>2</v>
      </c>
      <c r="D573" t="s">
        <v>75</v>
      </c>
      <c r="E573" t="s">
        <v>78</v>
      </c>
      <c r="F573">
        <v>7.5</v>
      </c>
      <c r="G573">
        <v>66.5</v>
      </c>
      <c r="H573" t="s">
        <v>11</v>
      </c>
      <c r="I573" t="str">
        <f t="shared" si="8"/>
        <v>Média</v>
      </c>
    </row>
    <row r="574" spans="1:9">
      <c r="A574" t="s">
        <v>502</v>
      </c>
      <c r="B574">
        <v>2026</v>
      </c>
      <c r="C574">
        <v>2</v>
      </c>
      <c r="D574" t="s">
        <v>139</v>
      </c>
      <c r="E574" t="s">
        <v>140</v>
      </c>
      <c r="F574">
        <v>7.5</v>
      </c>
      <c r="G574">
        <v>84.5</v>
      </c>
      <c r="H574" t="s">
        <v>11</v>
      </c>
      <c r="I574" t="str">
        <f t="shared" si="8"/>
        <v>Alta</v>
      </c>
    </row>
    <row r="575" spans="1:9">
      <c r="A575" t="s">
        <v>44</v>
      </c>
      <c r="B575">
        <v>2024</v>
      </c>
      <c r="C575">
        <v>1</v>
      </c>
      <c r="D575" t="s">
        <v>9</v>
      </c>
      <c r="E575" t="s">
        <v>14</v>
      </c>
      <c r="F575">
        <v>7.6</v>
      </c>
      <c r="G575">
        <v>51.8</v>
      </c>
      <c r="H575" t="s">
        <v>11</v>
      </c>
      <c r="I575" t="str">
        <f t="shared" si="8"/>
        <v>Média</v>
      </c>
    </row>
    <row r="576" spans="1:9">
      <c r="A576" t="s">
        <v>55</v>
      </c>
      <c r="B576">
        <v>2024</v>
      </c>
      <c r="C576">
        <v>1</v>
      </c>
      <c r="D576" t="s">
        <v>9</v>
      </c>
      <c r="E576" t="s">
        <v>14</v>
      </c>
      <c r="F576">
        <v>7.6</v>
      </c>
      <c r="G576">
        <v>81.5</v>
      </c>
      <c r="H576" t="s">
        <v>11</v>
      </c>
      <c r="I576" t="str">
        <f t="shared" si="8"/>
        <v>Alta</v>
      </c>
    </row>
    <row r="577" spans="1:9">
      <c r="A577" t="s">
        <v>130</v>
      </c>
      <c r="B577">
        <v>2024</v>
      </c>
      <c r="C577">
        <v>1</v>
      </c>
      <c r="D577" t="s">
        <v>75</v>
      </c>
      <c r="E577" t="s">
        <v>78</v>
      </c>
      <c r="F577">
        <v>7.6</v>
      </c>
      <c r="G577">
        <v>52.4</v>
      </c>
      <c r="H577" t="s">
        <v>11</v>
      </c>
      <c r="I577" t="str">
        <f t="shared" si="8"/>
        <v>Média</v>
      </c>
    </row>
    <row r="578" spans="1:9">
      <c r="A578" t="s">
        <v>153</v>
      </c>
      <c r="B578">
        <v>2024</v>
      </c>
      <c r="C578">
        <v>1</v>
      </c>
      <c r="D578" t="s">
        <v>139</v>
      </c>
      <c r="E578" t="s">
        <v>140</v>
      </c>
      <c r="F578">
        <v>7.6</v>
      </c>
      <c r="G578">
        <v>77.7</v>
      </c>
      <c r="H578" t="s">
        <v>11</v>
      </c>
      <c r="I578" t="str">
        <f t="shared" ref="I578:I641" si="9">IF(G578&lt;50,"Baixa",IF(G578&lt;75,"Média","Alta"))</f>
        <v>Alta</v>
      </c>
    </row>
    <row r="579" spans="1:9">
      <c r="A579" t="s">
        <v>160</v>
      </c>
      <c r="B579">
        <v>2024</v>
      </c>
      <c r="C579">
        <v>1</v>
      </c>
      <c r="D579" t="s">
        <v>139</v>
      </c>
      <c r="E579" t="s">
        <v>10</v>
      </c>
      <c r="F579">
        <v>7.6</v>
      </c>
      <c r="G579">
        <v>53.5</v>
      </c>
      <c r="H579" t="s">
        <v>11</v>
      </c>
      <c r="I579" t="str">
        <f t="shared" si="9"/>
        <v>Média</v>
      </c>
    </row>
    <row r="580" spans="1:9">
      <c r="A580" t="s">
        <v>165</v>
      </c>
      <c r="B580">
        <v>2024</v>
      </c>
      <c r="C580">
        <v>1</v>
      </c>
      <c r="D580" t="s">
        <v>139</v>
      </c>
      <c r="E580" t="s">
        <v>140</v>
      </c>
      <c r="F580">
        <v>7.6</v>
      </c>
      <c r="G580">
        <v>59.4</v>
      </c>
      <c r="H580" t="s">
        <v>11</v>
      </c>
      <c r="I580" t="str">
        <f t="shared" si="9"/>
        <v>Média</v>
      </c>
    </row>
    <row r="581" spans="1:9">
      <c r="A581" t="s">
        <v>166</v>
      </c>
      <c r="B581">
        <v>2024</v>
      </c>
      <c r="C581">
        <v>1</v>
      </c>
      <c r="D581" t="s">
        <v>139</v>
      </c>
      <c r="E581" t="s">
        <v>140</v>
      </c>
      <c r="F581">
        <v>7.6</v>
      </c>
      <c r="G581">
        <v>62</v>
      </c>
      <c r="H581" t="s">
        <v>11</v>
      </c>
      <c r="I581" t="str">
        <f t="shared" si="9"/>
        <v>Média</v>
      </c>
    </row>
    <row r="582" spans="1:9">
      <c r="A582" t="s">
        <v>36</v>
      </c>
      <c r="B582">
        <v>2024</v>
      </c>
      <c r="C582">
        <v>2</v>
      </c>
      <c r="D582" t="s">
        <v>9</v>
      </c>
      <c r="E582" t="s">
        <v>14</v>
      </c>
      <c r="F582">
        <v>7.6</v>
      </c>
      <c r="G582">
        <v>56.6</v>
      </c>
      <c r="H582" t="s">
        <v>11</v>
      </c>
      <c r="I582" t="str">
        <f t="shared" si="9"/>
        <v>Média</v>
      </c>
    </row>
    <row r="583" spans="1:9">
      <c r="A583" t="s">
        <v>38</v>
      </c>
      <c r="B583">
        <v>2024</v>
      </c>
      <c r="C583">
        <v>2</v>
      </c>
      <c r="D583" t="s">
        <v>9</v>
      </c>
      <c r="E583" t="s">
        <v>10</v>
      </c>
      <c r="F583">
        <v>7.6</v>
      </c>
      <c r="G583">
        <v>65.8</v>
      </c>
      <c r="H583" t="s">
        <v>11</v>
      </c>
      <c r="I583" t="str">
        <f t="shared" si="9"/>
        <v>Média</v>
      </c>
    </row>
    <row r="584" spans="1:9">
      <c r="A584" t="s">
        <v>66</v>
      </c>
      <c r="B584">
        <v>2024</v>
      </c>
      <c r="C584">
        <v>2</v>
      </c>
      <c r="D584" t="s">
        <v>9</v>
      </c>
      <c r="E584" t="s">
        <v>12</v>
      </c>
      <c r="F584">
        <v>7.6</v>
      </c>
      <c r="G584">
        <v>72.2</v>
      </c>
      <c r="H584" t="s">
        <v>11</v>
      </c>
      <c r="I584" t="str">
        <f t="shared" si="9"/>
        <v>Média</v>
      </c>
    </row>
    <row r="585" spans="1:9">
      <c r="A585" t="s">
        <v>116</v>
      </c>
      <c r="B585">
        <v>2024</v>
      </c>
      <c r="C585">
        <v>2</v>
      </c>
      <c r="D585" t="s">
        <v>75</v>
      </c>
      <c r="E585" t="s">
        <v>78</v>
      </c>
      <c r="F585">
        <v>7.6</v>
      </c>
      <c r="G585">
        <v>83.8</v>
      </c>
      <c r="H585" t="s">
        <v>11</v>
      </c>
      <c r="I585" t="str">
        <f t="shared" si="9"/>
        <v>Alta</v>
      </c>
    </row>
    <row r="586" spans="1:9">
      <c r="A586" t="s">
        <v>118</v>
      </c>
      <c r="B586">
        <v>2024</v>
      </c>
      <c r="C586">
        <v>2</v>
      </c>
      <c r="D586" t="s">
        <v>75</v>
      </c>
      <c r="E586" t="s">
        <v>77</v>
      </c>
      <c r="F586">
        <v>7.6</v>
      </c>
      <c r="G586">
        <v>96.2</v>
      </c>
      <c r="H586" t="s">
        <v>11</v>
      </c>
      <c r="I586" t="str">
        <f t="shared" si="9"/>
        <v>Alta</v>
      </c>
    </row>
    <row r="587" spans="1:9">
      <c r="A587" t="s">
        <v>170</v>
      </c>
      <c r="B587">
        <v>2024</v>
      </c>
      <c r="C587">
        <v>2</v>
      </c>
      <c r="D587" t="s">
        <v>139</v>
      </c>
      <c r="E587" t="s">
        <v>10</v>
      </c>
      <c r="F587">
        <v>7.6</v>
      </c>
      <c r="G587">
        <v>95.8</v>
      </c>
      <c r="H587" t="s">
        <v>11</v>
      </c>
      <c r="I587" t="str">
        <f t="shared" si="9"/>
        <v>Alta</v>
      </c>
    </row>
    <row r="588" spans="1:9">
      <c r="A588" t="s">
        <v>179</v>
      </c>
      <c r="B588">
        <v>2024</v>
      </c>
      <c r="C588">
        <v>2</v>
      </c>
      <c r="D588" t="s">
        <v>139</v>
      </c>
      <c r="E588" t="s">
        <v>140</v>
      </c>
      <c r="F588">
        <v>7.6</v>
      </c>
      <c r="G588">
        <v>49.8</v>
      </c>
      <c r="H588" t="s">
        <v>11</v>
      </c>
      <c r="I588" t="str">
        <f t="shared" si="9"/>
        <v>Baixa</v>
      </c>
    </row>
    <row r="589" spans="1:9">
      <c r="A589" t="s">
        <v>182</v>
      </c>
      <c r="B589">
        <v>2024</v>
      </c>
      <c r="C589">
        <v>2</v>
      </c>
      <c r="D589" t="s">
        <v>139</v>
      </c>
      <c r="E589" t="s">
        <v>10</v>
      </c>
      <c r="F589">
        <v>7.6</v>
      </c>
      <c r="G589">
        <v>63.3</v>
      </c>
      <c r="H589" t="s">
        <v>11</v>
      </c>
      <c r="I589" t="str">
        <f t="shared" si="9"/>
        <v>Média</v>
      </c>
    </row>
    <row r="590" spans="1:9">
      <c r="A590" t="s">
        <v>210</v>
      </c>
      <c r="B590">
        <v>2025</v>
      </c>
      <c r="C590">
        <v>1</v>
      </c>
      <c r="D590" t="s">
        <v>9</v>
      </c>
      <c r="E590" t="s">
        <v>14</v>
      </c>
      <c r="F590">
        <v>7.6</v>
      </c>
      <c r="G590">
        <v>59.6</v>
      </c>
      <c r="H590" t="s">
        <v>11</v>
      </c>
      <c r="I590" t="str">
        <f t="shared" si="9"/>
        <v>Média</v>
      </c>
    </row>
    <row r="591" spans="1:9">
      <c r="A591" t="s">
        <v>255</v>
      </c>
      <c r="B591">
        <v>2025</v>
      </c>
      <c r="C591">
        <v>1</v>
      </c>
      <c r="D591" t="s">
        <v>9</v>
      </c>
      <c r="E591" t="s">
        <v>14</v>
      </c>
      <c r="F591">
        <v>7.6</v>
      </c>
      <c r="G591">
        <v>52.1</v>
      </c>
      <c r="H591" t="s">
        <v>11</v>
      </c>
      <c r="I591" t="str">
        <f t="shared" si="9"/>
        <v>Média</v>
      </c>
    </row>
    <row r="592" spans="1:9">
      <c r="A592" t="s">
        <v>271</v>
      </c>
      <c r="B592">
        <v>2025</v>
      </c>
      <c r="C592">
        <v>1</v>
      </c>
      <c r="D592" t="s">
        <v>75</v>
      </c>
      <c r="E592" t="s">
        <v>76</v>
      </c>
      <c r="F592">
        <v>7.6</v>
      </c>
      <c r="G592">
        <v>59.4</v>
      </c>
      <c r="H592" t="s">
        <v>11</v>
      </c>
      <c r="I592" t="str">
        <f t="shared" si="9"/>
        <v>Média</v>
      </c>
    </row>
    <row r="593" spans="1:9">
      <c r="A593" t="s">
        <v>330</v>
      </c>
      <c r="B593">
        <v>2025</v>
      </c>
      <c r="C593">
        <v>1</v>
      </c>
      <c r="D593" t="s">
        <v>139</v>
      </c>
      <c r="E593" t="s">
        <v>141</v>
      </c>
      <c r="F593">
        <v>7.6</v>
      </c>
      <c r="G593">
        <v>84.8</v>
      </c>
      <c r="H593" t="s">
        <v>11</v>
      </c>
      <c r="I593" t="str">
        <f t="shared" si="9"/>
        <v>Alta</v>
      </c>
    </row>
    <row r="594" spans="1:9">
      <c r="A594" t="s">
        <v>372</v>
      </c>
      <c r="B594">
        <v>2025</v>
      </c>
      <c r="C594">
        <v>1</v>
      </c>
      <c r="D594" t="s">
        <v>139</v>
      </c>
      <c r="E594" t="s">
        <v>141</v>
      </c>
      <c r="F594">
        <v>7.6</v>
      </c>
      <c r="G594">
        <v>59.3</v>
      </c>
      <c r="H594" t="s">
        <v>11</v>
      </c>
      <c r="I594" t="str">
        <f t="shared" si="9"/>
        <v>Média</v>
      </c>
    </row>
    <row r="595" spans="1:9">
      <c r="A595" t="s">
        <v>376</v>
      </c>
      <c r="B595">
        <v>2025</v>
      </c>
      <c r="C595">
        <v>1</v>
      </c>
      <c r="D595" t="s">
        <v>139</v>
      </c>
      <c r="E595" t="s">
        <v>140</v>
      </c>
      <c r="F595">
        <v>7.6</v>
      </c>
      <c r="G595">
        <v>53</v>
      </c>
      <c r="H595" t="s">
        <v>11</v>
      </c>
      <c r="I595" t="str">
        <f t="shared" si="9"/>
        <v>Média</v>
      </c>
    </row>
    <row r="596" spans="1:9">
      <c r="A596" t="s">
        <v>204</v>
      </c>
      <c r="B596">
        <v>2025</v>
      </c>
      <c r="C596">
        <v>2</v>
      </c>
      <c r="D596" t="s">
        <v>9</v>
      </c>
      <c r="E596" t="s">
        <v>14</v>
      </c>
      <c r="F596">
        <v>7.6</v>
      </c>
      <c r="G596">
        <v>90.5</v>
      </c>
      <c r="H596" t="s">
        <v>11</v>
      </c>
      <c r="I596" t="str">
        <f t="shared" si="9"/>
        <v>Alta</v>
      </c>
    </row>
    <row r="597" spans="1:9">
      <c r="A597" t="s">
        <v>213</v>
      </c>
      <c r="B597">
        <v>2025</v>
      </c>
      <c r="C597">
        <v>2</v>
      </c>
      <c r="D597" t="s">
        <v>9</v>
      </c>
      <c r="E597" t="s">
        <v>10</v>
      </c>
      <c r="F597">
        <v>7.6</v>
      </c>
      <c r="G597">
        <v>64.599999999999994</v>
      </c>
      <c r="H597" t="s">
        <v>11</v>
      </c>
      <c r="I597" t="str">
        <f t="shared" si="9"/>
        <v>Média</v>
      </c>
    </row>
    <row r="598" spans="1:9">
      <c r="A598" t="s">
        <v>267</v>
      </c>
      <c r="B598">
        <v>2025</v>
      </c>
      <c r="C598">
        <v>2</v>
      </c>
      <c r="D598" t="s">
        <v>75</v>
      </c>
      <c r="E598" t="s">
        <v>76</v>
      </c>
      <c r="F598">
        <v>7.6</v>
      </c>
      <c r="G598">
        <v>96.3</v>
      </c>
      <c r="H598" t="s">
        <v>11</v>
      </c>
      <c r="I598" t="str">
        <f t="shared" si="9"/>
        <v>Alta</v>
      </c>
    </row>
    <row r="599" spans="1:9">
      <c r="A599" t="s">
        <v>330</v>
      </c>
      <c r="B599">
        <v>2025</v>
      </c>
      <c r="C599">
        <v>2</v>
      </c>
      <c r="D599" t="s">
        <v>139</v>
      </c>
      <c r="E599" t="s">
        <v>10</v>
      </c>
      <c r="F599">
        <v>7.6</v>
      </c>
      <c r="G599">
        <v>68.2</v>
      </c>
      <c r="H599" t="s">
        <v>11</v>
      </c>
      <c r="I599" t="str">
        <f t="shared" si="9"/>
        <v>Média</v>
      </c>
    </row>
    <row r="600" spans="1:9">
      <c r="A600" t="s">
        <v>380</v>
      </c>
      <c r="B600">
        <v>2025</v>
      </c>
      <c r="C600">
        <v>2</v>
      </c>
      <c r="D600" t="s">
        <v>139</v>
      </c>
      <c r="E600" t="s">
        <v>141</v>
      </c>
      <c r="F600">
        <v>7.6</v>
      </c>
      <c r="G600">
        <v>51.4</v>
      </c>
      <c r="H600" t="s">
        <v>11</v>
      </c>
      <c r="I600" t="str">
        <f t="shared" si="9"/>
        <v>Média</v>
      </c>
    </row>
    <row r="601" spans="1:9">
      <c r="A601" t="s">
        <v>410</v>
      </c>
      <c r="B601">
        <v>2026</v>
      </c>
      <c r="C601">
        <v>1</v>
      </c>
      <c r="D601" t="s">
        <v>9</v>
      </c>
      <c r="E601" t="s">
        <v>10</v>
      </c>
      <c r="F601">
        <v>7.6</v>
      </c>
      <c r="G601">
        <v>80.5</v>
      </c>
      <c r="H601" t="s">
        <v>11</v>
      </c>
      <c r="I601" t="str">
        <f t="shared" si="9"/>
        <v>Alta</v>
      </c>
    </row>
    <row r="602" spans="1:9">
      <c r="A602" t="s">
        <v>467</v>
      </c>
      <c r="B602">
        <v>2026</v>
      </c>
      <c r="C602">
        <v>1</v>
      </c>
      <c r="D602" t="s">
        <v>75</v>
      </c>
      <c r="E602" t="s">
        <v>77</v>
      </c>
      <c r="F602">
        <v>7.6</v>
      </c>
      <c r="G602">
        <v>82.6</v>
      </c>
      <c r="H602" t="s">
        <v>11</v>
      </c>
      <c r="I602" t="str">
        <f t="shared" si="9"/>
        <v>Alta</v>
      </c>
    </row>
    <row r="603" spans="1:9">
      <c r="A603" t="s">
        <v>497</v>
      </c>
      <c r="B603">
        <v>2026</v>
      </c>
      <c r="C603">
        <v>1</v>
      </c>
      <c r="D603" t="s">
        <v>75</v>
      </c>
      <c r="E603" t="s">
        <v>77</v>
      </c>
      <c r="F603">
        <v>7.6</v>
      </c>
      <c r="G603">
        <v>52.4</v>
      </c>
      <c r="H603" t="s">
        <v>11</v>
      </c>
      <c r="I603" t="str">
        <f t="shared" si="9"/>
        <v>Média</v>
      </c>
    </row>
    <row r="604" spans="1:9">
      <c r="A604" t="s">
        <v>437</v>
      </c>
      <c r="B604">
        <v>2026</v>
      </c>
      <c r="C604">
        <v>2</v>
      </c>
      <c r="D604" t="s">
        <v>9</v>
      </c>
      <c r="E604" t="s">
        <v>12</v>
      </c>
      <c r="F604">
        <v>7.6</v>
      </c>
      <c r="G604">
        <v>47.8</v>
      </c>
      <c r="H604" t="s">
        <v>11</v>
      </c>
      <c r="I604" t="str">
        <f t="shared" si="9"/>
        <v>Baixa</v>
      </c>
    </row>
    <row r="605" spans="1:9">
      <c r="A605" t="s">
        <v>478</v>
      </c>
      <c r="B605">
        <v>2026</v>
      </c>
      <c r="C605">
        <v>2</v>
      </c>
      <c r="D605" t="s">
        <v>75</v>
      </c>
      <c r="E605" t="s">
        <v>78</v>
      </c>
      <c r="F605">
        <v>7.6</v>
      </c>
      <c r="G605">
        <v>46</v>
      </c>
      <c r="H605" t="s">
        <v>11</v>
      </c>
      <c r="I605" t="str">
        <f t="shared" si="9"/>
        <v>Baixa</v>
      </c>
    </row>
    <row r="606" spans="1:9">
      <c r="A606" t="s">
        <v>480</v>
      </c>
      <c r="B606">
        <v>2026</v>
      </c>
      <c r="C606">
        <v>2</v>
      </c>
      <c r="D606" t="s">
        <v>75</v>
      </c>
      <c r="E606" t="s">
        <v>77</v>
      </c>
      <c r="F606">
        <v>7.6</v>
      </c>
      <c r="G606">
        <v>45.6</v>
      </c>
      <c r="H606" t="s">
        <v>11</v>
      </c>
      <c r="I606" t="str">
        <f t="shared" si="9"/>
        <v>Baixa</v>
      </c>
    </row>
    <row r="607" spans="1:9">
      <c r="A607" t="s">
        <v>520</v>
      </c>
      <c r="B607">
        <v>2026</v>
      </c>
      <c r="C607">
        <v>2</v>
      </c>
      <c r="D607" t="s">
        <v>139</v>
      </c>
      <c r="E607" t="s">
        <v>10</v>
      </c>
      <c r="F607">
        <v>7.6</v>
      </c>
      <c r="G607">
        <v>72.599999999999994</v>
      </c>
      <c r="H607" t="s">
        <v>11</v>
      </c>
      <c r="I607" t="str">
        <f t="shared" si="9"/>
        <v>Média</v>
      </c>
    </row>
    <row r="608" spans="1:9">
      <c r="A608" t="s">
        <v>8</v>
      </c>
      <c r="B608">
        <v>2024</v>
      </c>
      <c r="C608">
        <v>1</v>
      </c>
      <c r="D608" t="s">
        <v>9</v>
      </c>
      <c r="E608" t="s">
        <v>10</v>
      </c>
      <c r="F608">
        <v>7.7</v>
      </c>
      <c r="G608">
        <v>75.099999999999994</v>
      </c>
      <c r="H608" t="s">
        <v>11</v>
      </c>
      <c r="I608" t="str">
        <f t="shared" si="9"/>
        <v>Alta</v>
      </c>
    </row>
    <row r="609" spans="1:9">
      <c r="A609" t="s">
        <v>32</v>
      </c>
      <c r="B609">
        <v>2024</v>
      </c>
      <c r="C609">
        <v>1</v>
      </c>
      <c r="D609" t="s">
        <v>9</v>
      </c>
      <c r="E609" t="s">
        <v>10</v>
      </c>
      <c r="F609">
        <v>7.7</v>
      </c>
      <c r="G609">
        <v>68.900000000000006</v>
      </c>
      <c r="H609" t="s">
        <v>11</v>
      </c>
      <c r="I609" t="str">
        <f t="shared" si="9"/>
        <v>Média</v>
      </c>
    </row>
    <row r="610" spans="1:9">
      <c r="A610" t="s">
        <v>184</v>
      </c>
      <c r="B610">
        <v>2024</v>
      </c>
      <c r="C610">
        <v>1</v>
      </c>
      <c r="D610" t="s">
        <v>139</v>
      </c>
      <c r="E610" t="s">
        <v>10</v>
      </c>
      <c r="F610">
        <v>7.7</v>
      </c>
      <c r="G610">
        <v>47.8</v>
      </c>
      <c r="H610" t="s">
        <v>11</v>
      </c>
      <c r="I610" t="str">
        <f t="shared" si="9"/>
        <v>Baixa</v>
      </c>
    </row>
    <row r="611" spans="1:9">
      <c r="A611" t="s">
        <v>42</v>
      </c>
      <c r="B611">
        <v>2024</v>
      </c>
      <c r="C611">
        <v>2</v>
      </c>
      <c r="D611" t="s">
        <v>9</v>
      </c>
      <c r="E611" t="s">
        <v>10</v>
      </c>
      <c r="F611">
        <v>7.7</v>
      </c>
      <c r="G611">
        <v>78</v>
      </c>
      <c r="H611" t="s">
        <v>11</v>
      </c>
      <c r="I611" t="str">
        <f t="shared" si="9"/>
        <v>Alta</v>
      </c>
    </row>
    <row r="612" spans="1:9">
      <c r="A612" t="s">
        <v>114</v>
      </c>
      <c r="B612">
        <v>2024</v>
      </c>
      <c r="C612">
        <v>2</v>
      </c>
      <c r="D612" t="s">
        <v>75</v>
      </c>
      <c r="E612" t="s">
        <v>77</v>
      </c>
      <c r="F612">
        <v>7.7</v>
      </c>
      <c r="G612">
        <v>61.7</v>
      </c>
      <c r="H612" t="s">
        <v>11</v>
      </c>
      <c r="I612" t="str">
        <f t="shared" si="9"/>
        <v>Média</v>
      </c>
    </row>
    <row r="613" spans="1:9">
      <c r="A613" t="s">
        <v>133</v>
      </c>
      <c r="B613">
        <v>2024</v>
      </c>
      <c r="C613">
        <v>2</v>
      </c>
      <c r="D613" t="s">
        <v>75</v>
      </c>
      <c r="E613" t="s">
        <v>78</v>
      </c>
      <c r="F613">
        <v>7.7</v>
      </c>
      <c r="G613">
        <v>55.5</v>
      </c>
      <c r="H613" t="s">
        <v>11</v>
      </c>
      <c r="I613" t="str">
        <f t="shared" si="9"/>
        <v>Média</v>
      </c>
    </row>
    <row r="614" spans="1:9">
      <c r="A614" t="s">
        <v>142</v>
      </c>
      <c r="B614">
        <v>2024</v>
      </c>
      <c r="C614">
        <v>2</v>
      </c>
      <c r="D614" t="s">
        <v>139</v>
      </c>
      <c r="E614" t="s">
        <v>10</v>
      </c>
      <c r="F614">
        <v>7.7</v>
      </c>
      <c r="G614">
        <v>67.099999999999994</v>
      </c>
      <c r="H614" t="s">
        <v>11</v>
      </c>
      <c r="I614" t="str">
        <f t="shared" si="9"/>
        <v>Média</v>
      </c>
    </row>
    <row r="615" spans="1:9">
      <c r="A615" t="s">
        <v>219</v>
      </c>
      <c r="B615">
        <v>2025</v>
      </c>
      <c r="C615">
        <v>1</v>
      </c>
      <c r="D615" t="s">
        <v>9</v>
      </c>
      <c r="E615" t="s">
        <v>12</v>
      </c>
      <c r="F615">
        <v>7.7</v>
      </c>
      <c r="G615">
        <v>71.099999999999994</v>
      </c>
      <c r="H615" t="s">
        <v>11</v>
      </c>
      <c r="I615" t="str">
        <f t="shared" si="9"/>
        <v>Média</v>
      </c>
    </row>
    <row r="616" spans="1:9">
      <c r="A616" t="s">
        <v>252</v>
      </c>
      <c r="B616">
        <v>2025</v>
      </c>
      <c r="C616">
        <v>1</v>
      </c>
      <c r="D616" t="s">
        <v>9</v>
      </c>
      <c r="E616" t="s">
        <v>12</v>
      </c>
      <c r="F616">
        <v>7.7</v>
      </c>
      <c r="G616">
        <v>65</v>
      </c>
      <c r="H616" t="s">
        <v>11</v>
      </c>
      <c r="I616" t="str">
        <f t="shared" si="9"/>
        <v>Média</v>
      </c>
    </row>
    <row r="617" spans="1:9">
      <c r="A617" t="s">
        <v>262</v>
      </c>
      <c r="B617">
        <v>2025</v>
      </c>
      <c r="C617">
        <v>1</v>
      </c>
      <c r="D617" t="s">
        <v>75</v>
      </c>
      <c r="E617" t="s">
        <v>77</v>
      </c>
      <c r="F617">
        <v>7.7</v>
      </c>
      <c r="G617">
        <v>56.1</v>
      </c>
      <c r="H617" t="s">
        <v>11</v>
      </c>
      <c r="I617" t="str">
        <f t="shared" si="9"/>
        <v>Média</v>
      </c>
    </row>
    <row r="618" spans="1:9">
      <c r="A618" t="s">
        <v>307</v>
      </c>
      <c r="B618">
        <v>2025</v>
      </c>
      <c r="C618">
        <v>1</v>
      </c>
      <c r="D618" t="s">
        <v>75</v>
      </c>
      <c r="E618" t="s">
        <v>76</v>
      </c>
      <c r="F618">
        <v>7.7</v>
      </c>
      <c r="G618">
        <v>45.1</v>
      </c>
      <c r="H618" t="s">
        <v>11</v>
      </c>
      <c r="I618" t="str">
        <f t="shared" si="9"/>
        <v>Baixa</v>
      </c>
    </row>
    <row r="619" spans="1:9">
      <c r="A619" t="s">
        <v>310</v>
      </c>
      <c r="B619">
        <v>2025</v>
      </c>
      <c r="C619">
        <v>1</v>
      </c>
      <c r="D619" t="s">
        <v>75</v>
      </c>
      <c r="E619" t="s">
        <v>76</v>
      </c>
      <c r="F619">
        <v>7.7</v>
      </c>
      <c r="G619">
        <v>51</v>
      </c>
      <c r="H619" t="s">
        <v>11</v>
      </c>
      <c r="I619" t="str">
        <f t="shared" si="9"/>
        <v>Média</v>
      </c>
    </row>
    <row r="620" spans="1:9">
      <c r="A620" t="s">
        <v>329</v>
      </c>
      <c r="B620">
        <v>2025</v>
      </c>
      <c r="C620">
        <v>1</v>
      </c>
      <c r="D620" t="s">
        <v>139</v>
      </c>
      <c r="E620" t="s">
        <v>140</v>
      </c>
      <c r="F620">
        <v>7.7</v>
      </c>
      <c r="G620">
        <v>72.3</v>
      </c>
      <c r="H620" t="s">
        <v>11</v>
      </c>
      <c r="I620" t="str">
        <f t="shared" si="9"/>
        <v>Média</v>
      </c>
    </row>
    <row r="621" spans="1:9">
      <c r="A621" t="s">
        <v>340</v>
      </c>
      <c r="B621">
        <v>2025</v>
      </c>
      <c r="C621">
        <v>1</v>
      </c>
      <c r="D621" t="s">
        <v>139</v>
      </c>
      <c r="E621" t="s">
        <v>140</v>
      </c>
      <c r="F621">
        <v>7.7</v>
      </c>
      <c r="G621">
        <v>45.4</v>
      </c>
      <c r="H621" t="s">
        <v>11</v>
      </c>
      <c r="I621" t="str">
        <f t="shared" si="9"/>
        <v>Baixa</v>
      </c>
    </row>
    <row r="622" spans="1:9">
      <c r="A622" t="s">
        <v>213</v>
      </c>
      <c r="B622">
        <v>2025</v>
      </c>
      <c r="C622">
        <v>2</v>
      </c>
      <c r="D622" t="s">
        <v>9</v>
      </c>
      <c r="E622" t="s">
        <v>14</v>
      </c>
      <c r="F622">
        <v>7.7</v>
      </c>
      <c r="G622">
        <v>73.5</v>
      </c>
      <c r="H622" t="s">
        <v>11</v>
      </c>
      <c r="I622" t="str">
        <f t="shared" si="9"/>
        <v>Média</v>
      </c>
    </row>
    <row r="623" spans="1:9">
      <c r="A623" t="s">
        <v>242</v>
      </c>
      <c r="B623">
        <v>2025</v>
      </c>
      <c r="C623">
        <v>2</v>
      </c>
      <c r="D623" t="s">
        <v>9</v>
      </c>
      <c r="E623" t="s">
        <v>10</v>
      </c>
      <c r="F623">
        <v>7.7</v>
      </c>
      <c r="G623">
        <v>98.3</v>
      </c>
      <c r="H623" t="s">
        <v>11</v>
      </c>
      <c r="I623" t="str">
        <f t="shared" si="9"/>
        <v>Alta</v>
      </c>
    </row>
    <row r="624" spans="1:9">
      <c r="A624" t="s">
        <v>310</v>
      </c>
      <c r="B624">
        <v>2025</v>
      </c>
      <c r="C624">
        <v>2</v>
      </c>
      <c r="D624" t="s">
        <v>75</v>
      </c>
      <c r="E624" t="s">
        <v>76</v>
      </c>
      <c r="F624">
        <v>7.7</v>
      </c>
      <c r="G624">
        <v>76.599999999999994</v>
      </c>
      <c r="H624" t="s">
        <v>11</v>
      </c>
      <c r="I624" t="str">
        <f t="shared" si="9"/>
        <v>Alta</v>
      </c>
    </row>
    <row r="625" spans="1:9">
      <c r="A625" t="s">
        <v>327</v>
      </c>
      <c r="B625">
        <v>2025</v>
      </c>
      <c r="C625">
        <v>2</v>
      </c>
      <c r="D625" t="s">
        <v>139</v>
      </c>
      <c r="E625" t="s">
        <v>141</v>
      </c>
      <c r="F625">
        <v>7.7</v>
      </c>
      <c r="G625">
        <v>77</v>
      </c>
      <c r="H625" t="s">
        <v>11</v>
      </c>
      <c r="I625" t="str">
        <f t="shared" si="9"/>
        <v>Alta</v>
      </c>
    </row>
    <row r="626" spans="1:9">
      <c r="A626" t="s">
        <v>338</v>
      </c>
      <c r="B626">
        <v>2025</v>
      </c>
      <c r="C626">
        <v>2</v>
      </c>
      <c r="D626" t="s">
        <v>139</v>
      </c>
      <c r="E626" t="s">
        <v>141</v>
      </c>
      <c r="F626">
        <v>7.7</v>
      </c>
      <c r="G626">
        <v>47.9</v>
      </c>
      <c r="H626" t="s">
        <v>11</v>
      </c>
      <c r="I626" t="str">
        <f t="shared" si="9"/>
        <v>Baixa</v>
      </c>
    </row>
    <row r="627" spans="1:9">
      <c r="A627" t="s">
        <v>341</v>
      </c>
      <c r="B627">
        <v>2025</v>
      </c>
      <c r="C627">
        <v>2</v>
      </c>
      <c r="D627" t="s">
        <v>139</v>
      </c>
      <c r="E627" t="s">
        <v>141</v>
      </c>
      <c r="F627">
        <v>7.7</v>
      </c>
      <c r="G627">
        <v>45.9</v>
      </c>
      <c r="H627" t="s">
        <v>11</v>
      </c>
      <c r="I627" t="str">
        <f t="shared" si="9"/>
        <v>Baixa</v>
      </c>
    </row>
    <row r="628" spans="1:9">
      <c r="A628" t="s">
        <v>364</v>
      </c>
      <c r="B628">
        <v>2025</v>
      </c>
      <c r="C628">
        <v>2</v>
      </c>
      <c r="D628" t="s">
        <v>139</v>
      </c>
      <c r="E628" t="s">
        <v>141</v>
      </c>
      <c r="F628">
        <v>7.7</v>
      </c>
      <c r="G628">
        <v>74.599999999999994</v>
      </c>
      <c r="H628" t="s">
        <v>11</v>
      </c>
      <c r="I628" t="str">
        <f t="shared" si="9"/>
        <v>Média</v>
      </c>
    </row>
    <row r="629" spans="1:9">
      <c r="A629" t="s">
        <v>486</v>
      </c>
      <c r="B629">
        <v>2026</v>
      </c>
      <c r="C629">
        <v>1</v>
      </c>
      <c r="D629" t="s">
        <v>75</v>
      </c>
      <c r="E629" t="s">
        <v>78</v>
      </c>
      <c r="F629">
        <v>7.7</v>
      </c>
      <c r="G629">
        <v>50.2</v>
      </c>
      <c r="H629" t="s">
        <v>11</v>
      </c>
      <c r="I629" t="str">
        <f t="shared" si="9"/>
        <v>Média</v>
      </c>
    </row>
    <row r="630" spans="1:9">
      <c r="A630" t="s">
        <v>517</v>
      </c>
      <c r="B630">
        <v>2026</v>
      </c>
      <c r="C630">
        <v>1</v>
      </c>
      <c r="D630" t="s">
        <v>139</v>
      </c>
      <c r="E630" t="s">
        <v>141</v>
      </c>
      <c r="F630">
        <v>7.7</v>
      </c>
      <c r="G630">
        <v>48.1</v>
      </c>
      <c r="H630" t="s">
        <v>11</v>
      </c>
      <c r="I630" t="str">
        <f t="shared" si="9"/>
        <v>Baixa</v>
      </c>
    </row>
    <row r="631" spans="1:9">
      <c r="A631" t="s">
        <v>521</v>
      </c>
      <c r="B631">
        <v>2026</v>
      </c>
      <c r="C631">
        <v>1</v>
      </c>
      <c r="D631" t="s">
        <v>139</v>
      </c>
      <c r="E631" t="s">
        <v>10</v>
      </c>
      <c r="F631">
        <v>7.7</v>
      </c>
      <c r="G631">
        <v>45.1</v>
      </c>
      <c r="H631" t="s">
        <v>11</v>
      </c>
      <c r="I631" t="str">
        <f t="shared" si="9"/>
        <v>Baixa</v>
      </c>
    </row>
    <row r="632" spans="1:9">
      <c r="A632" t="s">
        <v>524</v>
      </c>
      <c r="B632">
        <v>2026</v>
      </c>
      <c r="C632">
        <v>1</v>
      </c>
      <c r="D632" t="s">
        <v>139</v>
      </c>
      <c r="E632" t="s">
        <v>10</v>
      </c>
      <c r="F632">
        <v>7.7</v>
      </c>
      <c r="G632">
        <v>83.5</v>
      </c>
      <c r="H632" t="s">
        <v>11</v>
      </c>
      <c r="I632" t="str">
        <f t="shared" si="9"/>
        <v>Alta</v>
      </c>
    </row>
    <row r="633" spans="1:9">
      <c r="A633" t="s">
        <v>381</v>
      </c>
      <c r="B633">
        <v>2026</v>
      </c>
      <c r="C633">
        <v>2</v>
      </c>
      <c r="D633" t="s">
        <v>9</v>
      </c>
      <c r="E633" t="s">
        <v>10</v>
      </c>
      <c r="F633">
        <v>7.7</v>
      </c>
      <c r="G633">
        <v>64</v>
      </c>
      <c r="H633" t="s">
        <v>11</v>
      </c>
      <c r="I633" t="str">
        <f t="shared" si="9"/>
        <v>Média</v>
      </c>
    </row>
    <row r="634" spans="1:9">
      <c r="A634" t="s">
        <v>388</v>
      </c>
      <c r="B634">
        <v>2026</v>
      </c>
      <c r="C634">
        <v>2</v>
      </c>
      <c r="D634" t="s">
        <v>9</v>
      </c>
      <c r="E634" t="s">
        <v>10</v>
      </c>
      <c r="F634">
        <v>7.7</v>
      </c>
      <c r="G634">
        <v>62.8</v>
      </c>
      <c r="H634" t="s">
        <v>11</v>
      </c>
      <c r="I634" t="str">
        <f t="shared" si="9"/>
        <v>Média</v>
      </c>
    </row>
    <row r="635" spans="1:9">
      <c r="A635" t="s">
        <v>445</v>
      </c>
      <c r="B635">
        <v>2026</v>
      </c>
      <c r="C635">
        <v>2</v>
      </c>
      <c r="D635" t="s">
        <v>75</v>
      </c>
      <c r="E635" t="s">
        <v>77</v>
      </c>
      <c r="F635">
        <v>7.7</v>
      </c>
      <c r="G635">
        <v>54</v>
      </c>
      <c r="H635" t="s">
        <v>11</v>
      </c>
      <c r="I635" t="str">
        <f t="shared" si="9"/>
        <v>Média</v>
      </c>
    </row>
    <row r="636" spans="1:9">
      <c r="A636" t="s">
        <v>534</v>
      </c>
      <c r="B636">
        <v>2026</v>
      </c>
      <c r="C636">
        <v>2</v>
      </c>
      <c r="D636" t="s">
        <v>139</v>
      </c>
      <c r="E636" t="s">
        <v>140</v>
      </c>
      <c r="F636">
        <v>7.7</v>
      </c>
      <c r="G636">
        <v>91.5</v>
      </c>
      <c r="H636" t="s">
        <v>11</v>
      </c>
      <c r="I636" t="str">
        <f t="shared" si="9"/>
        <v>Alta</v>
      </c>
    </row>
    <row r="637" spans="1:9">
      <c r="A637" t="s">
        <v>19</v>
      </c>
      <c r="B637">
        <v>2024</v>
      </c>
      <c r="C637">
        <v>1</v>
      </c>
      <c r="D637" t="s">
        <v>9</v>
      </c>
      <c r="E637" t="s">
        <v>14</v>
      </c>
      <c r="F637">
        <v>7.8</v>
      </c>
      <c r="G637">
        <v>66.900000000000006</v>
      </c>
      <c r="H637" t="s">
        <v>11</v>
      </c>
      <c r="I637" t="str">
        <f t="shared" si="9"/>
        <v>Média</v>
      </c>
    </row>
    <row r="638" spans="1:9">
      <c r="A638" t="s">
        <v>109</v>
      </c>
      <c r="B638">
        <v>2024</v>
      </c>
      <c r="C638">
        <v>1</v>
      </c>
      <c r="D638" t="s">
        <v>75</v>
      </c>
      <c r="E638" t="s">
        <v>77</v>
      </c>
      <c r="F638">
        <v>7.8</v>
      </c>
      <c r="G638">
        <v>45.1</v>
      </c>
      <c r="H638" t="s">
        <v>11</v>
      </c>
      <c r="I638" t="str">
        <f t="shared" si="9"/>
        <v>Baixa</v>
      </c>
    </row>
    <row r="639" spans="1:9">
      <c r="A639" t="s">
        <v>165</v>
      </c>
      <c r="B639">
        <v>2024</v>
      </c>
      <c r="C639">
        <v>1</v>
      </c>
      <c r="D639" t="s">
        <v>139</v>
      </c>
      <c r="E639" t="s">
        <v>141</v>
      </c>
      <c r="F639">
        <v>7.8</v>
      </c>
      <c r="G639">
        <v>67.900000000000006</v>
      </c>
      <c r="H639" t="s">
        <v>11</v>
      </c>
      <c r="I639" t="str">
        <f t="shared" si="9"/>
        <v>Média</v>
      </c>
    </row>
    <row r="640" spans="1:9">
      <c r="A640" t="s">
        <v>56</v>
      </c>
      <c r="B640">
        <v>2024</v>
      </c>
      <c r="C640">
        <v>2</v>
      </c>
      <c r="D640" t="s">
        <v>9</v>
      </c>
      <c r="E640" t="s">
        <v>10</v>
      </c>
      <c r="F640">
        <v>7.8</v>
      </c>
      <c r="G640">
        <v>88.2</v>
      </c>
      <c r="H640" t="s">
        <v>11</v>
      </c>
      <c r="I640" t="str">
        <f t="shared" si="9"/>
        <v>Alta</v>
      </c>
    </row>
    <row r="641" spans="1:9">
      <c r="A641" t="s">
        <v>105</v>
      </c>
      <c r="B641">
        <v>2024</v>
      </c>
      <c r="C641">
        <v>2</v>
      </c>
      <c r="D641" t="s">
        <v>75</v>
      </c>
      <c r="E641" t="s">
        <v>76</v>
      </c>
      <c r="F641">
        <v>7.8</v>
      </c>
      <c r="G641">
        <v>55.9</v>
      </c>
      <c r="H641" t="s">
        <v>11</v>
      </c>
      <c r="I641" t="str">
        <f t="shared" si="9"/>
        <v>Média</v>
      </c>
    </row>
    <row r="642" spans="1:9">
      <c r="A642" t="s">
        <v>108</v>
      </c>
      <c r="B642">
        <v>2024</v>
      </c>
      <c r="C642">
        <v>2</v>
      </c>
      <c r="D642" t="s">
        <v>75</v>
      </c>
      <c r="E642" t="s">
        <v>77</v>
      </c>
      <c r="F642">
        <v>7.8</v>
      </c>
      <c r="G642">
        <v>52.7</v>
      </c>
      <c r="H642" t="s">
        <v>11</v>
      </c>
      <c r="I642" t="str">
        <f t="shared" ref="I642:I705" si="10">IF(G642&lt;50,"Baixa",IF(G642&lt;75,"Média","Alta"))</f>
        <v>Média</v>
      </c>
    </row>
    <row r="643" spans="1:9">
      <c r="A643" t="s">
        <v>129</v>
      </c>
      <c r="B643">
        <v>2024</v>
      </c>
      <c r="C643">
        <v>2</v>
      </c>
      <c r="D643" t="s">
        <v>75</v>
      </c>
      <c r="E643" t="s">
        <v>76</v>
      </c>
      <c r="F643">
        <v>7.8</v>
      </c>
      <c r="G643">
        <v>89.3</v>
      </c>
      <c r="H643" t="s">
        <v>11</v>
      </c>
      <c r="I643" t="str">
        <f t="shared" si="10"/>
        <v>Alta</v>
      </c>
    </row>
    <row r="644" spans="1:9">
      <c r="A644" t="s">
        <v>231</v>
      </c>
      <c r="B644">
        <v>2025</v>
      </c>
      <c r="C644">
        <v>1</v>
      </c>
      <c r="D644" t="s">
        <v>9</v>
      </c>
      <c r="E644" t="s">
        <v>10</v>
      </c>
      <c r="F644">
        <v>7.8</v>
      </c>
      <c r="G644">
        <v>64.599999999999994</v>
      </c>
      <c r="H644" t="s">
        <v>11</v>
      </c>
      <c r="I644" t="str">
        <f t="shared" si="10"/>
        <v>Média</v>
      </c>
    </row>
    <row r="645" spans="1:9">
      <c r="A645" t="s">
        <v>325</v>
      </c>
      <c r="B645">
        <v>2025</v>
      </c>
      <c r="C645">
        <v>1</v>
      </c>
      <c r="D645" t="s">
        <v>139</v>
      </c>
      <c r="E645" t="s">
        <v>140</v>
      </c>
      <c r="F645">
        <v>7.8</v>
      </c>
      <c r="G645">
        <v>69</v>
      </c>
      <c r="H645" t="s">
        <v>11</v>
      </c>
      <c r="I645" t="str">
        <f t="shared" si="10"/>
        <v>Média</v>
      </c>
    </row>
    <row r="646" spans="1:9">
      <c r="A646" t="s">
        <v>343</v>
      </c>
      <c r="B646">
        <v>2025</v>
      </c>
      <c r="C646">
        <v>1</v>
      </c>
      <c r="D646" t="s">
        <v>139</v>
      </c>
      <c r="E646" t="s">
        <v>141</v>
      </c>
      <c r="F646">
        <v>7.8</v>
      </c>
      <c r="G646">
        <v>99.2</v>
      </c>
      <c r="H646" t="s">
        <v>11</v>
      </c>
      <c r="I646" t="str">
        <f t="shared" si="10"/>
        <v>Alta</v>
      </c>
    </row>
    <row r="647" spans="1:9">
      <c r="A647" t="s">
        <v>364</v>
      </c>
      <c r="B647">
        <v>2025</v>
      </c>
      <c r="C647">
        <v>1</v>
      </c>
      <c r="D647" t="s">
        <v>139</v>
      </c>
      <c r="E647" t="s">
        <v>10</v>
      </c>
      <c r="F647">
        <v>7.8</v>
      </c>
      <c r="G647">
        <v>55.2</v>
      </c>
      <c r="H647" t="s">
        <v>11</v>
      </c>
      <c r="I647" t="str">
        <f t="shared" si="10"/>
        <v>Média</v>
      </c>
    </row>
    <row r="648" spans="1:9">
      <c r="A648" t="s">
        <v>233</v>
      </c>
      <c r="B648">
        <v>2025</v>
      </c>
      <c r="C648">
        <v>2</v>
      </c>
      <c r="D648" t="s">
        <v>9</v>
      </c>
      <c r="E648" t="s">
        <v>12</v>
      </c>
      <c r="F648">
        <v>7.8</v>
      </c>
      <c r="G648">
        <v>56.2</v>
      </c>
      <c r="H648" t="s">
        <v>11</v>
      </c>
      <c r="I648" t="str">
        <f t="shared" si="10"/>
        <v>Média</v>
      </c>
    </row>
    <row r="649" spans="1:9">
      <c r="A649" t="s">
        <v>253</v>
      </c>
      <c r="B649">
        <v>2025</v>
      </c>
      <c r="C649">
        <v>2</v>
      </c>
      <c r="D649" t="s">
        <v>9</v>
      </c>
      <c r="E649" t="s">
        <v>14</v>
      </c>
      <c r="F649">
        <v>7.8</v>
      </c>
      <c r="G649">
        <v>70</v>
      </c>
      <c r="H649" t="s">
        <v>11</v>
      </c>
      <c r="I649" t="str">
        <f t="shared" si="10"/>
        <v>Média</v>
      </c>
    </row>
    <row r="650" spans="1:9">
      <c r="A650" t="s">
        <v>311</v>
      </c>
      <c r="B650">
        <v>2025</v>
      </c>
      <c r="C650">
        <v>2</v>
      </c>
      <c r="D650" t="s">
        <v>75</v>
      </c>
      <c r="E650" t="s">
        <v>76</v>
      </c>
      <c r="F650">
        <v>7.8</v>
      </c>
      <c r="G650">
        <v>51.7</v>
      </c>
      <c r="H650" t="s">
        <v>11</v>
      </c>
      <c r="I650" t="str">
        <f t="shared" si="10"/>
        <v>Média</v>
      </c>
    </row>
    <row r="651" spans="1:9">
      <c r="A651" t="s">
        <v>311</v>
      </c>
      <c r="B651">
        <v>2025</v>
      </c>
      <c r="C651">
        <v>2</v>
      </c>
      <c r="D651" t="s">
        <v>75</v>
      </c>
      <c r="E651" t="s">
        <v>77</v>
      </c>
      <c r="F651">
        <v>7.8</v>
      </c>
      <c r="G651">
        <v>81.3</v>
      </c>
      <c r="H651" t="s">
        <v>11</v>
      </c>
      <c r="I651" t="str">
        <f t="shared" si="10"/>
        <v>Alta</v>
      </c>
    </row>
    <row r="652" spans="1:9">
      <c r="A652" t="s">
        <v>338</v>
      </c>
      <c r="B652">
        <v>2025</v>
      </c>
      <c r="C652">
        <v>2</v>
      </c>
      <c r="D652" t="s">
        <v>139</v>
      </c>
      <c r="E652" t="s">
        <v>140</v>
      </c>
      <c r="F652">
        <v>7.8</v>
      </c>
      <c r="G652">
        <v>57</v>
      </c>
      <c r="H652" t="s">
        <v>11</v>
      </c>
      <c r="I652" t="str">
        <f t="shared" si="10"/>
        <v>Média</v>
      </c>
    </row>
    <row r="653" spans="1:9">
      <c r="A653" t="s">
        <v>362</v>
      </c>
      <c r="B653">
        <v>2025</v>
      </c>
      <c r="C653">
        <v>2</v>
      </c>
      <c r="D653" t="s">
        <v>139</v>
      </c>
      <c r="E653" t="s">
        <v>141</v>
      </c>
      <c r="F653">
        <v>7.8</v>
      </c>
      <c r="G653">
        <v>74.3</v>
      </c>
      <c r="H653" t="s">
        <v>11</v>
      </c>
      <c r="I653" t="str">
        <f t="shared" si="10"/>
        <v>Média</v>
      </c>
    </row>
    <row r="654" spans="1:9">
      <c r="A654" t="s">
        <v>389</v>
      </c>
      <c r="B654">
        <v>2026</v>
      </c>
      <c r="C654">
        <v>1</v>
      </c>
      <c r="D654" t="s">
        <v>9</v>
      </c>
      <c r="E654" t="s">
        <v>10</v>
      </c>
      <c r="F654">
        <v>7.8</v>
      </c>
      <c r="G654">
        <v>68.7</v>
      </c>
      <c r="H654" t="s">
        <v>11</v>
      </c>
      <c r="I654" t="str">
        <f t="shared" si="10"/>
        <v>Média</v>
      </c>
    </row>
    <row r="655" spans="1:9">
      <c r="A655" t="s">
        <v>410</v>
      </c>
      <c r="B655">
        <v>2026</v>
      </c>
      <c r="C655">
        <v>1</v>
      </c>
      <c r="D655" t="s">
        <v>9</v>
      </c>
      <c r="E655" t="s">
        <v>12</v>
      </c>
      <c r="F655">
        <v>7.8</v>
      </c>
      <c r="G655">
        <v>58.1</v>
      </c>
      <c r="H655" t="s">
        <v>11</v>
      </c>
      <c r="I655" t="str">
        <f t="shared" si="10"/>
        <v>Média</v>
      </c>
    </row>
    <row r="656" spans="1:9">
      <c r="A656" t="s">
        <v>455</v>
      </c>
      <c r="B656">
        <v>2026</v>
      </c>
      <c r="C656">
        <v>1</v>
      </c>
      <c r="D656" t="s">
        <v>75</v>
      </c>
      <c r="E656" t="s">
        <v>77</v>
      </c>
      <c r="F656">
        <v>7.8</v>
      </c>
      <c r="G656">
        <v>59.7</v>
      </c>
      <c r="H656" t="s">
        <v>11</v>
      </c>
      <c r="I656" t="str">
        <f t="shared" si="10"/>
        <v>Média</v>
      </c>
    </row>
    <row r="657" spans="1:9">
      <c r="A657" t="s">
        <v>535</v>
      </c>
      <c r="B657">
        <v>2026</v>
      </c>
      <c r="C657">
        <v>1</v>
      </c>
      <c r="D657" t="s">
        <v>139</v>
      </c>
      <c r="E657" t="s">
        <v>141</v>
      </c>
      <c r="F657">
        <v>7.8</v>
      </c>
      <c r="G657">
        <v>74.2</v>
      </c>
      <c r="H657" t="s">
        <v>11</v>
      </c>
      <c r="I657" t="str">
        <f t="shared" si="10"/>
        <v>Média</v>
      </c>
    </row>
    <row r="658" spans="1:9">
      <c r="A658" t="s">
        <v>22</v>
      </c>
      <c r="B658">
        <v>2024</v>
      </c>
      <c r="C658">
        <v>1</v>
      </c>
      <c r="D658" t="s">
        <v>9</v>
      </c>
      <c r="E658" t="s">
        <v>12</v>
      </c>
      <c r="F658">
        <v>7.9</v>
      </c>
      <c r="G658">
        <v>62.7</v>
      </c>
      <c r="H658" t="s">
        <v>11</v>
      </c>
      <c r="I658" t="str">
        <f t="shared" si="10"/>
        <v>Média</v>
      </c>
    </row>
    <row r="659" spans="1:9">
      <c r="A659" t="s">
        <v>48</v>
      </c>
      <c r="B659">
        <v>2024</v>
      </c>
      <c r="C659">
        <v>1</v>
      </c>
      <c r="D659" t="s">
        <v>9</v>
      </c>
      <c r="E659" t="s">
        <v>10</v>
      </c>
      <c r="F659">
        <v>7.9</v>
      </c>
      <c r="G659">
        <v>62.5</v>
      </c>
      <c r="H659" t="s">
        <v>11</v>
      </c>
      <c r="I659" t="str">
        <f t="shared" si="10"/>
        <v>Média</v>
      </c>
    </row>
    <row r="660" spans="1:9">
      <c r="A660" t="s">
        <v>50</v>
      </c>
      <c r="B660">
        <v>2024</v>
      </c>
      <c r="C660">
        <v>1</v>
      </c>
      <c r="D660" t="s">
        <v>9</v>
      </c>
      <c r="E660" t="s">
        <v>14</v>
      </c>
      <c r="F660">
        <v>7.9</v>
      </c>
      <c r="G660">
        <v>52.9</v>
      </c>
      <c r="H660" t="s">
        <v>11</v>
      </c>
      <c r="I660" t="str">
        <f t="shared" si="10"/>
        <v>Média</v>
      </c>
    </row>
    <row r="661" spans="1:9">
      <c r="A661" t="s">
        <v>73</v>
      </c>
      <c r="B661">
        <v>2024</v>
      </c>
      <c r="C661">
        <v>1</v>
      </c>
      <c r="D661" t="s">
        <v>9</v>
      </c>
      <c r="E661" t="s">
        <v>10</v>
      </c>
      <c r="F661">
        <v>7.9</v>
      </c>
      <c r="G661">
        <v>58</v>
      </c>
      <c r="H661" t="s">
        <v>11</v>
      </c>
      <c r="I661" t="str">
        <f t="shared" si="10"/>
        <v>Média</v>
      </c>
    </row>
    <row r="662" spans="1:9">
      <c r="A662" t="s">
        <v>73</v>
      </c>
      <c r="B662">
        <v>2024</v>
      </c>
      <c r="C662">
        <v>1</v>
      </c>
      <c r="D662" t="s">
        <v>9</v>
      </c>
      <c r="E662" t="s">
        <v>12</v>
      </c>
      <c r="F662">
        <v>7.9</v>
      </c>
      <c r="G662">
        <v>45</v>
      </c>
      <c r="H662" t="s">
        <v>11</v>
      </c>
      <c r="I662" t="str">
        <f t="shared" si="10"/>
        <v>Baixa</v>
      </c>
    </row>
    <row r="663" spans="1:9">
      <c r="A663" t="s">
        <v>168</v>
      </c>
      <c r="B663">
        <v>2024</v>
      </c>
      <c r="C663">
        <v>1</v>
      </c>
      <c r="D663" t="s">
        <v>139</v>
      </c>
      <c r="E663" t="s">
        <v>140</v>
      </c>
      <c r="F663">
        <v>7.9</v>
      </c>
      <c r="G663">
        <v>64.2</v>
      </c>
      <c r="H663" t="s">
        <v>11</v>
      </c>
      <c r="I663" t="str">
        <f t="shared" si="10"/>
        <v>Média</v>
      </c>
    </row>
    <row r="664" spans="1:9">
      <c r="A664" t="s">
        <v>170</v>
      </c>
      <c r="B664">
        <v>2024</v>
      </c>
      <c r="C664">
        <v>1</v>
      </c>
      <c r="D664" t="s">
        <v>139</v>
      </c>
      <c r="E664" t="s">
        <v>141</v>
      </c>
      <c r="F664">
        <v>7.9</v>
      </c>
      <c r="G664">
        <v>84.3</v>
      </c>
      <c r="H664" t="s">
        <v>11</v>
      </c>
      <c r="I664" t="str">
        <f t="shared" si="10"/>
        <v>Alta</v>
      </c>
    </row>
    <row r="665" spans="1:9">
      <c r="A665" t="s">
        <v>88</v>
      </c>
      <c r="B665">
        <v>2024</v>
      </c>
      <c r="C665">
        <v>2</v>
      </c>
      <c r="D665" t="s">
        <v>75</v>
      </c>
      <c r="E665" t="s">
        <v>77</v>
      </c>
      <c r="F665">
        <v>7.9</v>
      </c>
      <c r="G665">
        <v>62.6</v>
      </c>
      <c r="H665" t="s">
        <v>11</v>
      </c>
      <c r="I665" t="str">
        <f t="shared" si="10"/>
        <v>Média</v>
      </c>
    </row>
    <row r="666" spans="1:9">
      <c r="A666" t="s">
        <v>97</v>
      </c>
      <c r="B666">
        <v>2024</v>
      </c>
      <c r="C666">
        <v>2</v>
      </c>
      <c r="D666" t="s">
        <v>75</v>
      </c>
      <c r="E666" t="s">
        <v>77</v>
      </c>
      <c r="F666">
        <v>7.9</v>
      </c>
      <c r="G666">
        <v>45.9</v>
      </c>
      <c r="H666" t="s">
        <v>11</v>
      </c>
      <c r="I666" t="str">
        <f t="shared" si="10"/>
        <v>Baixa</v>
      </c>
    </row>
    <row r="667" spans="1:9">
      <c r="A667" t="s">
        <v>111</v>
      </c>
      <c r="B667">
        <v>2024</v>
      </c>
      <c r="C667">
        <v>2</v>
      </c>
      <c r="D667" t="s">
        <v>75</v>
      </c>
      <c r="E667" t="s">
        <v>77</v>
      </c>
      <c r="F667">
        <v>7.9</v>
      </c>
      <c r="G667">
        <v>47</v>
      </c>
      <c r="H667" t="s">
        <v>11</v>
      </c>
      <c r="I667" t="str">
        <f t="shared" si="10"/>
        <v>Baixa</v>
      </c>
    </row>
    <row r="668" spans="1:9">
      <c r="A668" t="s">
        <v>124</v>
      </c>
      <c r="B668">
        <v>2024</v>
      </c>
      <c r="C668">
        <v>2</v>
      </c>
      <c r="D668" t="s">
        <v>75</v>
      </c>
      <c r="E668" t="s">
        <v>78</v>
      </c>
      <c r="F668">
        <v>7.9</v>
      </c>
      <c r="G668">
        <v>52.9</v>
      </c>
      <c r="H668" t="s">
        <v>11</v>
      </c>
      <c r="I668" t="str">
        <f t="shared" si="10"/>
        <v>Média</v>
      </c>
    </row>
    <row r="669" spans="1:9">
      <c r="A669" t="s">
        <v>127</v>
      </c>
      <c r="B669">
        <v>2024</v>
      </c>
      <c r="C669">
        <v>2</v>
      </c>
      <c r="D669" t="s">
        <v>75</v>
      </c>
      <c r="E669" t="s">
        <v>78</v>
      </c>
      <c r="F669">
        <v>7.9</v>
      </c>
      <c r="G669">
        <v>56.9</v>
      </c>
      <c r="H669" t="s">
        <v>11</v>
      </c>
      <c r="I669" t="str">
        <f t="shared" si="10"/>
        <v>Média</v>
      </c>
    </row>
    <row r="670" spans="1:9">
      <c r="A670" t="s">
        <v>131</v>
      </c>
      <c r="B670">
        <v>2024</v>
      </c>
      <c r="C670">
        <v>2</v>
      </c>
      <c r="D670" t="s">
        <v>75</v>
      </c>
      <c r="E670" t="s">
        <v>76</v>
      </c>
      <c r="F670">
        <v>7.9</v>
      </c>
      <c r="G670">
        <v>53.3</v>
      </c>
      <c r="H670" t="s">
        <v>11</v>
      </c>
      <c r="I670" t="str">
        <f t="shared" si="10"/>
        <v>Média</v>
      </c>
    </row>
    <row r="671" spans="1:9">
      <c r="A671" t="s">
        <v>154</v>
      </c>
      <c r="B671">
        <v>2024</v>
      </c>
      <c r="C671">
        <v>2</v>
      </c>
      <c r="D671" t="s">
        <v>139</v>
      </c>
      <c r="E671" t="s">
        <v>10</v>
      </c>
      <c r="F671">
        <v>7.9</v>
      </c>
      <c r="G671">
        <v>57.2</v>
      </c>
      <c r="H671" t="s">
        <v>11</v>
      </c>
      <c r="I671" t="str">
        <f t="shared" si="10"/>
        <v>Média</v>
      </c>
    </row>
    <row r="672" spans="1:9">
      <c r="A672" t="s">
        <v>200</v>
      </c>
      <c r="B672">
        <v>2024</v>
      </c>
      <c r="C672">
        <v>2</v>
      </c>
      <c r="D672" t="s">
        <v>139</v>
      </c>
      <c r="E672" t="s">
        <v>10</v>
      </c>
      <c r="F672">
        <v>7.9</v>
      </c>
      <c r="G672">
        <v>48</v>
      </c>
      <c r="H672" t="s">
        <v>11</v>
      </c>
      <c r="I672" t="str">
        <f t="shared" si="10"/>
        <v>Baixa</v>
      </c>
    </row>
    <row r="673" spans="1:9">
      <c r="A673" t="s">
        <v>225</v>
      </c>
      <c r="B673">
        <v>2025</v>
      </c>
      <c r="C673">
        <v>1</v>
      </c>
      <c r="D673" t="s">
        <v>9</v>
      </c>
      <c r="E673" t="s">
        <v>14</v>
      </c>
      <c r="F673">
        <v>7.9</v>
      </c>
      <c r="G673">
        <v>57.3</v>
      </c>
      <c r="H673" t="s">
        <v>11</v>
      </c>
      <c r="I673" t="str">
        <f t="shared" si="10"/>
        <v>Média</v>
      </c>
    </row>
    <row r="674" spans="1:9">
      <c r="A674" t="s">
        <v>229</v>
      </c>
      <c r="B674">
        <v>2025</v>
      </c>
      <c r="C674">
        <v>1</v>
      </c>
      <c r="D674" t="s">
        <v>9</v>
      </c>
      <c r="E674" t="s">
        <v>10</v>
      </c>
      <c r="F674">
        <v>7.9</v>
      </c>
      <c r="G674">
        <v>79.8</v>
      </c>
      <c r="H674" t="s">
        <v>11</v>
      </c>
      <c r="I674" t="str">
        <f t="shared" si="10"/>
        <v>Alta</v>
      </c>
    </row>
    <row r="675" spans="1:9">
      <c r="A675" t="s">
        <v>277</v>
      </c>
      <c r="B675">
        <v>2025</v>
      </c>
      <c r="C675">
        <v>1</v>
      </c>
      <c r="D675" t="s">
        <v>75</v>
      </c>
      <c r="E675" t="s">
        <v>76</v>
      </c>
      <c r="F675">
        <v>7.9</v>
      </c>
      <c r="G675">
        <v>78.099999999999994</v>
      </c>
      <c r="H675" t="s">
        <v>11</v>
      </c>
      <c r="I675" t="str">
        <f t="shared" si="10"/>
        <v>Alta</v>
      </c>
    </row>
    <row r="676" spans="1:9">
      <c r="A676" t="s">
        <v>277</v>
      </c>
      <c r="B676">
        <v>2025</v>
      </c>
      <c r="C676">
        <v>1</v>
      </c>
      <c r="D676" t="s">
        <v>75</v>
      </c>
      <c r="E676" t="s">
        <v>78</v>
      </c>
      <c r="F676">
        <v>7.9</v>
      </c>
      <c r="G676">
        <v>52.6</v>
      </c>
      <c r="H676" t="s">
        <v>11</v>
      </c>
      <c r="I676" t="str">
        <f t="shared" si="10"/>
        <v>Média</v>
      </c>
    </row>
    <row r="677" spans="1:9">
      <c r="A677" t="s">
        <v>336</v>
      </c>
      <c r="B677">
        <v>2025</v>
      </c>
      <c r="C677">
        <v>1</v>
      </c>
      <c r="D677" t="s">
        <v>139</v>
      </c>
      <c r="E677" t="s">
        <v>140</v>
      </c>
      <c r="F677">
        <v>7.9</v>
      </c>
      <c r="G677">
        <v>47.2</v>
      </c>
      <c r="H677" t="s">
        <v>11</v>
      </c>
      <c r="I677" t="str">
        <f t="shared" si="10"/>
        <v>Baixa</v>
      </c>
    </row>
    <row r="678" spans="1:9">
      <c r="A678" t="s">
        <v>282</v>
      </c>
      <c r="B678">
        <v>2025</v>
      </c>
      <c r="C678">
        <v>2</v>
      </c>
      <c r="D678" t="s">
        <v>75</v>
      </c>
      <c r="E678" t="s">
        <v>77</v>
      </c>
      <c r="F678">
        <v>7.9</v>
      </c>
      <c r="G678">
        <v>57.1</v>
      </c>
      <c r="H678" t="s">
        <v>11</v>
      </c>
      <c r="I678" t="str">
        <f t="shared" si="10"/>
        <v>Média</v>
      </c>
    </row>
    <row r="679" spans="1:9">
      <c r="A679" t="s">
        <v>295</v>
      </c>
      <c r="B679">
        <v>2025</v>
      </c>
      <c r="C679">
        <v>2</v>
      </c>
      <c r="D679" t="s">
        <v>75</v>
      </c>
      <c r="E679" t="s">
        <v>76</v>
      </c>
      <c r="F679">
        <v>7.9</v>
      </c>
      <c r="G679">
        <v>79.900000000000006</v>
      </c>
      <c r="H679" t="s">
        <v>11</v>
      </c>
      <c r="I679" t="str">
        <f t="shared" si="10"/>
        <v>Alta</v>
      </c>
    </row>
    <row r="680" spans="1:9">
      <c r="A680" t="s">
        <v>351</v>
      </c>
      <c r="B680">
        <v>2025</v>
      </c>
      <c r="C680">
        <v>2</v>
      </c>
      <c r="D680" t="s">
        <v>139</v>
      </c>
      <c r="E680" t="s">
        <v>10</v>
      </c>
      <c r="F680">
        <v>7.9</v>
      </c>
      <c r="G680">
        <v>52.6</v>
      </c>
      <c r="H680" t="s">
        <v>11</v>
      </c>
      <c r="I680" t="str">
        <f t="shared" si="10"/>
        <v>Média</v>
      </c>
    </row>
    <row r="681" spans="1:9">
      <c r="A681" t="s">
        <v>393</v>
      </c>
      <c r="B681">
        <v>2026</v>
      </c>
      <c r="C681">
        <v>1</v>
      </c>
      <c r="D681" t="s">
        <v>9</v>
      </c>
      <c r="E681" t="s">
        <v>14</v>
      </c>
      <c r="F681">
        <v>7.9</v>
      </c>
      <c r="G681">
        <v>80.400000000000006</v>
      </c>
      <c r="H681" t="s">
        <v>11</v>
      </c>
      <c r="I681" t="str">
        <f t="shared" si="10"/>
        <v>Alta</v>
      </c>
    </row>
    <row r="682" spans="1:9">
      <c r="A682" t="s">
        <v>384</v>
      </c>
      <c r="B682">
        <v>2026</v>
      </c>
      <c r="C682">
        <v>2</v>
      </c>
      <c r="D682" t="s">
        <v>9</v>
      </c>
      <c r="E682" t="s">
        <v>10</v>
      </c>
      <c r="F682">
        <v>7.9</v>
      </c>
      <c r="G682">
        <v>58.6</v>
      </c>
      <c r="H682" t="s">
        <v>11</v>
      </c>
      <c r="I682" t="str">
        <f t="shared" si="10"/>
        <v>Média</v>
      </c>
    </row>
    <row r="683" spans="1:9">
      <c r="A683" t="s">
        <v>388</v>
      </c>
      <c r="B683">
        <v>2026</v>
      </c>
      <c r="C683">
        <v>2</v>
      </c>
      <c r="D683" t="s">
        <v>9</v>
      </c>
      <c r="E683" t="s">
        <v>14</v>
      </c>
      <c r="F683">
        <v>7.9</v>
      </c>
      <c r="G683">
        <v>80.400000000000006</v>
      </c>
      <c r="H683" t="s">
        <v>11</v>
      </c>
      <c r="I683" t="str">
        <f t="shared" si="10"/>
        <v>Alta</v>
      </c>
    </row>
    <row r="684" spans="1:9">
      <c r="A684" t="s">
        <v>453</v>
      </c>
      <c r="B684">
        <v>2026</v>
      </c>
      <c r="C684">
        <v>2</v>
      </c>
      <c r="D684" t="s">
        <v>75</v>
      </c>
      <c r="E684" t="s">
        <v>76</v>
      </c>
      <c r="F684">
        <v>7.9</v>
      </c>
      <c r="G684">
        <v>50.6</v>
      </c>
      <c r="H684" t="s">
        <v>11</v>
      </c>
      <c r="I684" t="str">
        <f t="shared" si="10"/>
        <v>Média</v>
      </c>
    </row>
    <row r="685" spans="1:9">
      <c r="A685" t="s">
        <v>517</v>
      </c>
      <c r="B685">
        <v>2026</v>
      </c>
      <c r="C685">
        <v>2</v>
      </c>
      <c r="D685" t="s">
        <v>139</v>
      </c>
      <c r="E685" t="s">
        <v>140</v>
      </c>
      <c r="F685">
        <v>7.9</v>
      </c>
      <c r="G685">
        <v>97.7</v>
      </c>
      <c r="H685" t="s">
        <v>11</v>
      </c>
      <c r="I685" t="str">
        <f t="shared" si="10"/>
        <v>Alta</v>
      </c>
    </row>
    <row r="686" spans="1:9">
      <c r="A686" t="s">
        <v>531</v>
      </c>
      <c r="B686">
        <v>2026</v>
      </c>
      <c r="C686">
        <v>2</v>
      </c>
      <c r="D686" t="s">
        <v>139</v>
      </c>
      <c r="E686" t="s">
        <v>141</v>
      </c>
      <c r="F686">
        <v>7.9</v>
      </c>
      <c r="G686">
        <v>69.400000000000006</v>
      </c>
      <c r="H686" t="s">
        <v>11</v>
      </c>
      <c r="I686" t="str">
        <f t="shared" si="10"/>
        <v>Média</v>
      </c>
    </row>
    <row r="687" spans="1:9">
      <c r="A687" t="s">
        <v>553</v>
      </c>
      <c r="B687">
        <v>2026</v>
      </c>
      <c r="C687">
        <v>2</v>
      </c>
      <c r="D687" t="s">
        <v>139</v>
      </c>
      <c r="E687" t="s">
        <v>141</v>
      </c>
      <c r="F687">
        <v>7.9</v>
      </c>
      <c r="G687">
        <v>51.3</v>
      </c>
      <c r="H687" t="s">
        <v>11</v>
      </c>
      <c r="I687" t="str">
        <f t="shared" si="10"/>
        <v>Média</v>
      </c>
    </row>
    <row r="688" spans="1:9">
      <c r="A688" t="s">
        <v>49</v>
      </c>
      <c r="B688">
        <v>2024</v>
      </c>
      <c r="C688">
        <v>1</v>
      </c>
      <c r="D688" t="s">
        <v>9</v>
      </c>
      <c r="E688" t="s">
        <v>10</v>
      </c>
      <c r="F688">
        <v>8</v>
      </c>
      <c r="G688">
        <v>84.5</v>
      </c>
      <c r="H688" t="s">
        <v>11</v>
      </c>
      <c r="I688" t="str">
        <f t="shared" si="10"/>
        <v>Alta</v>
      </c>
    </row>
    <row r="689" spans="1:9">
      <c r="A689" t="s">
        <v>85</v>
      </c>
      <c r="B689">
        <v>2024</v>
      </c>
      <c r="C689">
        <v>1</v>
      </c>
      <c r="D689" t="s">
        <v>75</v>
      </c>
      <c r="E689" t="s">
        <v>78</v>
      </c>
      <c r="F689">
        <v>8</v>
      </c>
      <c r="G689">
        <v>70.599999999999994</v>
      </c>
      <c r="H689" t="s">
        <v>11</v>
      </c>
      <c r="I689" t="str">
        <f t="shared" si="10"/>
        <v>Média</v>
      </c>
    </row>
    <row r="690" spans="1:9">
      <c r="A690" t="s">
        <v>94</v>
      </c>
      <c r="B690">
        <v>2024</v>
      </c>
      <c r="C690">
        <v>1</v>
      </c>
      <c r="D690" t="s">
        <v>75</v>
      </c>
      <c r="E690" t="s">
        <v>77</v>
      </c>
      <c r="F690">
        <v>8</v>
      </c>
      <c r="G690">
        <v>48.3</v>
      </c>
      <c r="H690" t="s">
        <v>11</v>
      </c>
      <c r="I690" t="str">
        <f t="shared" si="10"/>
        <v>Baixa</v>
      </c>
    </row>
    <row r="691" spans="1:9">
      <c r="A691" t="s">
        <v>137</v>
      </c>
      <c r="B691">
        <v>2024</v>
      </c>
      <c r="C691">
        <v>1</v>
      </c>
      <c r="D691" t="s">
        <v>75</v>
      </c>
      <c r="E691" t="s">
        <v>76</v>
      </c>
      <c r="F691">
        <v>8</v>
      </c>
      <c r="G691">
        <v>80.099999999999994</v>
      </c>
      <c r="H691" t="s">
        <v>11</v>
      </c>
      <c r="I691" t="str">
        <f t="shared" si="10"/>
        <v>Alta</v>
      </c>
    </row>
    <row r="692" spans="1:9">
      <c r="A692" t="s">
        <v>155</v>
      </c>
      <c r="B692">
        <v>2024</v>
      </c>
      <c r="C692">
        <v>1</v>
      </c>
      <c r="D692" t="s">
        <v>139</v>
      </c>
      <c r="E692" t="s">
        <v>10</v>
      </c>
      <c r="F692">
        <v>8</v>
      </c>
      <c r="G692">
        <v>80</v>
      </c>
      <c r="H692" t="s">
        <v>11</v>
      </c>
      <c r="I692" t="str">
        <f t="shared" si="10"/>
        <v>Alta</v>
      </c>
    </row>
    <row r="693" spans="1:9">
      <c r="A693" t="s">
        <v>160</v>
      </c>
      <c r="B693">
        <v>2024</v>
      </c>
      <c r="C693">
        <v>1</v>
      </c>
      <c r="D693" t="s">
        <v>139</v>
      </c>
      <c r="E693" t="s">
        <v>141</v>
      </c>
      <c r="F693">
        <v>8</v>
      </c>
      <c r="G693">
        <v>58.2</v>
      </c>
      <c r="H693" t="s">
        <v>11</v>
      </c>
      <c r="I693" t="str">
        <f t="shared" si="10"/>
        <v>Média</v>
      </c>
    </row>
    <row r="694" spans="1:9">
      <c r="A694" t="s">
        <v>87</v>
      </c>
      <c r="B694">
        <v>2024</v>
      </c>
      <c r="C694">
        <v>2</v>
      </c>
      <c r="D694" t="s">
        <v>75</v>
      </c>
      <c r="E694" t="s">
        <v>76</v>
      </c>
      <c r="F694">
        <v>8</v>
      </c>
      <c r="G694">
        <v>50.9</v>
      </c>
      <c r="H694" t="s">
        <v>11</v>
      </c>
      <c r="I694" t="str">
        <f t="shared" si="10"/>
        <v>Média</v>
      </c>
    </row>
    <row r="695" spans="1:9">
      <c r="A695" t="s">
        <v>92</v>
      </c>
      <c r="B695">
        <v>2024</v>
      </c>
      <c r="C695">
        <v>2</v>
      </c>
      <c r="D695" t="s">
        <v>75</v>
      </c>
      <c r="E695" t="s">
        <v>77</v>
      </c>
      <c r="F695">
        <v>8</v>
      </c>
      <c r="G695">
        <v>71.7</v>
      </c>
      <c r="H695" t="s">
        <v>11</v>
      </c>
      <c r="I695" t="str">
        <f t="shared" si="10"/>
        <v>Média</v>
      </c>
    </row>
    <row r="696" spans="1:9">
      <c r="A696" t="s">
        <v>110</v>
      </c>
      <c r="B696">
        <v>2024</v>
      </c>
      <c r="C696">
        <v>2</v>
      </c>
      <c r="D696" t="s">
        <v>75</v>
      </c>
      <c r="E696" t="s">
        <v>78</v>
      </c>
      <c r="F696">
        <v>8</v>
      </c>
      <c r="G696">
        <v>50.4</v>
      </c>
      <c r="H696" t="s">
        <v>11</v>
      </c>
      <c r="I696" t="str">
        <f t="shared" si="10"/>
        <v>Média</v>
      </c>
    </row>
    <row r="697" spans="1:9">
      <c r="A697" t="s">
        <v>123</v>
      </c>
      <c r="B697">
        <v>2024</v>
      </c>
      <c r="C697">
        <v>2</v>
      </c>
      <c r="D697" t="s">
        <v>75</v>
      </c>
      <c r="E697" t="s">
        <v>78</v>
      </c>
      <c r="F697">
        <v>8</v>
      </c>
      <c r="G697">
        <v>45.8</v>
      </c>
      <c r="H697" t="s">
        <v>11</v>
      </c>
      <c r="I697" t="str">
        <f t="shared" si="10"/>
        <v>Baixa</v>
      </c>
    </row>
    <row r="698" spans="1:9">
      <c r="A698" t="s">
        <v>199</v>
      </c>
      <c r="B698">
        <v>2024</v>
      </c>
      <c r="C698">
        <v>2</v>
      </c>
      <c r="D698" t="s">
        <v>139</v>
      </c>
      <c r="E698" t="s">
        <v>141</v>
      </c>
      <c r="F698">
        <v>8</v>
      </c>
      <c r="G698">
        <v>56</v>
      </c>
      <c r="H698" t="s">
        <v>11</v>
      </c>
      <c r="I698" t="str">
        <f t="shared" si="10"/>
        <v>Média</v>
      </c>
    </row>
    <row r="699" spans="1:9">
      <c r="A699" t="s">
        <v>240</v>
      </c>
      <c r="B699">
        <v>2025</v>
      </c>
      <c r="C699">
        <v>1</v>
      </c>
      <c r="D699" t="s">
        <v>9</v>
      </c>
      <c r="E699" t="s">
        <v>12</v>
      </c>
      <c r="F699">
        <v>8</v>
      </c>
      <c r="G699">
        <v>86.3</v>
      </c>
      <c r="H699" t="s">
        <v>11</v>
      </c>
      <c r="I699" t="str">
        <f t="shared" si="10"/>
        <v>Alta</v>
      </c>
    </row>
    <row r="700" spans="1:9">
      <c r="A700" t="s">
        <v>240</v>
      </c>
      <c r="B700">
        <v>2025</v>
      </c>
      <c r="C700">
        <v>1</v>
      </c>
      <c r="D700" t="s">
        <v>9</v>
      </c>
      <c r="E700" t="s">
        <v>14</v>
      </c>
      <c r="F700">
        <v>8</v>
      </c>
      <c r="G700">
        <v>51.1</v>
      </c>
      <c r="H700" t="s">
        <v>11</v>
      </c>
      <c r="I700" t="str">
        <f t="shared" si="10"/>
        <v>Média</v>
      </c>
    </row>
    <row r="701" spans="1:9">
      <c r="A701" t="s">
        <v>282</v>
      </c>
      <c r="B701">
        <v>2025</v>
      </c>
      <c r="C701">
        <v>1</v>
      </c>
      <c r="D701" t="s">
        <v>75</v>
      </c>
      <c r="E701" t="s">
        <v>77</v>
      </c>
      <c r="F701">
        <v>8</v>
      </c>
      <c r="G701">
        <v>50.4</v>
      </c>
      <c r="H701" t="s">
        <v>11</v>
      </c>
      <c r="I701" t="str">
        <f t="shared" si="10"/>
        <v>Média</v>
      </c>
    </row>
    <row r="702" spans="1:9">
      <c r="A702" t="s">
        <v>291</v>
      </c>
      <c r="B702">
        <v>2025</v>
      </c>
      <c r="C702">
        <v>1</v>
      </c>
      <c r="D702" t="s">
        <v>75</v>
      </c>
      <c r="E702" t="s">
        <v>77</v>
      </c>
      <c r="F702">
        <v>8</v>
      </c>
      <c r="G702">
        <v>92.5</v>
      </c>
      <c r="H702" t="s">
        <v>11</v>
      </c>
      <c r="I702" t="str">
        <f t="shared" si="10"/>
        <v>Alta</v>
      </c>
    </row>
    <row r="703" spans="1:9">
      <c r="A703" t="s">
        <v>319</v>
      </c>
      <c r="B703">
        <v>2025</v>
      </c>
      <c r="C703">
        <v>1</v>
      </c>
      <c r="D703" t="s">
        <v>75</v>
      </c>
      <c r="E703" t="s">
        <v>76</v>
      </c>
      <c r="F703">
        <v>8</v>
      </c>
      <c r="G703">
        <v>52.9</v>
      </c>
      <c r="H703" t="s">
        <v>11</v>
      </c>
      <c r="I703" t="str">
        <f t="shared" si="10"/>
        <v>Média</v>
      </c>
    </row>
    <row r="704" spans="1:9">
      <c r="A704" t="s">
        <v>348</v>
      </c>
      <c r="B704">
        <v>2025</v>
      </c>
      <c r="C704">
        <v>1</v>
      </c>
      <c r="D704" t="s">
        <v>139</v>
      </c>
      <c r="E704" t="s">
        <v>140</v>
      </c>
      <c r="F704">
        <v>8</v>
      </c>
      <c r="G704">
        <v>55.3</v>
      </c>
      <c r="H704" t="s">
        <v>11</v>
      </c>
      <c r="I704" t="str">
        <f t="shared" si="10"/>
        <v>Média</v>
      </c>
    </row>
    <row r="705" spans="1:9">
      <c r="A705" t="s">
        <v>226</v>
      </c>
      <c r="B705">
        <v>2025</v>
      </c>
      <c r="C705">
        <v>2</v>
      </c>
      <c r="D705" t="s">
        <v>9</v>
      </c>
      <c r="E705" t="s">
        <v>12</v>
      </c>
      <c r="F705">
        <v>8</v>
      </c>
      <c r="G705">
        <v>62.7</v>
      </c>
      <c r="H705" t="s">
        <v>11</v>
      </c>
      <c r="I705" t="str">
        <f t="shared" si="10"/>
        <v>Média</v>
      </c>
    </row>
    <row r="706" spans="1:9">
      <c r="A706" t="s">
        <v>231</v>
      </c>
      <c r="B706">
        <v>2025</v>
      </c>
      <c r="C706">
        <v>2</v>
      </c>
      <c r="D706" t="s">
        <v>9</v>
      </c>
      <c r="E706" t="s">
        <v>14</v>
      </c>
      <c r="F706">
        <v>8</v>
      </c>
      <c r="G706">
        <v>52.7</v>
      </c>
      <c r="H706" t="s">
        <v>11</v>
      </c>
      <c r="I706" t="str">
        <f t="shared" ref="I706:I769" si="11">IF(G706&lt;50,"Baixa",IF(G706&lt;75,"Média","Alta"))</f>
        <v>Média</v>
      </c>
    </row>
    <row r="707" spans="1:9">
      <c r="A707" t="s">
        <v>236</v>
      </c>
      <c r="B707">
        <v>2025</v>
      </c>
      <c r="C707">
        <v>2</v>
      </c>
      <c r="D707" t="s">
        <v>9</v>
      </c>
      <c r="E707" t="s">
        <v>12</v>
      </c>
      <c r="F707">
        <v>8</v>
      </c>
      <c r="G707">
        <v>58.5</v>
      </c>
      <c r="H707" t="s">
        <v>11</v>
      </c>
      <c r="I707" t="str">
        <f t="shared" si="11"/>
        <v>Média</v>
      </c>
    </row>
    <row r="708" spans="1:9">
      <c r="A708" t="s">
        <v>271</v>
      </c>
      <c r="B708">
        <v>2025</v>
      </c>
      <c r="C708">
        <v>2</v>
      </c>
      <c r="D708" t="s">
        <v>75</v>
      </c>
      <c r="E708" t="s">
        <v>76</v>
      </c>
      <c r="F708">
        <v>8</v>
      </c>
      <c r="G708">
        <v>47.8</v>
      </c>
      <c r="H708" t="s">
        <v>11</v>
      </c>
      <c r="I708" t="str">
        <f t="shared" si="11"/>
        <v>Baixa</v>
      </c>
    </row>
    <row r="709" spans="1:9">
      <c r="A709" t="s">
        <v>313</v>
      </c>
      <c r="B709">
        <v>2025</v>
      </c>
      <c r="C709">
        <v>2</v>
      </c>
      <c r="D709" t="s">
        <v>75</v>
      </c>
      <c r="E709" t="s">
        <v>78</v>
      </c>
      <c r="F709">
        <v>8</v>
      </c>
      <c r="G709">
        <v>68.2</v>
      </c>
      <c r="H709" t="s">
        <v>11</v>
      </c>
      <c r="I709" t="str">
        <f t="shared" si="11"/>
        <v>Média</v>
      </c>
    </row>
    <row r="710" spans="1:9">
      <c r="A710" t="s">
        <v>427</v>
      </c>
      <c r="B710">
        <v>2026</v>
      </c>
      <c r="C710">
        <v>1</v>
      </c>
      <c r="D710" t="s">
        <v>9</v>
      </c>
      <c r="E710" t="s">
        <v>12</v>
      </c>
      <c r="F710">
        <v>8</v>
      </c>
      <c r="G710">
        <v>53.7</v>
      </c>
      <c r="H710" t="s">
        <v>11</v>
      </c>
      <c r="I710" t="str">
        <f t="shared" si="11"/>
        <v>Média</v>
      </c>
    </row>
    <row r="711" spans="1:9">
      <c r="A711" t="s">
        <v>440</v>
      </c>
      <c r="B711">
        <v>2026</v>
      </c>
      <c r="C711">
        <v>1</v>
      </c>
      <c r="D711" t="s">
        <v>9</v>
      </c>
      <c r="E711" t="s">
        <v>12</v>
      </c>
      <c r="F711">
        <v>8</v>
      </c>
      <c r="G711">
        <v>57.7</v>
      </c>
      <c r="H711" t="s">
        <v>11</v>
      </c>
      <c r="I711" t="str">
        <f t="shared" si="11"/>
        <v>Média</v>
      </c>
    </row>
    <row r="712" spans="1:9">
      <c r="A712" t="s">
        <v>472</v>
      </c>
      <c r="B712">
        <v>2026</v>
      </c>
      <c r="C712">
        <v>1</v>
      </c>
      <c r="D712" t="s">
        <v>75</v>
      </c>
      <c r="E712" t="s">
        <v>76</v>
      </c>
      <c r="F712">
        <v>8</v>
      </c>
      <c r="G712">
        <v>70.900000000000006</v>
      </c>
      <c r="H712" t="s">
        <v>11</v>
      </c>
      <c r="I712" t="str">
        <f t="shared" si="11"/>
        <v>Média</v>
      </c>
    </row>
    <row r="713" spans="1:9">
      <c r="A713" t="s">
        <v>502</v>
      </c>
      <c r="B713">
        <v>2026</v>
      </c>
      <c r="C713">
        <v>1</v>
      </c>
      <c r="D713" t="s">
        <v>139</v>
      </c>
      <c r="E713" t="s">
        <v>140</v>
      </c>
      <c r="F713">
        <v>8</v>
      </c>
      <c r="G713">
        <v>47.5</v>
      </c>
      <c r="H713" t="s">
        <v>11</v>
      </c>
      <c r="I713" t="str">
        <f t="shared" si="11"/>
        <v>Baixa</v>
      </c>
    </row>
    <row r="714" spans="1:9">
      <c r="A714" t="s">
        <v>505</v>
      </c>
      <c r="B714">
        <v>2026</v>
      </c>
      <c r="C714">
        <v>1</v>
      </c>
      <c r="D714" t="s">
        <v>139</v>
      </c>
      <c r="E714" t="s">
        <v>140</v>
      </c>
      <c r="F714">
        <v>8</v>
      </c>
      <c r="G714">
        <v>82.5</v>
      </c>
      <c r="H714" t="s">
        <v>11</v>
      </c>
      <c r="I714" t="str">
        <f t="shared" si="11"/>
        <v>Alta</v>
      </c>
    </row>
    <row r="715" spans="1:9">
      <c r="A715" t="s">
        <v>522</v>
      </c>
      <c r="B715">
        <v>2026</v>
      </c>
      <c r="C715">
        <v>1</v>
      </c>
      <c r="D715" t="s">
        <v>139</v>
      </c>
      <c r="E715" t="s">
        <v>10</v>
      </c>
      <c r="F715">
        <v>8</v>
      </c>
      <c r="G715">
        <v>93.6</v>
      </c>
      <c r="H715" t="s">
        <v>11</v>
      </c>
      <c r="I715" t="str">
        <f t="shared" si="11"/>
        <v>Alta</v>
      </c>
    </row>
    <row r="716" spans="1:9">
      <c r="A716" t="s">
        <v>399</v>
      </c>
      <c r="B716">
        <v>2026</v>
      </c>
      <c r="C716">
        <v>2</v>
      </c>
      <c r="D716" t="s">
        <v>9</v>
      </c>
      <c r="E716" t="s">
        <v>14</v>
      </c>
      <c r="F716">
        <v>8</v>
      </c>
      <c r="G716">
        <v>54.9</v>
      </c>
      <c r="H716" t="s">
        <v>11</v>
      </c>
      <c r="I716" t="str">
        <f t="shared" si="11"/>
        <v>Média</v>
      </c>
    </row>
    <row r="717" spans="1:9">
      <c r="A717" t="s">
        <v>420</v>
      </c>
      <c r="B717">
        <v>2026</v>
      </c>
      <c r="C717">
        <v>2</v>
      </c>
      <c r="D717" t="s">
        <v>9</v>
      </c>
      <c r="E717" t="s">
        <v>12</v>
      </c>
      <c r="F717">
        <v>8</v>
      </c>
      <c r="G717">
        <v>59.5</v>
      </c>
      <c r="H717" t="s">
        <v>11</v>
      </c>
      <c r="I717" t="str">
        <f t="shared" si="11"/>
        <v>Média</v>
      </c>
    </row>
    <row r="718" spans="1:9">
      <c r="A718" t="s">
        <v>483</v>
      </c>
      <c r="B718">
        <v>2026</v>
      </c>
      <c r="C718">
        <v>2</v>
      </c>
      <c r="D718" t="s">
        <v>75</v>
      </c>
      <c r="E718" t="s">
        <v>78</v>
      </c>
      <c r="F718">
        <v>8</v>
      </c>
      <c r="G718">
        <v>76</v>
      </c>
      <c r="H718" t="s">
        <v>11</v>
      </c>
      <c r="I718" t="str">
        <f t="shared" si="11"/>
        <v>Alta</v>
      </c>
    </row>
    <row r="719" spans="1:9">
      <c r="A719" t="s">
        <v>505</v>
      </c>
      <c r="B719">
        <v>2026</v>
      </c>
      <c r="C719">
        <v>2</v>
      </c>
      <c r="D719" t="s">
        <v>139</v>
      </c>
      <c r="E719" t="s">
        <v>141</v>
      </c>
      <c r="F719">
        <v>8</v>
      </c>
      <c r="G719">
        <v>62.1</v>
      </c>
      <c r="H719" t="s">
        <v>11</v>
      </c>
      <c r="I719" t="str">
        <f t="shared" si="11"/>
        <v>Média</v>
      </c>
    </row>
    <row r="720" spans="1:9">
      <c r="A720" t="s">
        <v>523</v>
      </c>
      <c r="B720">
        <v>2026</v>
      </c>
      <c r="C720">
        <v>2</v>
      </c>
      <c r="D720" t="s">
        <v>139</v>
      </c>
      <c r="E720" t="s">
        <v>10</v>
      </c>
      <c r="F720">
        <v>8</v>
      </c>
      <c r="G720">
        <v>66.5</v>
      </c>
      <c r="H720" t="s">
        <v>11</v>
      </c>
      <c r="I720" t="str">
        <f t="shared" si="11"/>
        <v>Média</v>
      </c>
    </row>
    <row r="721" spans="1:9">
      <c r="A721" t="s">
        <v>36</v>
      </c>
      <c r="B721">
        <v>2024</v>
      </c>
      <c r="C721">
        <v>1</v>
      </c>
      <c r="D721" t="s">
        <v>9</v>
      </c>
      <c r="E721" t="s">
        <v>12</v>
      </c>
      <c r="F721">
        <v>8.1</v>
      </c>
      <c r="G721">
        <v>70.5</v>
      </c>
      <c r="H721" t="s">
        <v>11</v>
      </c>
      <c r="I721" t="str">
        <f t="shared" si="11"/>
        <v>Média</v>
      </c>
    </row>
    <row r="722" spans="1:9">
      <c r="A722" t="s">
        <v>37</v>
      </c>
      <c r="B722">
        <v>2024</v>
      </c>
      <c r="C722">
        <v>1</v>
      </c>
      <c r="D722" t="s">
        <v>9</v>
      </c>
      <c r="E722" t="s">
        <v>14</v>
      </c>
      <c r="F722">
        <v>8.1</v>
      </c>
      <c r="G722">
        <v>84.5</v>
      </c>
      <c r="H722" t="s">
        <v>11</v>
      </c>
      <c r="I722" t="str">
        <f t="shared" si="11"/>
        <v>Alta</v>
      </c>
    </row>
    <row r="723" spans="1:9">
      <c r="A723" t="s">
        <v>40</v>
      </c>
      <c r="B723">
        <v>2024</v>
      </c>
      <c r="C723">
        <v>1</v>
      </c>
      <c r="D723" t="s">
        <v>9</v>
      </c>
      <c r="E723" t="s">
        <v>12</v>
      </c>
      <c r="F723">
        <v>8.1</v>
      </c>
      <c r="G723">
        <v>86.9</v>
      </c>
      <c r="H723" t="s">
        <v>11</v>
      </c>
      <c r="I723" t="str">
        <f t="shared" si="11"/>
        <v>Alta</v>
      </c>
    </row>
    <row r="724" spans="1:9">
      <c r="A724" t="s">
        <v>69</v>
      </c>
      <c r="B724">
        <v>2024</v>
      </c>
      <c r="C724">
        <v>1</v>
      </c>
      <c r="D724" t="s">
        <v>9</v>
      </c>
      <c r="E724" t="s">
        <v>10</v>
      </c>
      <c r="F724">
        <v>8.1</v>
      </c>
      <c r="G724">
        <v>66</v>
      </c>
      <c r="H724" t="s">
        <v>11</v>
      </c>
      <c r="I724" t="str">
        <f t="shared" si="11"/>
        <v>Média</v>
      </c>
    </row>
    <row r="725" spans="1:9">
      <c r="A725" t="s">
        <v>125</v>
      </c>
      <c r="B725">
        <v>2024</v>
      </c>
      <c r="C725">
        <v>1</v>
      </c>
      <c r="D725" t="s">
        <v>75</v>
      </c>
      <c r="E725" t="s">
        <v>76</v>
      </c>
      <c r="F725">
        <v>8.1</v>
      </c>
      <c r="G725">
        <v>95.6</v>
      </c>
      <c r="H725" t="s">
        <v>11</v>
      </c>
      <c r="I725" t="str">
        <f t="shared" si="11"/>
        <v>Alta</v>
      </c>
    </row>
    <row r="726" spans="1:9">
      <c r="A726" t="s">
        <v>137</v>
      </c>
      <c r="B726">
        <v>2024</v>
      </c>
      <c r="C726">
        <v>1</v>
      </c>
      <c r="D726" t="s">
        <v>75</v>
      </c>
      <c r="E726" t="s">
        <v>77</v>
      </c>
      <c r="F726">
        <v>8.1</v>
      </c>
      <c r="G726">
        <v>55.9</v>
      </c>
      <c r="H726" t="s">
        <v>11</v>
      </c>
      <c r="I726" t="str">
        <f t="shared" si="11"/>
        <v>Média</v>
      </c>
    </row>
    <row r="727" spans="1:9">
      <c r="A727" t="s">
        <v>180</v>
      </c>
      <c r="B727">
        <v>2024</v>
      </c>
      <c r="C727">
        <v>1</v>
      </c>
      <c r="D727" t="s">
        <v>139</v>
      </c>
      <c r="E727" t="s">
        <v>140</v>
      </c>
      <c r="F727">
        <v>8.1</v>
      </c>
      <c r="G727">
        <v>85.3</v>
      </c>
      <c r="H727" t="s">
        <v>11</v>
      </c>
      <c r="I727" t="str">
        <f t="shared" si="11"/>
        <v>Alta</v>
      </c>
    </row>
    <row r="728" spans="1:9">
      <c r="A728" t="s">
        <v>38</v>
      </c>
      <c r="B728">
        <v>2024</v>
      </c>
      <c r="C728">
        <v>2</v>
      </c>
      <c r="D728" t="s">
        <v>9</v>
      </c>
      <c r="E728" t="s">
        <v>14</v>
      </c>
      <c r="F728">
        <v>8.1</v>
      </c>
      <c r="G728">
        <v>62</v>
      </c>
      <c r="H728" t="s">
        <v>11</v>
      </c>
      <c r="I728" t="str">
        <f t="shared" si="11"/>
        <v>Média</v>
      </c>
    </row>
    <row r="729" spans="1:9">
      <c r="A729" t="s">
        <v>57</v>
      </c>
      <c r="B729">
        <v>2024</v>
      </c>
      <c r="C729">
        <v>2</v>
      </c>
      <c r="D729" t="s">
        <v>9</v>
      </c>
      <c r="E729" t="s">
        <v>14</v>
      </c>
      <c r="F729">
        <v>8.1</v>
      </c>
      <c r="G729">
        <v>82</v>
      </c>
      <c r="H729" t="s">
        <v>11</v>
      </c>
      <c r="I729" t="str">
        <f t="shared" si="11"/>
        <v>Alta</v>
      </c>
    </row>
    <row r="730" spans="1:9">
      <c r="A730" t="s">
        <v>117</v>
      </c>
      <c r="B730">
        <v>2024</v>
      </c>
      <c r="C730">
        <v>2</v>
      </c>
      <c r="D730" t="s">
        <v>75</v>
      </c>
      <c r="E730" t="s">
        <v>77</v>
      </c>
      <c r="F730">
        <v>8.1</v>
      </c>
      <c r="G730">
        <v>94.7</v>
      </c>
      <c r="H730" t="s">
        <v>11</v>
      </c>
      <c r="I730" t="str">
        <f t="shared" si="11"/>
        <v>Alta</v>
      </c>
    </row>
    <row r="731" spans="1:9">
      <c r="A731" t="s">
        <v>176</v>
      </c>
      <c r="B731">
        <v>2024</v>
      </c>
      <c r="C731">
        <v>2</v>
      </c>
      <c r="D731" t="s">
        <v>139</v>
      </c>
      <c r="E731" t="s">
        <v>140</v>
      </c>
      <c r="F731">
        <v>8.1</v>
      </c>
      <c r="G731">
        <v>64.7</v>
      </c>
      <c r="H731" t="s">
        <v>11</v>
      </c>
      <c r="I731" t="str">
        <f t="shared" si="11"/>
        <v>Média</v>
      </c>
    </row>
    <row r="732" spans="1:9">
      <c r="A732" t="s">
        <v>190</v>
      </c>
      <c r="B732">
        <v>2024</v>
      </c>
      <c r="C732">
        <v>2</v>
      </c>
      <c r="D732" t="s">
        <v>139</v>
      </c>
      <c r="E732" t="s">
        <v>140</v>
      </c>
      <c r="F732">
        <v>8.1</v>
      </c>
      <c r="G732">
        <v>76.099999999999994</v>
      </c>
      <c r="H732" t="s">
        <v>11</v>
      </c>
      <c r="I732" t="str">
        <f t="shared" si="11"/>
        <v>Alta</v>
      </c>
    </row>
    <row r="733" spans="1:9">
      <c r="A733" t="s">
        <v>292</v>
      </c>
      <c r="B733">
        <v>2025</v>
      </c>
      <c r="C733">
        <v>1</v>
      </c>
      <c r="D733" t="s">
        <v>75</v>
      </c>
      <c r="E733" t="s">
        <v>77</v>
      </c>
      <c r="F733">
        <v>8.1</v>
      </c>
      <c r="G733">
        <v>71</v>
      </c>
      <c r="H733" t="s">
        <v>11</v>
      </c>
      <c r="I733" t="str">
        <f t="shared" si="11"/>
        <v>Média</v>
      </c>
    </row>
    <row r="734" spans="1:9">
      <c r="A734" t="s">
        <v>336</v>
      </c>
      <c r="B734">
        <v>2025</v>
      </c>
      <c r="C734">
        <v>1</v>
      </c>
      <c r="D734" t="s">
        <v>139</v>
      </c>
      <c r="E734" t="s">
        <v>10</v>
      </c>
      <c r="F734">
        <v>8.1</v>
      </c>
      <c r="G734">
        <v>67</v>
      </c>
      <c r="H734" t="s">
        <v>11</v>
      </c>
      <c r="I734" t="str">
        <f t="shared" si="11"/>
        <v>Média</v>
      </c>
    </row>
    <row r="735" spans="1:9">
      <c r="A735" t="s">
        <v>218</v>
      </c>
      <c r="B735">
        <v>2025</v>
      </c>
      <c r="C735">
        <v>2</v>
      </c>
      <c r="D735" t="s">
        <v>9</v>
      </c>
      <c r="E735" t="s">
        <v>12</v>
      </c>
      <c r="F735">
        <v>8.1</v>
      </c>
      <c r="G735">
        <v>64</v>
      </c>
      <c r="H735" t="s">
        <v>11</v>
      </c>
      <c r="I735" t="str">
        <f t="shared" si="11"/>
        <v>Média</v>
      </c>
    </row>
    <row r="736" spans="1:9">
      <c r="A736" t="s">
        <v>237</v>
      </c>
      <c r="B736">
        <v>2025</v>
      </c>
      <c r="C736">
        <v>2</v>
      </c>
      <c r="D736" t="s">
        <v>9</v>
      </c>
      <c r="E736" t="s">
        <v>12</v>
      </c>
      <c r="F736">
        <v>8.1</v>
      </c>
      <c r="G736">
        <v>53.1</v>
      </c>
      <c r="H736" t="s">
        <v>11</v>
      </c>
      <c r="I736" t="str">
        <f t="shared" si="11"/>
        <v>Média</v>
      </c>
    </row>
    <row r="737" spans="1:9">
      <c r="A737" t="s">
        <v>301</v>
      </c>
      <c r="B737">
        <v>2025</v>
      </c>
      <c r="C737">
        <v>2</v>
      </c>
      <c r="D737" t="s">
        <v>75</v>
      </c>
      <c r="E737" t="s">
        <v>78</v>
      </c>
      <c r="F737">
        <v>8.1</v>
      </c>
      <c r="G737">
        <v>69.8</v>
      </c>
      <c r="H737" t="s">
        <v>11</v>
      </c>
      <c r="I737" t="str">
        <f t="shared" si="11"/>
        <v>Média</v>
      </c>
    </row>
    <row r="738" spans="1:9">
      <c r="A738" t="s">
        <v>308</v>
      </c>
      <c r="B738">
        <v>2025</v>
      </c>
      <c r="C738">
        <v>2</v>
      </c>
      <c r="D738" t="s">
        <v>75</v>
      </c>
      <c r="E738" t="s">
        <v>78</v>
      </c>
      <c r="F738">
        <v>8.1</v>
      </c>
      <c r="G738">
        <v>57.1</v>
      </c>
      <c r="H738" t="s">
        <v>11</v>
      </c>
      <c r="I738" t="str">
        <f t="shared" si="11"/>
        <v>Média</v>
      </c>
    </row>
    <row r="739" spans="1:9">
      <c r="A739" t="s">
        <v>442</v>
      </c>
      <c r="B739">
        <v>2026</v>
      </c>
      <c r="C739">
        <v>1</v>
      </c>
      <c r="D739" t="s">
        <v>75</v>
      </c>
      <c r="E739" t="s">
        <v>77</v>
      </c>
      <c r="F739">
        <v>8.1</v>
      </c>
      <c r="G739">
        <v>77.5</v>
      </c>
      <c r="H739" t="s">
        <v>11</v>
      </c>
      <c r="I739" t="str">
        <f t="shared" si="11"/>
        <v>Alta</v>
      </c>
    </row>
    <row r="740" spans="1:9">
      <c r="A740" t="s">
        <v>464</v>
      </c>
      <c r="B740">
        <v>2026</v>
      </c>
      <c r="C740">
        <v>1</v>
      </c>
      <c r="D740" t="s">
        <v>75</v>
      </c>
      <c r="E740" t="s">
        <v>78</v>
      </c>
      <c r="F740">
        <v>8.1</v>
      </c>
      <c r="G740">
        <v>46.8</v>
      </c>
      <c r="H740" t="s">
        <v>11</v>
      </c>
      <c r="I740" t="str">
        <f t="shared" si="11"/>
        <v>Baixa</v>
      </c>
    </row>
    <row r="741" spans="1:9">
      <c r="A741" t="s">
        <v>479</v>
      </c>
      <c r="B741">
        <v>2026</v>
      </c>
      <c r="C741">
        <v>1</v>
      </c>
      <c r="D741" t="s">
        <v>75</v>
      </c>
      <c r="E741" t="s">
        <v>77</v>
      </c>
      <c r="F741">
        <v>8.1</v>
      </c>
      <c r="G741">
        <v>72.599999999999994</v>
      </c>
      <c r="H741" t="s">
        <v>11</v>
      </c>
      <c r="I741" t="str">
        <f t="shared" si="11"/>
        <v>Média</v>
      </c>
    </row>
    <row r="742" spans="1:9">
      <c r="A742" t="s">
        <v>488</v>
      </c>
      <c r="B742">
        <v>2026</v>
      </c>
      <c r="C742">
        <v>1</v>
      </c>
      <c r="D742" t="s">
        <v>75</v>
      </c>
      <c r="E742" t="s">
        <v>78</v>
      </c>
      <c r="F742">
        <v>8.1</v>
      </c>
      <c r="G742">
        <v>50.3</v>
      </c>
      <c r="H742" t="s">
        <v>11</v>
      </c>
      <c r="I742" t="str">
        <f t="shared" si="11"/>
        <v>Média</v>
      </c>
    </row>
    <row r="743" spans="1:9">
      <c r="A743" t="s">
        <v>492</v>
      </c>
      <c r="B743">
        <v>2026</v>
      </c>
      <c r="C743">
        <v>1</v>
      </c>
      <c r="D743" t="s">
        <v>75</v>
      </c>
      <c r="E743" t="s">
        <v>76</v>
      </c>
      <c r="F743">
        <v>8.1</v>
      </c>
      <c r="G743">
        <v>45.1</v>
      </c>
      <c r="H743" t="s">
        <v>11</v>
      </c>
      <c r="I743" t="str">
        <f t="shared" si="11"/>
        <v>Baixa</v>
      </c>
    </row>
    <row r="744" spans="1:9">
      <c r="A744" t="s">
        <v>500</v>
      </c>
      <c r="B744">
        <v>2026</v>
      </c>
      <c r="C744">
        <v>1</v>
      </c>
      <c r="D744" t="s">
        <v>75</v>
      </c>
      <c r="E744" t="s">
        <v>78</v>
      </c>
      <c r="F744">
        <v>8.1</v>
      </c>
      <c r="G744">
        <v>98.2</v>
      </c>
      <c r="H744" t="s">
        <v>11</v>
      </c>
      <c r="I744" t="str">
        <f t="shared" si="11"/>
        <v>Alta</v>
      </c>
    </row>
    <row r="745" spans="1:9">
      <c r="A745" t="s">
        <v>540</v>
      </c>
      <c r="B745">
        <v>2026</v>
      </c>
      <c r="C745">
        <v>1</v>
      </c>
      <c r="D745" t="s">
        <v>139</v>
      </c>
      <c r="E745" t="s">
        <v>10</v>
      </c>
      <c r="F745">
        <v>8.1</v>
      </c>
      <c r="G745">
        <v>61.6</v>
      </c>
      <c r="H745" t="s">
        <v>11</v>
      </c>
      <c r="I745" t="str">
        <f t="shared" si="11"/>
        <v>Média</v>
      </c>
    </row>
    <row r="746" spans="1:9">
      <c r="A746" t="s">
        <v>383</v>
      </c>
      <c r="B746">
        <v>2026</v>
      </c>
      <c r="C746">
        <v>2</v>
      </c>
      <c r="D746" t="s">
        <v>9</v>
      </c>
      <c r="E746" t="s">
        <v>10</v>
      </c>
      <c r="F746">
        <v>8.1</v>
      </c>
      <c r="G746">
        <v>63.7</v>
      </c>
      <c r="H746" t="s">
        <v>11</v>
      </c>
      <c r="I746" t="str">
        <f t="shared" si="11"/>
        <v>Média</v>
      </c>
    </row>
    <row r="747" spans="1:9">
      <c r="A747" t="s">
        <v>435</v>
      </c>
      <c r="B747">
        <v>2026</v>
      </c>
      <c r="C747">
        <v>2</v>
      </c>
      <c r="D747" t="s">
        <v>9</v>
      </c>
      <c r="E747" t="s">
        <v>12</v>
      </c>
      <c r="F747">
        <v>8.1</v>
      </c>
      <c r="G747">
        <v>57.2</v>
      </c>
      <c r="H747" t="s">
        <v>11</v>
      </c>
      <c r="I747" t="str">
        <f t="shared" si="11"/>
        <v>Média</v>
      </c>
    </row>
    <row r="748" spans="1:9">
      <c r="A748" t="s">
        <v>450</v>
      </c>
      <c r="B748">
        <v>2026</v>
      </c>
      <c r="C748">
        <v>2</v>
      </c>
      <c r="D748" t="s">
        <v>75</v>
      </c>
      <c r="E748" t="s">
        <v>77</v>
      </c>
      <c r="F748">
        <v>8.1</v>
      </c>
      <c r="G748">
        <v>90</v>
      </c>
      <c r="H748" t="s">
        <v>11</v>
      </c>
      <c r="I748" t="str">
        <f t="shared" si="11"/>
        <v>Alta</v>
      </c>
    </row>
    <row r="749" spans="1:9">
      <c r="A749" t="s">
        <v>464</v>
      </c>
      <c r="B749">
        <v>2026</v>
      </c>
      <c r="C749">
        <v>2</v>
      </c>
      <c r="D749" t="s">
        <v>75</v>
      </c>
      <c r="E749" t="s">
        <v>78</v>
      </c>
      <c r="F749">
        <v>8.1</v>
      </c>
      <c r="G749">
        <v>70.900000000000006</v>
      </c>
      <c r="H749" t="s">
        <v>11</v>
      </c>
      <c r="I749" t="str">
        <f t="shared" si="11"/>
        <v>Média</v>
      </c>
    </row>
    <row r="750" spans="1:9">
      <c r="A750" t="s">
        <v>496</v>
      </c>
      <c r="B750">
        <v>2026</v>
      </c>
      <c r="C750">
        <v>2</v>
      </c>
      <c r="D750" t="s">
        <v>75</v>
      </c>
      <c r="E750" t="s">
        <v>78</v>
      </c>
      <c r="F750">
        <v>8.1</v>
      </c>
      <c r="G750">
        <v>80.400000000000006</v>
      </c>
      <c r="H750" t="s">
        <v>11</v>
      </c>
      <c r="I750" t="str">
        <f t="shared" si="11"/>
        <v>Alta</v>
      </c>
    </row>
    <row r="751" spans="1:9">
      <c r="A751" t="s">
        <v>557</v>
      </c>
      <c r="B751">
        <v>2026</v>
      </c>
      <c r="C751">
        <v>2</v>
      </c>
      <c r="D751" t="s">
        <v>139</v>
      </c>
      <c r="E751" t="s">
        <v>141</v>
      </c>
      <c r="F751">
        <v>8.1</v>
      </c>
      <c r="G751">
        <v>51</v>
      </c>
      <c r="H751" t="s">
        <v>11</v>
      </c>
      <c r="I751" t="str">
        <f t="shared" si="11"/>
        <v>Média</v>
      </c>
    </row>
    <row r="752" spans="1:9">
      <c r="A752" t="s">
        <v>558</v>
      </c>
      <c r="B752">
        <v>2026</v>
      </c>
      <c r="C752">
        <v>2</v>
      </c>
      <c r="D752" t="s">
        <v>139</v>
      </c>
      <c r="E752" t="s">
        <v>141</v>
      </c>
      <c r="F752">
        <v>8.1</v>
      </c>
      <c r="G752">
        <v>57.8</v>
      </c>
      <c r="H752" t="s">
        <v>11</v>
      </c>
      <c r="I752" t="str">
        <f t="shared" si="11"/>
        <v>Média</v>
      </c>
    </row>
    <row r="753" spans="1:9">
      <c r="A753" t="s">
        <v>80</v>
      </c>
      <c r="B753">
        <v>2024</v>
      </c>
      <c r="C753">
        <v>1</v>
      </c>
      <c r="D753" t="s">
        <v>75</v>
      </c>
      <c r="E753" t="s">
        <v>76</v>
      </c>
      <c r="F753">
        <v>8.1999999999999993</v>
      </c>
      <c r="G753">
        <v>66</v>
      </c>
      <c r="H753" t="s">
        <v>11</v>
      </c>
      <c r="I753" t="str">
        <f t="shared" si="11"/>
        <v>Média</v>
      </c>
    </row>
    <row r="754" spans="1:9">
      <c r="A754" t="s">
        <v>102</v>
      </c>
      <c r="B754">
        <v>2024</v>
      </c>
      <c r="C754">
        <v>1</v>
      </c>
      <c r="D754" t="s">
        <v>75</v>
      </c>
      <c r="E754" t="s">
        <v>78</v>
      </c>
      <c r="F754">
        <v>8.1999999999999993</v>
      </c>
      <c r="G754">
        <v>49</v>
      </c>
      <c r="H754" t="s">
        <v>11</v>
      </c>
      <c r="I754" t="str">
        <f t="shared" si="11"/>
        <v>Baixa</v>
      </c>
    </row>
    <row r="755" spans="1:9">
      <c r="A755" t="s">
        <v>133</v>
      </c>
      <c r="B755">
        <v>2024</v>
      </c>
      <c r="C755">
        <v>1</v>
      </c>
      <c r="D755" t="s">
        <v>75</v>
      </c>
      <c r="E755" t="s">
        <v>76</v>
      </c>
      <c r="F755">
        <v>8.1999999999999993</v>
      </c>
      <c r="G755">
        <v>61.5</v>
      </c>
      <c r="H755" t="s">
        <v>11</v>
      </c>
      <c r="I755" t="str">
        <f t="shared" si="11"/>
        <v>Média</v>
      </c>
    </row>
    <row r="756" spans="1:9">
      <c r="A756" t="s">
        <v>150</v>
      </c>
      <c r="B756">
        <v>2024</v>
      </c>
      <c r="C756">
        <v>1</v>
      </c>
      <c r="D756" t="s">
        <v>139</v>
      </c>
      <c r="E756" t="s">
        <v>140</v>
      </c>
      <c r="F756">
        <v>8.1999999999999993</v>
      </c>
      <c r="G756">
        <v>47.5</v>
      </c>
      <c r="H756" t="s">
        <v>11</v>
      </c>
      <c r="I756" t="str">
        <f t="shared" si="11"/>
        <v>Baixa</v>
      </c>
    </row>
    <row r="757" spans="1:9">
      <c r="A757" t="s">
        <v>19</v>
      </c>
      <c r="B757">
        <v>2024</v>
      </c>
      <c r="C757">
        <v>2</v>
      </c>
      <c r="D757" t="s">
        <v>9</v>
      </c>
      <c r="E757" t="s">
        <v>10</v>
      </c>
      <c r="F757">
        <v>8.1999999999999993</v>
      </c>
      <c r="G757">
        <v>59.1</v>
      </c>
      <c r="H757" t="s">
        <v>11</v>
      </c>
      <c r="I757" t="str">
        <f t="shared" si="11"/>
        <v>Média</v>
      </c>
    </row>
    <row r="758" spans="1:9">
      <c r="A758" t="s">
        <v>73</v>
      </c>
      <c r="B758">
        <v>2024</v>
      </c>
      <c r="C758">
        <v>2</v>
      </c>
      <c r="D758" t="s">
        <v>9</v>
      </c>
      <c r="E758" t="s">
        <v>12</v>
      </c>
      <c r="F758">
        <v>8.1999999999999993</v>
      </c>
      <c r="G758">
        <v>82.1</v>
      </c>
      <c r="H758" t="s">
        <v>11</v>
      </c>
      <c r="I758" t="str">
        <f t="shared" si="11"/>
        <v>Alta</v>
      </c>
    </row>
    <row r="759" spans="1:9">
      <c r="A759" t="s">
        <v>151</v>
      </c>
      <c r="B759">
        <v>2024</v>
      </c>
      <c r="C759">
        <v>2</v>
      </c>
      <c r="D759" t="s">
        <v>139</v>
      </c>
      <c r="E759" t="s">
        <v>140</v>
      </c>
      <c r="F759">
        <v>8.1999999999999993</v>
      </c>
      <c r="G759">
        <v>66</v>
      </c>
      <c r="H759" t="s">
        <v>11</v>
      </c>
      <c r="I759" t="str">
        <f t="shared" si="11"/>
        <v>Média</v>
      </c>
    </row>
    <row r="760" spans="1:9">
      <c r="A760" t="s">
        <v>151</v>
      </c>
      <c r="B760">
        <v>2024</v>
      </c>
      <c r="C760">
        <v>2</v>
      </c>
      <c r="D760" t="s">
        <v>139</v>
      </c>
      <c r="E760" t="s">
        <v>10</v>
      </c>
      <c r="F760">
        <v>8.1999999999999993</v>
      </c>
      <c r="G760">
        <v>91.3</v>
      </c>
      <c r="H760" t="s">
        <v>11</v>
      </c>
      <c r="I760" t="str">
        <f t="shared" si="11"/>
        <v>Alta</v>
      </c>
    </row>
    <row r="761" spans="1:9">
      <c r="A761" t="s">
        <v>205</v>
      </c>
      <c r="B761">
        <v>2025</v>
      </c>
      <c r="C761">
        <v>1</v>
      </c>
      <c r="D761" t="s">
        <v>9</v>
      </c>
      <c r="E761" t="s">
        <v>10</v>
      </c>
      <c r="F761">
        <v>8.1999999999999993</v>
      </c>
      <c r="G761">
        <v>56.3</v>
      </c>
      <c r="H761" t="s">
        <v>11</v>
      </c>
      <c r="I761" t="str">
        <f t="shared" si="11"/>
        <v>Média</v>
      </c>
    </row>
    <row r="762" spans="1:9">
      <c r="A762" t="s">
        <v>299</v>
      </c>
      <c r="B762">
        <v>2025</v>
      </c>
      <c r="C762">
        <v>1</v>
      </c>
      <c r="D762" t="s">
        <v>75</v>
      </c>
      <c r="E762" t="s">
        <v>77</v>
      </c>
      <c r="F762">
        <v>8.1999999999999993</v>
      </c>
      <c r="G762">
        <v>83.8</v>
      </c>
      <c r="H762" t="s">
        <v>11</v>
      </c>
      <c r="I762" t="str">
        <f t="shared" si="11"/>
        <v>Alta</v>
      </c>
    </row>
    <row r="763" spans="1:9">
      <c r="A763" t="s">
        <v>338</v>
      </c>
      <c r="B763">
        <v>2025</v>
      </c>
      <c r="C763">
        <v>1</v>
      </c>
      <c r="D763" t="s">
        <v>139</v>
      </c>
      <c r="E763" t="s">
        <v>140</v>
      </c>
      <c r="F763">
        <v>8.1999999999999993</v>
      </c>
      <c r="G763">
        <v>45.8</v>
      </c>
      <c r="H763" t="s">
        <v>11</v>
      </c>
      <c r="I763" t="str">
        <f t="shared" si="11"/>
        <v>Baixa</v>
      </c>
    </row>
    <row r="764" spans="1:9">
      <c r="A764" t="s">
        <v>345</v>
      </c>
      <c r="B764">
        <v>2025</v>
      </c>
      <c r="C764">
        <v>1</v>
      </c>
      <c r="D764" t="s">
        <v>139</v>
      </c>
      <c r="E764" t="s">
        <v>140</v>
      </c>
      <c r="F764">
        <v>8.1999999999999993</v>
      </c>
      <c r="G764">
        <v>88.1</v>
      </c>
      <c r="H764" t="s">
        <v>11</v>
      </c>
      <c r="I764" t="str">
        <f t="shared" si="11"/>
        <v>Alta</v>
      </c>
    </row>
    <row r="765" spans="1:9">
      <c r="A765" t="s">
        <v>363</v>
      </c>
      <c r="B765">
        <v>2025</v>
      </c>
      <c r="C765">
        <v>1</v>
      </c>
      <c r="D765" t="s">
        <v>139</v>
      </c>
      <c r="E765" t="s">
        <v>141</v>
      </c>
      <c r="F765">
        <v>8.1999999999999993</v>
      </c>
      <c r="G765">
        <v>65</v>
      </c>
      <c r="H765" t="s">
        <v>11</v>
      </c>
      <c r="I765" t="str">
        <f t="shared" si="11"/>
        <v>Média</v>
      </c>
    </row>
    <row r="766" spans="1:9">
      <c r="A766" t="s">
        <v>322</v>
      </c>
      <c r="B766">
        <v>2025</v>
      </c>
      <c r="C766">
        <v>2</v>
      </c>
      <c r="D766" t="s">
        <v>139</v>
      </c>
      <c r="E766" t="s">
        <v>140</v>
      </c>
      <c r="F766">
        <v>8.1999999999999993</v>
      </c>
      <c r="G766">
        <v>74.7</v>
      </c>
      <c r="H766" t="s">
        <v>11</v>
      </c>
      <c r="I766" t="str">
        <f t="shared" si="11"/>
        <v>Média</v>
      </c>
    </row>
    <row r="767" spans="1:9">
      <c r="A767" t="s">
        <v>344</v>
      </c>
      <c r="B767">
        <v>2025</v>
      </c>
      <c r="C767">
        <v>2</v>
      </c>
      <c r="D767" t="s">
        <v>139</v>
      </c>
      <c r="E767" t="s">
        <v>10</v>
      </c>
      <c r="F767">
        <v>8.1999999999999993</v>
      </c>
      <c r="G767">
        <v>59.4</v>
      </c>
      <c r="H767" t="s">
        <v>11</v>
      </c>
      <c r="I767" t="str">
        <f t="shared" si="11"/>
        <v>Média</v>
      </c>
    </row>
    <row r="768" spans="1:9">
      <c r="A768" t="s">
        <v>423</v>
      </c>
      <c r="B768">
        <v>2026</v>
      </c>
      <c r="C768">
        <v>1</v>
      </c>
      <c r="D768" t="s">
        <v>9</v>
      </c>
      <c r="E768" t="s">
        <v>12</v>
      </c>
      <c r="F768">
        <v>8.1999999999999993</v>
      </c>
      <c r="G768">
        <v>51.7</v>
      </c>
      <c r="H768" t="s">
        <v>11</v>
      </c>
      <c r="I768" t="str">
        <f t="shared" si="11"/>
        <v>Média</v>
      </c>
    </row>
    <row r="769" spans="1:9">
      <c r="A769" t="s">
        <v>446</v>
      </c>
      <c r="B769">
        <v>2026</v>
      </c>
      <c r="C769">
        <v>1</v>
      </c>
      <c r="D769" t="s">
        <v>75</v>
      </c>
      <c r="E769" t="s">
        <v>78</v>
      </c>
      <c r="F769">
        <v>8.1999999999999993</v>
      </c>
      <c r="G769">
        <v>57.8</v>
      </c>
      <c r="H769" t="s">
        <v>11</v>
      </c>
      <c r="I769" t="str">
        <f t="shared" si="11"/>
        <v>Média</v>
      </c>
    </row>
    <row r="770" spans="1:9">
      <c r="A770" t="s">
        <v>465</v>
      </c>
      <c r="B770">
        <v>2026</v>
      </c>
      <c r="C770">
        <v>1</v>
      </c>
      <c r="D770" t="s">
        <v>75</v>
      </c>
      <c r="E770" t="s">
        <v>76</v>
      </c>
      <c r="F770">
        <v>8.1999999999999993</v>
      </c>
      <c r="G770">
        <v>74.3</v>
      </c>
      <c r="H770" t="s">
        <v>11</v>
      </c>
      <c r="I770" t="str">
        <f t="shared" ref="I770:I833" si="12">IF(G770&lt;50,"Baixa",IF(G770&lt;75,"Média","Alta"))</f>
        <v>Média</v>
      </c>
    </row>
    <row r="771" spans="1:9">
      <c r="A771" t="s">
        <v>479</v>
      </c>
      <c r="B771">
        <v>2026</v>
      </c>
      <c r="C771">
        <v>1</v>
      </c>
      <c r="D771" t="s">
        <v>75</v>
      </c>
      <c r="E771" t="s">
        <v>78</v>
      </c>
      <c r="F771">
        <v>8.1999999999999993</v>
      </c>
      <c r="G771">
        <v>85.6</v>
      </c>
      <c r="H771" t="s">
        <v>11</v>
      </c>
      <c r="I771" t="str">
        <f t="shared" si="12"/>
        <v>Alta</v>
      </c>
    </row>
    <row r="772" spans="1:9">
      <c r="A772" t="s">
        <v>489</v>
      </c>
      <c r="B772">
        <v>2026</v>
      </c>
      <c r="C772">
        <v>1</v>
      </c>
      <c r="D772" t="s">
        <v>75</v>
      </c>
      <c r="E772" t="s">
        <v>77</v>
      </c>
      <c r="F772">
        <v>8.1999999999999993</v>
      </c>
      <c r="G772">
        <v>94.6</v>
      </c>
      <c r="H772" t="s">
        <v>11</v>
      </c>
      <c r="I772" t="str">
        <f t="shared" si="12"/>
        <v>Alta</v>
      </c>
    </row>
    <row r="773" spans="1:9">
      <c r="A773" t="s">
        <v>538</v>
      </c>
      <c r="B773">
        <v>2026</v>
      </c>
      <c r="C773">
        <v>1</v>
      </c>
      <c r="D773" t="s">
        <v>139</v>
      </c>
      <c r="E773" t="s">
        <v>10</v>
      </c>
      <c r="F773">
        <v>8.1999999999999993</v>
      </c>
      <c r="G773">
        <v>60</v>
      </c>
      <c r="H773" t="s">
        <v>11</v>
      </c>
      <c r="I773" t="str">
        <f t="shared" si="12"/>
        <v>Média</v>
      </c>
    </row>
    <row r="774" spans="1:9">
      <c r="A774" t="s">
        <v>397</v>
      </c>
      <c r="B774">
        <v>2026</v>
      </c>
      <c r="C774">
        <v>2</v>
      </c>
      <c r="D774" t="s">
        <v>9</v>
      </c>
      <c r="E774" t="s">
        <v>12</v>
      </c>
      <c r="F774">
        <v>8.1999999999999993</v>
      </c>
      <c r="G774">
        <v>49.8</v>
      </c>
      <c r="H774" t="s">
        <v>11</v>
      </c>
      <c r="I774" t="str">
        <f t="shared" si="12"/>
        <v>Baixa</v>
      </c>
    </row>
    <row r="775" spans="1:9">
      <c r="A775" t="s">
        <v>457</v>
      </c>
      <c r="B775">
        <v>2026</v>
      </c>
      <c r="C775">
        <v>2</v>
      </c>
      <c r="D775" t="s">
        <v>75</v>
      </c>
      <c r="E775" t="s">
        <v>76</v>
      </c>
      <c r="F775">
        <v>8.1999999999999993</v>
      </c>
      <c r="G775">
        <v>97</v>
      </c>
      <c r="H775" t="s">
        <v>11</v>
      </c>
      <c r="I775" t="str">
        <f t="shared" si="12"/>
        <v>Alta</v>
      </c>
    </row>
    <row r="776" spans="1:9">
      <c r="A776" t="s">
        <v>465</v>
      </c>
      <c r="B776">
        <v>2026</v>
      </c>
      <c r="C776">
        <v>2</v>
      </c>
      <c r="D776" t="s">
        <v>75</v>
      </c>
      <c r="E776" t="s">
        <v>76</v>
      </c>
      <c r="F776">
        <v>8.1999999999999993</v>
      </c>
      <c r="G776">
        <v>50.9</v>
      </c>
      <c r="H776" t="s">
        <v>11</v>
      </c>
      <c r="I776" t="str">
        <f t="shared" si="12"/>
        <v>Média</v>
      </c>
    </row>
    <row r="777" spans="1:9">
      <c r="A777" t="s">
        <v>487</v>
      </c>
      <c r="B777">
        <v>2026</v>
      </c>
      <c r="C777">
        <v>2</v>
      </c>
      <c r="D777" t="s">
        <v>75</v>
      </c>
      <c r="E777" t="s">
        <v>76</v>
      </c>
      <c r="F777">
        <v>8.1999999999999993</v>
      </c>
      <c r="G777">
        <v>51.1</v>
      </c>
      <c r="H777" t="s">
        <v>11</v>
      </c>
      <c r="I777" t="str">
        <f t="shared" si="12"/>
        <v>Média</v>
      </c>
    </row>
    <row r="778" spans="1:9">
      <c r="A778" t="s">
        <v>44</v>
      </c>
      <c r="B778">
        <v>2024</v>
      </c>
      <c r="C778">
        <v>1</v>
      </c>
      <c r="D778" t="s">
        <v>9</v>
      </c>
      <c r="E778" t="s">
        <v>10</v>
      </c>
      <c r="F778">
        <v>8.3000000000000007</v>
      </c>
      <c r="G778">
        <v>65.099999999999994</v>
      </c>
      <c r="H778" t="s">
        <v>11</v>
      </c>
      <c r="I778" t="str">
        <f t="shared" si="12"/>
        <v>Média</v>
      </c>
    </row>
    <row r="779" spans="1:9">
      <c r="A779" t="s">
        <v>120</v>
      </c>
      <c r="B779">
        <v>2024</v>
      </c>
      <c r="C779">
        <v>1</v>
      </c>
      <c r="D779" t="s">
        <v>75</v>
      </c>
      <c r="E779" t="s">
        <v>78</v>
      </c>
      <c r="F779">
        <v>8.3000000000000007</v>
      </c>
      <c r="G779">
        <v>62.5</v>
      </c>
      <c r="H779" t="s">
        <v>11</v>
      </c>
      <c r="I779" t="str">
        <f t="shared" si="12"/>
        <v>Média</v>
      </c>
    </row>
    <row r="780" spans="1:9">
      <c r="A780" t="s">
        <v>190</v>
      </c>
      <c r="B780">
        <v>2024</v>
      </c>
      <c r="C780">
        <v>1</v>
      </c>
      <c r="D780" t="s">
        <v>139</v>
      </c>
      <c r="E780" t="s">
        <v>141</v>
      </c>
      <c r="F780">
        <v>8.3000000000000007</v>
      </c>
      <c r="G780">
        <v>73.599999999999994</v>
      </c>
      <c r="H780" t="s">
        <v>11</v>
      </c>
      <c r="I780" t="str">
        <f t="shared" si="12"/>
        <v>Média</v>
      </c>
    </row>
    <row r="781" spans="1:9">
      <c r="A781" t="s">
        <v>194</v>
      </c>
      <c r="B781">
        <v>2024</v>
      </c>
      <c r="C781">
        <v>1</v>
      </c>
      <c r="D781" t="s">
        <v>139</v>
      </c>
      <c r="E781" t="s">
        <v>10</v>
      </c>
      <c r="F781">
        <v>8.3000000000000007</v>
      </c>
      <c r="G781">
        <v>63.3</v>
      </c>
      <c r="H781" t="s">
        <v>11</v>
      </c>
      <c r="I781" t="str">
        <f t="shared" si="12"/>
        <v>Média</v>
      </c>
    </row>
    <row r="782" spans="1:9">
      <c r="A782" t="s">
        <v>69</v>
      </c>
      <c r="B782">
        <v>2024</v>
      </c>
      <c r="C782">
        <v>2</v>
      </c>
      <c r="D782" t="s">
        <v>9</v>
      </c>
      <c r="E782" t="s">
        <v>12</v>
      </c>
      <c r="F782">
        <v>8.3000000000000007</v>
      </c>
      <c r="G782">
        <v>48.6</v>
      </c>
      <c r="H782" t="s">
        <v>11</v>
      </c>
      <c r="I782" t="str">
        <f t="shared" si="12"/>
        <v>Baixa</v>
      </c>
    </row>
    <row r="783" spans="1:9">
      <c r="A783" t="s">
        <v>91</v>
      </c>
      <c r="B783">
        <v>2024</v>
      </c>
      <c r="C783">
        <v>2</v>
      </c>
      <c r="D783" t="s">
        <v>75</v>
      </c>
      <c r="E783" t="s">
        <v>78</v>
      </c>
      <c r="F783">
        <v>8.3000000000000007</v>
      </c>
      <c r="G783">
        <v>90.1</v>
      </c>
      <c r="H783" t="s">
        <v>11</v>
      </c>
      <c r="I783" t="str">
        <f t="shared" si="12"/>
        <v>Alta</v>
      </c>
    </row>
    <row r="784" spans="1:9">
      <c r="A784" t="s">
        <v>100</v>
      </c>
      <c r="B784">
        <v>2024</v>
      </c>
      <c r="C784">
        <v>2</v>
      </c>
      <c r="D784" t="s">
        <v>75</v>
      </c>
      <c r="E784" t="s">
        <v>76</v>
      </c>
      <c r="F784">
        <v>8.3000000000000007</v>
      </c>
      <c r="G784">
        <v>55.2</v>
      </c>
      <c r="H784" t="s">
        <v>11</v>
      </c>
      <c r="I784" t="str">
        <f t="shared" si="12"/>
        <v>Média</v>
      </c>
    </row>
    <row r="785" spans="1:9">
      <c r="A785" t="s">
        <v>178</v>
      </c>
      <c r="B785">
        <v>2024</v>
      </c>
      <c r="C785">
        <v>2</v>
      </c>
      <c r="D785" t="s">
        <v>139</v>
      </c>
      <c r="E785" t="s">
        <v>140</v>
      </c>
      <c r="F785">
        <v>8.3000000000000007</v>
      </c>
      <c r="G785">
        <v>54.6</v>
      </c>
      <c r="H785" t="s">
        <v>11</v>
      </c>
      <c r="I785" t="str">
        <f t="shared" si="12"/>
        <v>Média</v>
      </c>
    </row>
    <row r="786" spans="1:9">
      <c r="A786" t="s">
        <v>251</v>
      </c>
      <c r="B786">
        <v>2025</v>
      </c>
      <c r="C786">
        <v>1</v>
      </c>
      <c r="D786" t="s">
        <v>9</v>
      </c>
      <c r="E786" t="s">
        <v>10</v>
      </c>
      <c r="F786">
        <v>8.3000000000000007</v>
      </c>
      <c r="G786">
        <v>54.2</v>
      </c>
      <c r="H786" t="s">
        <v>11</v>
      </c>
      <c r="I786" t="str">
        <f t="shared" si="12"/>
        <v>Média</v>
      </c>
    </row>
    <row r="787" spans="1:9">
      <c r="A787" t="s">
        <v>266</v>
      </c>
      <c r="B787">
        <v>2025</v>
      </c>
      <c r="C787">
        <v>1</v>
      </c>
      <c r="D787" t="s">
        <v>75</v>
      </c>
      <c r="E787" t="s">
        <v>76</v>
      </c>
      <c r="F787">
        <v>8.3000000000000007</v>
      </c>
      <c r="G787">
        <v>50.4</v>
      </c>
      <c r="H787" t="s">
        <v>11</v>
      </c>
      <c r="I787" t="str">
        <f t="shared" si="12"/>
        <v>Média</v>
      </c>
    </row>
    <row r="788" spans="1:9">
      <c r="A788" t="s">
        <v>376</v>
      </c>
      <c r="B788">
        <v>2025</v>
      </c>
      <c r="C788">
        <v>1</v>
      </c>
      <c r="D788" t="s">
        <v>139</v>
      </c>
      <c r="E788" t="s">
        <v>10</v>
      </c>
      <c r="F788">
        <v>8.3000000000000007</v>
      </c>
      <c r="G788">
        <v>53</v>
      </c>
      <c r="H788" t="s">
        <v>11</v>
      </c>
      <c r="I788" t="str">
        <f t="shared" si="12"/>
        <v>Média</v>
      </c>
    </row>
    <row r="789" spans="1:9">
      <c r="A789" t="s">
        <v>225</v>
      </c>
      <c r="B789">
        <v>2025</v>
      </c>
      <c r="C789">
        <v>2</v>
      </c>
      <c r="D789" t="s">
        <v>9</v>
      </c>
      <c r="E789" t="s">
        <v>12</v>
      </c>
      <c r="F789">
        <v>8.3000000000000007</v>
      </c>
      <c r="G789">
        <v>73.8</v>
      </c>
      <c r="H789" t="s">
        <v>11</v>
      </c>
      <c r="I789" t="str">
        <f t="shared" si="12"/>
        <v>Média</v>
      </c>
    </row>
    <row r="790" spans="1:9">
      <c r="A790" t="s">
        <v>232</v>
      </c>
      <c r="B790">
        <v>2025</v>
      </c>
      <c r="C790">
        <v>2</v>
      </c>
      <c r="D790" t="s">
        <v>9</v>
      </c>
      <c r="E790" t="s">
        <v>12</v>
      </c>
      <c r="F790">
        <v>8.3000000000000007</v>
      </c>
      <c r="G790">
        <v>51.6</v>
      </c>
      <c r="H790" t="s">
        <v>11</v>
      </c>
      <c r="I790" t="str">
        <f t="shared" si="12"/>
        <v>Média</v>
      </c>
    </row>
    <row r="791" spans="1:9">
      <c r="A791" t="s">
        <v>259</v>
      </c>
      <c r="B791">
        <v>2025</v>
      </c>
      <c r="C791">
        <v>2</v>
      </c>
      <c r="D791" t="s">
        <v>9</v>
      </c>
      <c r="E791" t="s">
        <v>10</v>
      </c>
      <c r="F791">
        <v>8.3000000000000007</v>
      </c>
      <c r="G791">
        <v>57.1</v>
      </c>
      <c r="H791" t="s">
        <v>11</v>
      </c>
      <c r="I791" t="str">
        <f t="shared" si="12"/>
        <v>Média</v>
      </c>
    </row>
    <row r="792" spans="1:9">
      <c r="A792" t="s">
        <v>271</v>
      </c>
      <c r="B792">
        <v>2025</v>
      </c>
      <c r="C792">
        <v>2</v>
      </c>
      <c r="D792" t="s">
        <v>75</v>
      </c>
      <c r="E792" t="s">
        <v>77</v>
      </c>
      <c r="F792">
        <v>8.3000000000000007</v>
      </c>
      <c r="G792">
        <v>48.1</v>
      </c>
      <c r="H792" t="s">
        <v>11</v>
      </c>
      <c r="I792" t="str">
        <f t="shared" si="12"/>
        <v>Baixa</v>
      </c>
    </row>
    <row r="793" spans="1:9">
      <c r="A793" t="s">
        <v>316</v>
      </c>
      <c r="B793">
        <v>2025</v>
      </c>
      <c r="C793">
        <v>2</v>
      </c>
      <c r="D793" t="s">
        <v>75</v>
      </c>
      <c r="E793" t="s">
        <v>76</v>
      </c>
      <c r="F793">
        <v>8.3000000000000007</v>
      </c>
      <c r="G793">
        <v>87.2</v>
      </c>
      <c r="H793" t="s">
        <v>11</v>
      </c>
      <c r="I793" t="str">
        <f t="shared" si="12"/>
        <v>Alta</v>
      </c>
    </row>
    <row r="794" spans="1:9">
      <c r="A794" t="s">
        <v>317</v>
      </c>
      <c r="B794">
        <v>2025</v>
      </c>
      <c r="C794">
        <v>2</v>
      </c>
      <c r="D794" t="s">
        <v>75</v>
      </c>
      <c r="E794" t="s">
        <v>77</v>
      </c>
      <c r="F794">
        <v>8.3000000000000007</v>
      </c>
      <c r="G794">
        <v>54.5</v>
      </c>
      <c r="H794" t="s">
        <v>11</v>
      </c>
      <c r="I794" t="str">
        <f t="shared" si="12"/>
        <v>Média</v>
      </c>
    </row>
    <row r="795" spans="1:9">
      <c r="A795" t="s">
        <v>325</v>
      </c>
      <c r="B795">
        <v>2025</v>
      </c>
      <c r="C795">
        <v>2</v>
      </c>
      <c r="D795" t="s">
        <v>139</v>
      </c>
      <c r="E795" t="s">
        <v>140</v>
      </c>
      <c r="F795">
        <v>8.3000000000000007</v>
      </c>
      <c r="G795">
        <v>78.099999999999994</v>
      </c>
      <c r="H795" t="s">
        <v>11</v>
      </c>
      <c r="I795" t="str">
        <f t="shared" si="12"/>
        <v>Alta</v>
      </c>
    </row>
    <row r="796" spans="1:9">
      <c r="A796" t="s">
        <v>467</v>
      </c>
      <c r="B796">
        <v>2026</v>
      </c>
      <c r="C796">
        <v>1</v>
      </c>
      <c r="D796" t="s">
        <v>75</v>
      </c>
      <c r="E796" t="s">
        <v>76</v>
      </c>
      <c r="F796">
        <v>8.3000000000000007</v>
      </c>
      <c r="G796">
        <v>60.2</v>
      </c>
      <c r="H796" t="s">
        <v>11</v>
      </c>
      <c r="I796" t="str">
        <f t="shared" si="12"/>
        <v>Média</v>
      </c>
    </row>
    <row r="797" spans="1:9">
      <c r="A797" t="s">
        <v>471</v>
      </c>
      <c r="B797">
        <v>2026</v>
      </c>
      <c r="C797">
        <v>1</v>
      </c>
      <c r="D797" t="s">
        <v>75</v>
      </c>
      <c r="E797" t="s">
        <v>77</v>
      </c>
      <c r="F797">
        <v>8.3000000000000007</v>
      </c>
      <c r="G797">
        <v>83.8</v>
      </c>
      <c r="H797" t="s">
        <v>11</v>
      </c>
      <c r="I797" t="str">
        <f t="shared" si="12"/>
        <v>Alta</v>
      </c>
    </row>
    <row r="798" spans="1:9">
      <c r="A798" t="s">
        <v>534</v>
      </c>
      <c r="B798">
        <v>2026</v>
      </c>
      <c r="C798">
        <v>1</v>
      </c>
      <c r="D798" t="s">
        <v>139</v>
      </c>
      <c r="E798" t="s">
        <v>140</v>
      </c>
      <c r="F798">
        <v>8.3000000000000007</v>
      </c>
      <c r="G798">
        <v>50</v>
      </c>
      <c r="H798" t="s">
        <v>11</v>
      </c>
      <c r="I798" t="str">
        <f t="shared" si="12"/>
        <v>Média</v>
      </c>
    </row>
    <row r="799" spans="1:9">
      <c r="A799" t="s">
        <v>384</v>
      </c>
      <c r="B799">
        <v>2026</v>
      </c>
      <c r="C799">
        <v>2</v>
      </c>
      <c r="D799" t="s">
        <v>9</v>
      </c>
      <c r="E799" t="s">
        <v>12</v>
      </c>
      <c r="F799">
        <v>8.3000000000000007</v>
      </c>
      <c r="G799">
        <v>49.4</v>
      </c>
      <c r="H799" t="s">
        <v>11</v>
      </c>
      <c r="I799" t="str">
        <f t="shared" si="12"/>
        <v>Baixa</v>
      </c>
    </row>
    <row r="800" spans="1:9">
      <c r="A800" t="s">
        <v>406</v>
      </c>
      <c r="B800">
        <v>2026</v>
      </c>
      <c r="C800">
        <v>2</v>
      </c>
      <c r="D800" t="s">
        <v>9</v>
      </c>
      <c r="E800" t="s">
        <v>10</v>
      </c>
      <c r="F800">
        <v>8.3000000000000007</v>
      </c>
      <c r="G800">
        <v>78.5</v>
      </c>
      <c r="H800" t="s">
        <v>11</v>
      </c>
      <c r="I800" t="str">
        <f t="shared" si="12"/>
        <v>Alta</v>
      </c>
    </row>
    <row r="801" spans="1:9">
      <c r="A801" t="s">
        <v>407</v>
      </c>
      <c r="B801">
        <v>2026</v>
      </c>
      <c r="C801">
        <v>2</v>
      </c>
      <c r="D801" t="s">
        <v>9</v>
      </c>
      <c r="E801" t="s">
        <v>10</v>
      </c>
      <c r="F801">
        <v>8.3000000000000007</v>
      </c>
      <c r="G801">
        <v>83.8</v>
      </c>
      <c r="H801" t="s">
        <v>11</v>
      </c>
      <c r="I801" t="str">
        <f t="shared" si="12"/>
        <v>Alta</v>
      </c>
    </row>
    <row r="802" spans="1:9">
      <c r="A802" t="s">
        <v>437</v>
      </c>
      <c r="B802">
        <v>2026</v>
      </c>
      <c r="C802">
        <v>2</v>
      </c>
      <c r="D802" t="s">
        <v>9</v>
      </c>
      <c r="E802" t="s">
        <v>14</v>
      </c>
      <c r="F802">
        <v>8.3000000000000007</v>
      </c>
      <c r="G802">
        <v>67.900000000000006</v>
      </c>
      <c r="H802" t="s">
        <v>11</v>
      </c>
      <c r="I802" t="str">
        <f t="shared" si="12"/>
        <v>Média</v>
      </c>
    </row>
    <row r="803" spans="1:9">
      <c r="A803" t="s">
        <v>489</v>
      </c>
      <c r="B803">
        <v>2026</v>
      </c>
      <c r="C803">
        <v>2</v>
      </c>
      <c r="D803" t="s">
        <v>75</v>
      </c>
      <c r="E803" t="s">
        <v>78</v>
      </c>
      <c r="F803">
        <v>8.3000000000000007</v>
      </c>
      <c r="G803">
        <v>68.900000000000006</v>
      </c>
      <c r="H803" t="s">
        <v>11</v>
      </c>
      <c r="I803" t="str">
        <f t="shared" si="12"/>
        <v>Média</v>
      </c>
    </row>
    <row r="804" spans="1:9">
      <c r="A804" t="s">
        <v>494</v>
      </c>
      <c r="B804">
        <v>2026</v>
      </c>
      <c r="C804">
        <v>2</v>
      </c>
      <c r="D804" t="s">
        <v>75</v>
      </c>
      <c r="E804" t="s">
        <v>78</v>
      </c>
      <c r="F804">
        <v>8.3000000000000007</v>
      </c>
      <c r="G804">
        <v>47</v>
      </c>
      <c r="H804" t="s">
        <v>11</v>
      </c>
      <c r="I804" t="str">
        <f t="shared" si="12"/>
        <v>Baixa</v>
      </c>
    </row>
    <row r="805" spans="1:9">
      <c r="A805" t="s">
        <v>497</v>
      </c>
      <c r="B805">
        <v>2026</v>
      </c>
      <c r="C805">
        <v>2</v>
      </c>
      <c r="D805" t="s">
        <v>75</v>
      </c>
      <c r="E805" t="s">
        <v>78</v>
      </c>
      <c r="F805">
        <v>8.3000000000000007</v>
      </c>
      <c r="G805">
        <v>65.8</v>
      </c>
      <c r="H805" t="s">
        <v>11</v>
      </c>
      <c r="I805" t="str">
        <f t="shared" si="12"/>
        <v>Média</v>
      </c>
    </row>
    <row r="806" spans="1:9">
      <c r="A806" t="s">
        <v>514</v>
      </c>
      <c r="B806">
        <v>2026</v>
      </c>
      <c r="C806">
        <v>2</v>
      </c>
      <c r="D806" t="s">
        <v>139</v>
      </c>
      <c r="E806" t="s">
        <v>141</v>
      </c>
      <c r="F806">
        <v>8.3000000000000007</v>
      </c>
      <c r="G806">
        <v>83.1</v>
      </c>
      <c r="H806" t="s">
        <v>11</v>
      </c>
      <c r="I806" t="str">
        <f t="shared" si="12"/>
        <v>Alta</v>
      </c>
    </row>
    <row r="807" spans="1:9">
      <c r="A807" t="s">
        <v>38</v>
      </c>
      <c r="B807">
        <v>2024</v>
      </c>
      <c r="C807">
        <v>1</v>
      </c>
      <c r="D807" t="s">
        <v>9</v>
      </c>
      <c r="E807" t="s">
        <v>10</v>
      </c>
      <c r="F807">
        <v>8.4</v>
      </c>
      <c r="G807">
        <v>50.9</v>
      </c>
      <c r="H807" t="s">
        <v>11</v>
      </c>
      <c r="I807" t="str">
        <f t="shared" si="12"/>
        <v>Média</v>
      </c>
    </row>
    <row r="808" spans="1:9">
      <c r="A808" t="s">
        <v>51</v>
      </c>
      <c r="B808">
        <v>2024</v>
      </c>
      <c r="C808">
        <v>1</v>
      </c>
      <c r="D808" t="s">
        <v>9</v>
      </c>
      <c r="E808" t="s">
        <v>12</v>
      </c>
      <c r="F808">
        <v>8.4</v>
      </c>
      <c r="G808">
        <v>80.400000000000006</v>
      </c>
      <c r="H808" t="s">
        <v>11</v>
      </c>
      <c r="I808" t="str">
        <f t="shared" si="12"/>
        <v>Alta</v>
      </c>
    </row>
    <row r="809" spans="1:9">
      <c r="A809" t="s">
        <v>97</v>
      </c>
      <c r="B809">
        <v>2024</v>
      </c>
      <c r="C809">
        <v>1</v>
      </c>
      <c r="D809" t="s">
        <v>75</v>
      </c>
      <c r="E809" t="s">
        <v>76</v>
      </c>
      <c r="F809">
        <v>8.4</v>
      </c>
      <c r="G809">
        <v>68.3</v>
      </c>
      <c r="H809" t="s">
        <v>11</v>
      </c>
      <c r="I809" t="str">
        <f t="shared" si="12"/>
        <v>Média</v>
      </c>
    </row>
    <row r="810" spans="1:9">
      <c r="A810" t="s">
        <v>112</v>
      </c>
      <c r="B810">
        <v>2024</v>
      </c>
      <c r="C810">
        <v>1</v>
      </c>
      <c r="D810" t="s">
        <v>75</v>
      </c>
      <c r="E810" t="s">
        <v>78</v>
      </c>
      <c r="F810">
        <v>8.4</v>
      </c>
      <c r="G810">
        <v>64</v>
      </c>
      <c r="H810" t="s">
        <v>11</v>
      </c>
      <c r="I810" t="str">
        <f t="shared" si="12"/>
        <v>Média</v>
      </c>
    </row>
    <row r="811" spans="1:9">
      <c r="A811" t="s">
        <v>120</v>
      </c>
      <c r="B811">
        <v>2024</v>
      </c>
      <c r="C811">
        <v>1</v>
      </c>
      <c r="D811" t="s">
        <v>75</v>
      </c>
      <c r="E811" t="s">
        <v>76</v>
      </c>
      <c r="F811">
        <v>8.4</v>
      </c>
      <c r="G811">
        <v>50.4</v>
      </c>
      <c r="H811" t="s">
        <v>11</v>
      </c>
      <c r="I811" t="str">
        <f t="shared" si="12"/>
        <v>Média</v>
      </c>
    </row>
    <row r="812" spans="1:9">
      <c r="A812" t="s">
        <v>143</v>
      </c>
      <c r="B812">
        <v>2024</v>
      </c>
      <c r="C812">
        <v>1</v>
      </c>
      <c r="D812" t="s">
        <v>139</v>
      </c>
      <c r="E812" t="s">
        <v>140</v>
      </c>
      <c r="F812">
        <v>8.4</v>
      </c>
      <c r="G812">
        <v>72</v>
      </c>
      <c r="H812" t="s">
        <v>11</v>
      </c>
      <c r="I812" t="str">
        <f t="shared" si="12"/>
        <v>Média</v>
      </c>
    </row>
    <row r="813" spans="1:9">
      <c r="A813" t="s">
        <v>189</v>
      </c>
      <c r="B813">
        <v>2024</v>
      </c>
      <c r="C813">
        <v>1</v>
      </c>
      <c r="D813" t="s">
        <v>139</v>
      </c>
      <c r="E813" t="s">
        <v>141</v>
      </c>
      <c r="F813">
        <v>8.4</v>
      </c>
      <c r="G813">
        <v>59.6</v>
      </c>
      <c r="H813" t="s">
        <v>11</v>
      </c>
      <c r="I813" t="str">
        <f t="shared" si="12"/>
        <v>Média</v>
      </c>
    </row>
    <row r="814" spans="1:9">
      <c r="A814" t="s">
        <v>51</v>
      </c>
      <c r="B814">
        <v>2024</v>
      </c>
      <c r="C814">
        <v>2</v>
      </c>
      <c r="D814" t="s">
        <v>9</v>
      </c>
      <c r="E814" t="s">
        <v>10</v>
      </c>
      <c r="F814">
        <v>8.4</v>
      </c>
      <c r="G814">
        <v>82.2</v>
      </c>
      <c r="H814" t="s">
        <v>11</v>
      </c>
      <c r="I814" t="str">
        <f t="shared" si="12"/>
        <v>Alta</v>
      </c>
    </row>
    <row r="815" spans="1:9">
      <c r="A815" t="s">
        <v>90</v>
      </c>
      <c r="B815">
        <v>2024</v>
      </c>
      <c r="C815">
        <v>2</v>
      </c>
      <c r="D815" t="s">
        <v>75</v>
      </c>
      <c r="E815" t="s">
        <v>77</v>
      </c>
      <c r="F815">
        <v>8.4</v>
      </c>
      <c r="G815">
        <v>45.7</v>
      </c>
      <c r="H815" t="s">
        <v>11</v>
      </c>
      <c r="I815" t="str">
        <f t="shared" si="12"/>
        <v>Baixa</v>
      </c>
    </row>
    <row r="816" spans="1:9">
      <c r="A816" t="s">
        <v>158</v>
      </c>
      <c r="B816">
        <v>2024</v>
      </c>
      <c r="C816">
        <v>2</v>
      </c>
      <c r="D816" t="s">
        <v>139</v>
      </c>
      <c r="E816" t="s">
        <v>140</v>
      </c>
      <c r="F816">
        <v>8.4</v>
      </c>
      <c r="G816">
        <v>67.8</v>
      </c>
      <c r="H816" t="s">
        <v>11</v>
      </c>
      <c r="I816" t="str">
        <f t="shared" si="12"/>
        <v>Média</v>
      </c>
    </row>
    <row r="817" spans="1:9">
      <c r="A817" t="s">
        <v>173</v>
      </c>
      <c r="B817">
        <v>2024</v>
      </c>
      <c r="C817">
        <v>2</v>
      </c>
      <c r="D817" t="s">
        <v>139</v>
      </c>
      <c r="E817" t="s">
        <v>141</v>
      </c>
      <c r="F817">
        <v>8.4</v>
      </c>
      <c r="G817">
        <v>76.5</v>
      </c>
      <c r="H817" t="s">
        <v>11</v>
      </c>
      <c r="I817" t="str">
        <f t="shared" si="12"/>
        <v>Alta</v>
      </c>
    </row>
    <row r="818" spans="1:9">
      <c r="A818" t="s">
        <v>221</v>
      </c>
      <c r="B818">
        <v>2025</v>
      </c>
      <c r="C818">
        <v>1</v>
      </c>
      <c r="D818" t="s">
        <v>9</v>
      </c>
      <c r="E818" t="s">
        <v>10</v>
      </c>
      <c r="F818">
        <v>8.4</v>
      </c>
      <c r="G818">
        <v>68.7</v>
      </c>
      <c r="H818" t="s">
        <v>11</v>
      </c>
      <c r="I818" t="str">
        <f t="shared" si="12"/>
        <v>Média</v>
      </c>
    </row>
    <row r="819" spans="1:9">
      <c r="A819" t="s">
        <v>280</v>
      </c>
      <c r="B819">
        <v>2025</v>
      </c>
      <c r="C819">
        <v>1</v>
      </c>
      <c r="D819" t="s">
        <v>75</v>
      </c>
      <c r="E819" t="s">
        <v>76</v>
      </c>
      <c r="F819">
        <v>8.4</v>
      </c>
      <c r="G819">
        <v>77.8</v>
      </c>
      <c r="H819" t="s">
        <v>11</v>
      </c>
      <c r="I819" t="str">
        <f t="shared" si="12"/>
        <v>Alta</v>
      </c>
    </row>
    <row r="820" spans="1:9">
      <c r="A820" t="s">
        <v>304</v>
      </c>
      <c r="B820">
        <v>2025</v>
      </c>
      <c r="C820">
        <v>1</v>
      </c>
      <c r="D820" t="s">
        <v>75</v>
      </c>
      <c r="E820" t="s">
        <v>78</v>
      </c>
      <c r="F820">
        <v>8.4</v>
      </c>
      <c r="G820">
        <v>99.5</v>
      </c>
      <c r="H820" t="s">
        <v>11</v>
      </c>
      <c r="I820" t="str">
        <f t="shared" si="12"/>
        <v>Alta</v>
      </c>
    </row>
    <row r="821" spans="1:9">
      <c r="A821" t="s">
        <v>332</v>
      </c>
      <c r="B821">
        <v>2025</v>
      </c>
      <c r="C821">
        <v>1</v>
      </c>
      <c r="D821" t="s">
        <v>139</v>
      </c>
      <c r="E821" t="s">
        <v>10</v>
      </c>
      <c r="F821">
        <v>8.4</v>
      </c>
      <c r="G821">
        <v>55.3</v>
      </c>
      <c r="H821" t="s">
        <v>11</v>
      </c>
      <c r="I821" t="str">
        <f t="shared" si="12"/>
        <v>Média</v>
      </c>
    </row>
    <row r="822" spans="1:9">
      <c r="A822" t="s">
        <v>334</v>
      </c>
      <c r="B822">
        <v>2025</v>
      </c>
      <c r="C822">
        <v>1</v>
      </c>
      <c r="D822" t="s">
        <v>139</v>
      </c>
      <c r="E822" t="s">
        <v>141</v>
      </c>
      <c r="F822">
        <v>8.4</v>
      </c>
      <c r="G822">
        <v>46.7</v>
      </c>
      <c r="H822" t="s">
        <v>11</v>
      </c>
      <c r="I822" t="str">
        <f t="shared" si="12"/>
        <v>Baixa</v>
      </c>
    </row>
    <row r="823" spans="1:9">
      <c r="A823" t="s">
        <v>371</v>
      </c>
      <c r="B823">
        <v>2025</v>
      </c>
      <c r="C823">
        <v>1</v>
      </c>
      <c r="D823" t="s">
        <v>139</v>
      </c>
      <c r="E823" t="s">
        <v>140</v>
      </c>
      <c r="F823">
        <v>8.4</v>
      </c>
      <c r="G823">
        <v>48</v>
      </c>
      <c r="H823" t="s">
        <v>11</v>
      </c>
      <c r="I823" t="str">
        <f t="shared" si="12"/>
        <v>Baixa</v>
      </c>
    </row>
    <row r="824" spans="1:9">
      <c r="A824" t="s">
        <v>205</v>
      </c>
      <c r="B824">
        <v>2025</v>
      </c>
      <c r="C824">
        <v>2</v>
      </c>
      <c r="D824" t="s">
        <v>9</v>
      </c>
      <c r="E824" t="s">
        <v>12</v>
      </c>
      <c r="F824">
        <v>8.4</v>
      </c>
      <c r="G824">
        <v>45.4</v>
      </c>
      <c r="H824" t="s">
        <v>11</v>
      </c>
      <c r="I824" t="str">
        <f t="shared" si="12"/>
        <v>Baixa</v>
      </c>
    </row>
    <row r="825" spans="1:9">
      <c r="A825" t="s">
        <v>227</v>
      </c>
      <c r="B825">
        <v>2025</v>
      </c>
      <c r="C825">
        <v>2</v>
      </c>
      <c r="D825" t="s">
        <v>9</v>
      </c>
      <c r="E825" t="s">
        <v>14</v>
      </c>
      <c r="F825">
        <v>8.4</v>
      </c>
      <c r="G825">
        <v>89.9</v>
      </c>
      <c r="H825" t="s">
        <v>11</v>
      </c>
      <c r="I825" t="str">
        <f t="shared" si="12"/>
        <v>Alta</v>
      </c>
    </row>
    <row r="826" spans="1:9">
      <c r="A826" t="s">
        <v>234</v>
      </c>
      <c r="B826">
        <v>2025</v>
      </c>
      <c r="C826">
        <v>2</v>
      </c>
      <c r="D826" t="s">
        <v>9</v>
      </c>
      <c r="E826" t="s">
        <v>12</v>
      </c>
      <c r="F826">
        <v>8.4</v>
      </c>
      <c r="G826">
        <v>46.4</v>
      </c>
      <c r="H826" t="s">
        <v>11</v>
      </c>
      <c r="I826" t="str">
        <f t="shared" si="12"/>
        <v>Baixa</v>
      </c>
    </row>
    <row r="827" spans="1:9">
      <c r="A827" t="s">
        <v>375</v>
      </c>
      <c r="B827">
        <v>2025</v>
      </c>
      <c r="C827">
        <v>2</v>
      </c>
      <c r="D827" t="s">
        <v>139</v>
      </c>
      <c r="E827" t="s">
        <v>10</v>
      </c>
      <c r="F827">
        <v>8.4</v>
      </c>
      <c r="G827">
        <v>60</v>
      </c>
      <c r="H827" t="s">
        <v>11</v>
      </c>
      <c r="I827" t="str">
        <f t="shared" si="12"/>
        <v>Média</v>
      </c>
    </row>
    <row r="828" spans="1:9">
      <c r="A828" t="s">
        <v>407</v>
      </c>
      <c r="B828">
        <v>2026</v>
      </c>
      <c r="C828">
        <v>1</v>
      </c>
      <c r="D828" t="s">
        <v>9</v>
      </c>
      <c r="E828" t="s">
        <v>14</v>
      </c>
      <c r="F828">
        <v>8.4</v>
      </c>
      <c r="G828">
        <v>68.8</v>
      </c>
      <c r="H828" t="s">
        <v>11</v>
      </c>
      <c r="I828" t="str">
        <f t="shared" si="12"/>
        <v>Média</v>
      </c>
    </row>
    <row r="829" spans="1:9">
      <c r="A829" t="s">
        <v>499</v>
      </c>
      <c r="B829">
        <v>2026</v>
      </c>
      <c r="C829">
        <v>1</v>
      </c>
      <c r="D829" t="s">
        <v>75</v>
      </c>
      <c r="E829" t="s">
        <v>77</v>
      </c>
      <c r="F829">
        <v>8.4</v>
      </c>
      <c r="G829">
        <v>53.4</v>
      </c>
      <c r="H829" t="s">
        <v>11</v>
      </c>
      <c r="I829" t="str">
        <f t="shared" si="12"/>
        <v>Média</v>
      </c>
    </row>
    <row r="830" spans="1:9">
      <c r="A830" t="s">
        <v>509</v>
      </c>
      <c r="B830">
        <v>2026</v>
      </c>
      <c r="C830">
        <v>1</v>
      </c>
      <c r="D830" t="s">
        <v>139</v>
      </c>
      <c r="E830" t="s">
        <v>140</v>
      </c>
      <c r="F830">
        <v>8.4</v>
      </c>
      <c r="G830">
        <v>70.8</v>
      </c>
      <c r="H830" t="s">
        <v>11</v>
      </c>
      <c r="I830" t="str">
        <f t="shared" si="12"/>
        <v>Média</v>
      </c>
    </row>
    <row r="831" spans="1:9">
      <c r="A831" t="s">
        <v>557</v>
      </c>
      <c r="B831">
        <v>2026</v>
      </c>
      <c r="C831">
        <v>1</v>
      </c>
      <c r="D831" t="s">
        <v>139</v>
      </c>
      <c r="E831" t="s">
        <v>140</v>
      </c>
      <c r="F831">
        <v>8.4</v>
      </c>
      <c r="G831">
        <v>52.7</v>
      </c>
      <c r="H831" t="s">
        <v>11</v>
      </c>
      <c r="I831" t="str">
        <f t="shared" si="12"/>
        <v>Média</v>
      </c>
    </row>
    <row r="832" spans="1:9">
      <c r="A832" t="s">
        <v>560</v>
      </c>
      <c r="B832">
        <v>2026</v>
      </c>
      <c r="C832">
        <v>1</v>
      </c>
      <c r="D832" t="s">
        <v>139</v>
      </c>
      <c r="E832" t="s">
        <v>10</v>
      </c>
      <c r="F832">
        <v>8.4</v>
      </c>
      <c r="G832">
        <v>80.5</v>
      </c>
      <c r="H832" t="s">
        <v>11</v>
      </c>
      <c r="I832" t="str">
        <f t="shared" si="12"/>
        <v>Alta</v>
      </c>
    </row>
    <row r="833" spans="1:9">
      <c r="A833" t="s">
        <v>395</v>
      </c>
      <c r="B833">
        <v>2026</v>
      </c>
      <c r="C833">
        <v>2</v>
      </c>
      <c r="D833" t="s">
        <v>9</v>
      </c>
      <c r="E833" t="s">
        <v>10</v>
      </c>
      <c r="F833">
        <v>8.4</v>
      </c>
      <c r="G833">
        <v>59.9</v>
      </c>
      <c r="H833" t="s">
        <v>11</v>
      </c>
      <c r="I833" t="str">
        <f t="shared" si="12"/>
        <v>Média</v>
      </c>
    </row>
    <row r="834" spans="1:9">
      <c r="A834" t="s">
        <v>417</v>
      </c>
      <c r="B834">
        <v>2026</v>
      </c>
      <c r="C834">
        <v>2</v>
      </c>
      <c r="D834" t="s">
        <v>9</v>
      </c>
      <c r="E834" t="s">
        <v>12</v>
      </c>
      <c r="F834">
        <v>8.4</v>
      </c>
      <c r="G834">
        <v>63.5</v>
      </c>
      <c r="H834" t="s">
        <v>11</v>
      </c>
      <c r="I834" t="str">
        <f t="shared" ref="I834:I897" si="13">IF(G834&lt;50,"Baixa",IF(G834&lt;75,"Média","Alta"))</f>
        <v>Média</v>
      </c>
    </row>
    <row r="835" spans="1:9">
      <c r="A835" t="s">
        <v>530</v>
      </c>
      <c r="B835">
        <v>2026</v>
      </c>
      <c r="C835">
        <v>2</v>
      </c>
      <c r="D835" t="s">
        <v>139</v>
      </c>
      <c r="E835" t="s">
        <v>10</v>
      </c>
      <c r="F835">
        <v>8.4</v>
      </c>
      <c r="G835">
        <v>52.3</v>
      </c>
      <c r="H835" t="s">
        <v>11</v>
      </c>
      <c r="I835" t="str">
        <f t="shared" si="13"/>
        <v>Média</v>
      </c>
    </row>
    <row r="836" spans="1:9">
      <c r="A836" t="s">
        <v>546</v>
      </c>
      <c r="B836">
        <v>2026</v>
      </c>
      <c r="C836">
        <v>2</v>
      </c>
      <c r="D836" t="s">
        <v>139</v>
      </c>
      <c r="E836" t="s">
        <v>140</v>
      </c>
      <c r="F836">
        <v>8.4</v>
      </c>
      <c r="G836">
        <v>61.3</v>
      </c>
      <c r="H836" t="s">
        <v>11</v>
      </c>
      <c r="I836" t="str">
        <f t="shared" si="13"/>
        <v>Média</v>
      </c>
    </row>
    <row r="837" spans="1:9">
      <c r="A837" t="s">
        <v>548</v>
      </c>
      <c r="B837">
        <v>2026</v>
      </c>
      <c r="C837">
        <v>2</v>
      </c>
      <c r="D837" t="s">
        <v>139</v>
      </c>
      <c r="E837" t="s">
        <v>140</v>
      </c>
      <c r="F837">
        <v>8.4</v>
      </c>
      <c r="G837">
        <v>62.4</v>
      </c>
      <c r="H837" t="s">
        <v>11</v>
      </c>
      <c r="I837" t="str">
        <f t="shared" si="13"/>
        <v>Média</v>
      </c>
    </row>
    <row r="838" spans="1:9">
      <c r="A838" t="s">
        <v>19</v>
      </c>
      <c r="B838">
        <v>2024</v>
      </c>
      <c r="C838">
        <v>1</v>
      </c>
      <c r="D838" t="s">
        <v>9</v>
      </c>
      <c r="E838" t="s">
        <v>12</v>
      </c>
      <c r="F838">
        <v>8.5</v>
      </c>
      <c r="G838">
        <v>86.6</v>
      </c>
      <c r="H838" t="s">
        <v>11</v>
      </c>
      <c r="I838" t="str">
        <f t="shared" si="13"/>
        <v>Alta</v>
      </c>
    </row>
    <row r="839" spans="1:9">
      <c r="A839" t="s">
        <v>150</v>
      </c>
      <c r="B839">
        <v>2024</v>
      </c>
      <c r="C839">
        <v>1</v>
      </c>
      <c r="D839" t="s">
        <v>139</v>
      </c>
      <c r="E839" t="s">
        <v>141</v>
      </c>
      <c r="F839">
        <v>8.5</v>
      </c>
      <c r="G839">
        <v>54.9</v>
      </c>
      <c r="H839" t="s">
        <v>11</v>
      </c>
      <c r="I839" t="str">
        <f t="shared" si="13"/>
        <v>Média</v>
      </c>
    </row>
    <row r="840" spans="1:9">
      <c r="A840" t="s">
        <v>192</v>
      </c>
      <c r="B840">
        <v>2024</v>
      </c>
      <c r="C840">
        <v>1</v>
      </c>
      <c r="D840" t="s">
        <v>139</v>
      </c>
      <c r="E840" t="s">
        <v>10</v>
      </c>
      <c r="F840">
        <v>8.5</v>
      </c>
      <c r="G840">
        <v>84.1</v>
      </c>
      <c r="H840" t="s">
        <v>11</v>
      </c>
      <c r="I840" t="str">
        <f t="shared" si="13"/>
        <v>Alta</v>
      </c>
    </row>
    <row r="841" spans="1:9">
      <c r="A841" t="s">
        <v>35</v>
      </c>
      <c r="B841">
        <v>2024</v>
      </c>
      <c r="C841">
        <v>2</v>
      </c>
      <c r="D841" t="s">
        <v>9</v>
      </c>
      <c r="E841" t="s">
        <v>12</v>
      </c>
      <c r="F841">
        <v>8.5</v>
      </c>
      <c r="G841">
        <v>84.3</v>
      </c>
      <c r="H841" t="s">
        <v>11</v>
      </c>
      <c r="I841" t="str">
        <f t="shared" si="13"/>
        <v>Alta</v>
      </c>
    </row>
    <row r="842" spans="1:9">
      <c r="A842" t="s">
        <v>156</v>
      </c>
      <c r="B842">
        <v>2024</v>
      </c>
      <c r="C842">
        <v>2</v>
      </c>
      <c r="D842" t="s">
        <v>139</v>
      </c>
      <c r="E842" t="s">
        <v>140</v>
      </c>
      <c r="F842">
        <v>8.5</v>
      </c>
      <c r="G842">
        <v>45.1</v>
      </c>
      <c r="H842" t="s">
        <v>11</v>
      </c>
      <c r="I842" t="str">
        <f t="shared" si="13"/>
        <v>Baixa</v>
      </c>
    </row>
    <row r="843" spans="1:9">
      <c r="A843" t="s">
        <v>185</v>
      </c>
      <c r="B843">
        <v>2024</v>
      </c>
      <c r="C843">
        <v>2</v>
      </c>
      <c r="D843" t="s">
        <v>139</v>
      </c>
      <c r="E843" t="s">
        <v>10</v>
      </c>
      <c r="F843">
        <v>8.5</v>
      </c>
      <c r="G843">
        <v>56</v>
      </c>
      <c r="H843" t="s">
        <v>11</v>
      </c>
      <c r="I843" t="str">
        <f t="shared" si="13"/>
        <v>Média</v>
      </c>
    </row>
    <row r="844" spans="1:9">
      <c r="A844" t="s">
        <v>312</v>
      </c>
      <c r="B844">
        <v>2025</v>
      </c>
      <c r="C844">
        <v>1</v>
      </c>
      <c r="D844" t="s">
        <v>75</v>
      </c>
      <c r="E844" t="s">
        <v>78</v>
      </c>
      <c r="F844">
        <v>8.5</v>
      </c>
      <c r="G844">
        <v>58.8</v>
      </c>
      <c r="H844" t="s">
        <v>11</v>
      </c>
      <c r="I844" t="str">
        <f t="shared" si="13"/>
        <v>Média</v>
      </c>
    </row>
    <row r="845" spans="1:9">
      <c r="A845" t="s">
        <v>368</v>
      </c>
      <c r="B845">
        <v>2025</v>
      </c>
      <c r="C845">
        <v>1</v>
      </c>
      <c r="D845" t="s">
        <v>139</v>
      </c>
      <c r="E845" t="s">
        <v>10</v>
      </c>
      <c r="F845">
        <v>8.5</v>
      </c>
      <c r="G845">
        <v>70.2</v>
      </c>
      <c r="H845" t="s">
        <v>11</v>
      </c>
      <c r="I845" t="str">
        <f t="shared" si="13"/>
        <v>Média</v>
      </c>
    </row>
    <row r="846" spans="1:9">
      <c r="A846" t="s">
        <v>374</v>
      </c>
      <c r="B846">
        <v>2025</v>
      </c>
      <c r="C846">
        <v>1</v>
      </c>
      <c r="D846" t="s">
        <v>139</v>
      </c>
      <c r="E846" t="s">
        <v>10</v>
      </c>
      <c r="F846">
        <v>8.5</v>
      </c>
      <c r="G846">
        <v>61.2</v>
      </c>
      <c r="H846" t="s">
        <v>11</v>
      </c>
      <c r="I846" t="str">
        <f t="shared" si="13"/>
        <v>Média</v>
      </c>
    </row>
    <row r="847" spans="1:9">
      <c r="A847" t="s">
        <v>206</v>
      </c>
      <c r="B847">
        <v>2025</v>
      </c>
      <c r="C847">
        <v>2</v>
      </c>
      <c r="D847" t="s">
        <v>9</v>
      </c>
      <c r="E847" t="s">
        <v>10</v>
      </c>
      <c r="F847">
        <v>8.5</v>
      </c>
      <c r="G847">
        <v>59.4</v>
      </c>
      <c r="H847" t="s">
        <v>11</v>
      </c>
      <c r="I847" t="str">
        <f t="shared" si="13"/>
        <v>Média</v>
      </c>
    </row>
    <row r="848" spans="1:9">
      <c r="A848" t="s">
        <v>254</v>
      </c>
      <c r="B848">
        <v>2025</v>
      </c>
      <c r="C848">
        <v>2</v>
      </c>
      <c r="D848" t="s">
        <v>9</v>
      </c>
      <c r="E848" t="s">
        <v>12</v>
      </c>
      <c r="F848">
        <v>8.5</v>
      </c>
      <c r="G848">
        <v>55.2</v>
      </c>
      <c r="H848" t="s">
        <v>11</v>
      </c>
      <c r="I848" t="str">
        <f t="shared" si="13"/>
        <v>Média</v>
      </c>
    </row>
    <row r="849" spans="1:9">
      <c r="A849" t="s">
        <v>266</v>
      </c>
      <c r="B849">
        <v>2025</v>
      </c>
      <c r="C849">
        <v>2</v>
      </c>
      <c r="D849" t="s">
        <v>75</v>
      </c>
      <c r="E849" t="s">
        <v>77</v>
      </c>
      <c r="F849">
        <v>8.5</v>
      </c>
      <c r="G849">
        <v>73.8</v>
      </c>
      <c r="H849" t="s">
        <v>11</v>
      </c>
      <c r="I849" t="str">
        <f t="shared" si="13"/>
        <v>Média</v>
      </c>
    </row>
    <row r="850" spans="1:9">
      <c r="A850" t="s">
        <v>280</v>
      </c>
      <c r="B850">
        <v>2025</v>
      </c>
      <c r="C850">
        <v>2</v>
      </c>
      <c r="D850" t="s">
        <v>75</v>
      </c>
      <c r="E850" t="s">
        <v>76</v>
      </c>
      <c r="F850">
        <v>8.5</v>
      </c>
      <c r="G850">
        <v>52</v>
      </c>
      <c r="H850" t="s">
        <v>11</v>
      </c>
      <c r="I850" t="str">
        <f t="shared" si="13"/>
        <v>Média</v>
      </c>
    </row>
    <row r="851" spans="1:9">
      <c r="A851" t="s">
        <v>288</v>
      </c>
      <c r="B851">
        <v>2025</v>
      </c>
      <c r="C851">
        <v>2</v>
      </c>
      <c r="D851" t="s">
        <v>75</v>
      </c>
      <c r="E851" t="s">
        <v>78</v>
      </c>
      <c r="F851">
        <v>8.5</v>
      </c>
      <c r="G851">
        <v>88.8</v>
      </c>
      <c r="H851" t="s">
        <v>11</v>
      </c>
      <c r="I851" t="str">
        <f t="shared" si="13"/>
        <v>Alta</v>
      </c>
    </row>
    <row r="852" spans="1:9">
      <c r="A852" t="s">
        <v>296</v>
      </c>
      <c r="B852">
        <v>2025</v>
      </c>
      <c r="C852">
        <v>2</v>
      </c>
      <c r="D852" t="s">
        <v>75</v>
      </c>
      <c r="E852" t="s">
        <v>78</v>
      </c>
      <c r="F852">
        <v>8.5</v>
      </c>
      <c r="G852">
        <v>73.8</v>
      </c>
      <c r="H852" t="s">
        <v>11</v>
      </c>
      <c r="I852" t="str">
        <f t="shared" si="13"/>
        <v>Média</v>
      </c>
    </row>
    <row r="853" spans="1:9">
      <c r="A853" t="s">
        <v>325</v>
      </c>
      <c r="B853">
        <v>2025</v>
      </c>
      <c r="C853">
        <v>2</v>
      </c>
      <c r="D853" t="s">
        <v>139</v>
      </c>
      <c r="E853" t="s">
        <v>141</v>
      </c>
      <c r="F853">
        <v>8.5</v>
      </c>
      <c r="G853">
        <v>60.9</v>
      </c>
      <c r="H853" t="s">
        <v>11</v>
      </c>
      <c r="I853" t="str">
        <f t="shared" si="13"/>
        <v>Média</v>
      </c>
    </row>
    <row r="854" spans="1:9">
      <c r="A854" t="s">
        <v>351</v>
      </c>
      <c r="B854">
        <v>2025</v>
      </c>
      <c r="C854">
        <v>2</v>
      </c>
      <c r="D854" t="s">
        <v>139</v>
      </c>
      <c r="E854" t="s">
        <v>141</v>
      </c>
      <c r="F854">
        <v>8.5</v>
      </c>
      <c r="G854">
        <v>71</v>
      </c>
      <c r="H854" t="s">
        <v>11</v>
      </c>
      <c r="I854" t="str">
        <f t="shared" si="13"/>
        <v>Média</v>
      </c>
    </row>
    <row r="855" spans="1:9">
      <c r="A855" t="s">
        <v>444</v>
      </c>
      <c r="B855">
        <v>2026</v>
      </c>
      <c r="C855">
        <v>1</v>
      </c>
      <c r="D855" t="s">
        <v>75</v>
      </c>
      <c r="E855" t="s">
        <v>78</v>
      </c>
      <c r="F855">
        <v>8.5</v>
      </c>
      <c r="G855">
        <v>74.8</v>
      </c>
      <c r="H855" t="s">
        <v>11</v>
      </c>
      <c r="I855" t="str">
        <f t="shared" si="13"/>
        <v>Média</v>
      </c>
    </row>
    <row r="856" spans="1:9">
      <c r="A856" t="s">
        <v>478</v>
      </c>
      <c r="B856">
        <v>2026</v>
      </c>
      <c r="C856">
        <v>1</v>
      </c>
      <c r="D856" t="s">
        <v>75</v>
      </c>
      <c r="E856" t="s">
        <v>78</v>
      </c>
      <c r="F856">
        <v>8.5</v>
      </c>
      <c r="G856">
        <v>57.9</v>
      </c>
      <c r="H856" t="s">
        <v>11</v>
      </c>
      <c r="I856" t="str">
        <f t="shared" si="13"/>
        <v>Média</v>
      </c>
    </row>
    <row r="857" spans="1:9">
      <c r="A857" t="s">
        <v>515</v>
      </c>
      <c r="B857">
        <v>2026</v>
      </c>
      <c r="C857">
        <v>1</v>
      </c>
      <c r="D857" t="s">
        <v>139</v>
      </c>
      <c r="E857" t="s">
        <v>141</v>
      </c>
      <c r="F857">
        <v>8.5</v>
      </c>
      <c r="G857">
        <v>57.5</v>
      </c>
      <c r="H857" t="s">
        <v>11</v>
      </c>
      <c r="I857" t="str">
        <f t="shared" si="13"/>
        <v>Média</v>
      </c>
    </row>
    <row r="858" spans="1:9">
      <c r="A858" t="s">
        <v>523</v>
      </c>
      <c r="B858">
        <v>2026</v>
      </c>
      <c r="C858">
        <v>2</v>
      </c>
      <c r="D858" t="s">
        <v>139</v>
      </c>
      <c r="E858" t="s">
        <v>140</v>
      </c>
      <c r="F858">
        <v>8.5</v>
      </c>
      <c r="G858">
        <v>62.9</v>
      </c>
      <c r="H858" t="s">
        <v>11</v>
      </c>
      <c r="I858" t="str">
        <f t="shared" si="13"/>
        <v>Média</v>
      </c>
    </row>
    <row r="859" spans="1:9">
      <c r="A859" t="s">
        <v>57</v>
      </c>
      <c r="B859">
        <v>2024</v>
      </c>
      <c r="C859">
        <v>1</v>
      </c>
      <c r="D859" t="s">
        <v>9</v>
      </c>
      <c r="E859" t="s">
        <v>12</v>
      </c>
      <c r="F859">
        <v>8.6</v>
      </c>
      <c r="G859">
        <v>49.7</v>
      </c>
      <c r="H859" t="s">
        <v>11</v>
      </c>
      <c r="I859" t="str">
        <f t="shared" si="13"/>
        <v>Baixa</v>
      </c>
    </row>
    <row r="860" spans="1:9">
      <c r="A860" t="s">
        <v>142</v>
      </c>
      <c r="B860">
        <v>2024</v>
      </c>
      <c r="C860">
        <v>1</v>
      </c>
      <c r="D860" t="s">
        <v>139</v>
      </c>
      <c r="E860" t="s">
        <v>10</v>
      </c>
      <c r="F860">
        <v>8.6</v>
      </c>
      <c r="G860">
        <v>69.099999999999994</v>
      </c>
      <c r="H860" t="s">
        <v>11</v>
      </c>
      <c r="I860" t="str">
        <f t="shared" si="13"/>
        <v>Média</v>
      </c>
    </row>
    <row r="861" spans="1:9">
      <c r="A861" t="s">
        <v>156</v>
      </c>
      <c r="B861">
        <v>2024</v>
      </c>
      <c r="C861">
        <v>1</v>
      </c>
      <c r="D861" t="s">
        <v>139</v>
      </c>
      <c r="E861" t="s">
        <v>140</v>
      </c>
      <c r="F861">
        <v>8.6</v>
      </c>
      <c r="G861">
        <v>53.1</v>
      </c>
      <c r="H861" t="s">
        <v>11</v>
      </c>
      <c r="I861" t="str">
        <f t="shared" si="13"/>
        <v>Média</v>
      </c>
    </row>
    <row r="862" spans="1:9">
      <c r="A862" t="s">
        <v>54</v>
      </c>
      <c r="B862">
        <v>2024</v>
      </c>
      <c r="C862">
        <v>2</v>
      </c>
      <c r="D862" t="s">
        <v>9</v>
      </c>
      <c r="E862" t="s">
        <v>14</v>
      </c>
      <c r="F862">
        <v>8.6</v>
      </c>
      <c r="G862">
        <v>63</v>
      </c>
      <c r="H862" t="s">
        <v>11</v>
      </c>
      <c r="I862" t="str">
        <f t="shared" si="13"/>
        <v>Média</v>
      </c>
    </row>
    <row r="863" spans="1:9">
      <c r="A863" t="s">
        <v>92</v>
      </c>
      <c r="B863">
        <v>2024</v>
      </c>
      <c r="C863">
        <v>2</v>
      </c>
      <c r="D863" t="s">
        <v>75</v>
      </c>
      <c r="E863" t="s">
        <v>78</v>
      </c>
      <c r="F863">
        <v>8.6</v>
      </c>
      <c r="G863">
        <v>73.5</v>
      </c>
      <c r="H863" t="s">
        <v>11</v>
      </c>
      <c r="I863" t="str">
        <f t="shared" si="13"/>
        <v>Média</v>
      </c>
    </row>
    <row r="864" spans="1:9">
      <c r="A864" t="s">
        <v>125</v>
      </c>
      <c r="B864">
        <v>2024</v>
      </c>
      <c r="C864">
        <v>2</v>
      </c>
      <c r="D864" t="s">
        <v>75</v>
      </c>
      <c r="E864" t="s">
        <v>77</v>
      </c>
      <c r="F864">
        <v>8.6</v>
      </c>
      <c r="G864">
        <v>60.7</v>
      </c>
      <c r="H864" t="s">
        <v>11</v>
      </c>
      <c r="I864" t="str">
        <f t="shared" si="13"/>
        <v>Média</v>
      </c>
    </row>
    <row r="865" spans="1:9">
      <c r="A865" t="s">
        <v>146</v>
      </c>
      <c r="B865">
        <v>2024</v>
      </c>
      <c r="C865">
        <v>2</v>
      </c>
      <c r="D865" t="s">
        <v>139</v>
      </c>
      <c r="E865" t="s">
        <v>141</v>
      </c>
      <c r="F865">
        <v>8.6</v>
      </c>
      <c r="G865">
        <v>68.7</v>
      </c>
      <c r="H865" t="s">
        <v>11</v>
      </c>
      <c r="I865" t="str">
        <f t="shared" si="13"/>
        <v>Média</v>
      </c>
    </row>
    <row r="866" spans="1:9">
      <c r="A866" t="s">
        <v>168</v>
      </c>
      <c r="B866">
        <v>2024</v>
      </c>
      <c r="C866">
        <v>2</v>
      </c>
      <c r="D866" t="s">
        <v>139</v>
      </c>
      <c r="E866" t="s">
        <v>140</v>
      </c>
      <c r="F866">
        <v>8.6</v>
      </c>
      <c r="G866">
        <v>84.8</v>
      </c>
      <c r="H866" t="s">
        <v>11</v>
      </c>
      <c r="I866" t="str">
        <f t="shared" si="13"/>
        <v>Alta</v>
      </c>
    </row>
    <row r="867" spans="1:9">
      <c r="A867" t="s">
        <v>190</v>
      </c>
      <c r="B867">
        <v>2024</v>
      </c>
      <c r="C867">
        <v>2</v>
      </c>
      <c r="D867" t="s">
        <v>139</v>
      </c>
      <c r="E867" t="s">
        <v>141</v>
      </c>
      <c r="F867">
        <v>8.6</v>
      </c>
      <c r="G867">
        <v>64.7</v>
      </c>
      <c r="H867" t="s">
        <v>11</v>
      </c>
      <c r="I867" t="str">
        <f t="shared" si="13"/>
        <v>Média</v>
      </c>
    </row>
    <row r="868" spans="1:9">
      <c r="A868" t="s">
        <v>214</v>
      </c>
      <c r="B868">
        <v>2025</v>
      </c>
      <c r="C868">
        <v>1</v>
      </c>
      <c r="D868" t="s">
        <v>9</v>
      </c>
      <c r="E868" t="s">
        <v>10</v>
      </c>
      <c r="F868">
        <v>8.6</v>
      </c>
      <c r="G868">
        <v>93.1</v>
      </c>
      <c r="H868" t="s">
        <v>11</v>
      </c>
      <c r="I868" t="str">
        <f t="shared" si="13"/>
        <v>Alta</v>
      </c>
    </row>
    <row r="869" spans="1:9">
      <c r="A869" t="s">
        <v>259</v>
      </c>
      <c r="B869">
        <v>2025</v>
      </c>
      <c r="C869">
        <v>1</v>
      </c>
      <c r="D869" t="s">
        <v>9</v>
      </c>
      <c r="E869" t="s">
        <v>12</v>
      </c>
      <c r="F869">
        <v>8.6</v>
      </c>
      <c r="G869">
        <v>47.9</v>
      </c>
      <c r="H869" t="s">
        <v>11</v>
      </c>
      <c r="I869" t="str">
        <f t="shared" si="13"/>
        <v>Baixa</v>
      </c>
    </row>
    <row r="870" spans="1:9">
      <c r="A870" t="s">
        <v>346</v>
      </c>
      <c r="B870">
        <v>2025</v>
      </c>
      <c r="C870">
        <v>1</v>
      </c>
      <c r="D870" t="s">
        <v>139</v>
      </c>
      <c r="E870" t="s">
        <v>140</v>
      </c>
      <c r="F870">
        <v>8.6</v>
      </c>
      <c r="G870">
        <v>72</v>
      </c>
      <c r="H870" t="s">
        <v>11</v>
      </c>
      <c r="I870" t="str">
        <f t="shared" si="13"/>
        <v>Média</v>
      </c>
    </row>
    <row r="871" spans="1:9">
      <c r="A871" t="s">
        <v>374</v>
      </c>
      <c r="B871">
        <v>2025</v>
      </c>
      <c r="C871">
        <v>1</v>
      </c>
      <c r="D871" t="s">
        <v>139</v>
      </c>
      <c r="E871" t="s">
        <v>140</v>
      </c>
      <c r="F871">
        <v>8.6</v>
      </c>
      <c r="G871">
        <v>82.5</v>
      </c>
      <c r="H871" t="s">
        <v>11</v>
      </c>
      <c r="I871" t="str">
        <f t="shared" si="13"/>
        <v>Alta</v>
      </c>
    </row>
    <row r="872" spans="1:9">
      <c r="A872" t="s">
        <v>217</v>
      </c>
      <c r="B872">
        <v>2025</v>
      </c>
      <c r="C872">
        <v>2</v>
      </c>
      <c r="D872" t="s">
        <v>9</v>
      </c>
      <c r="E872" t="s">
        <v>10</v>
      </c>
      <c r="F872">
        <v>8.6</v>
      </c>
      <c r="G872">
        <v>53.6</v>
      </c>
      <c r="H872" t="s">
        <v>11</v>
      </c>
      <c r="I872" t="str">
        <f t="shared" si="13"/>
        <v>Média</v>
      </c>
    </row>
    <row r="873" spans="1:9">
      <c r="A873" t="s">
        <v>249</v>
      </c>
      <c r="B873">
        <v>2025</v>
      </c>
      <c r="C873">
        <v>2</v>
      </c>
      <c r="D873" t="s">
        <v>9</v>
      </c>
      <c r="E873" t="s">
        <v>10</v>
      </c>
      <c r="F873">
        <v>8.6</v>
      </c>
      <c r="G873">
        <v>52</v>
      </c>
      <c r="H873" t="s">
        <v>11</v>
      </c>
      <c r="I873" t="str">
        <f t="shared" si="13"/>
        <v>Média</v>
      </c>
    </row>
    <row r="874" spans="1:9">
      <c r="A874" t="s">
        <v>274</v>
      </c>
      <c r="B874">
        <v>2025</v>
      </c>
      <c r="C874">
        <v>2</v>
      </c>
      <c r="D874" t="s">
        <v>75</v>
      </c>
      <c r="E874" t="s">
        <v>76</v>
      </c>
      <c r="F874">
        <v>8.6</v>
      </c>
      <c r="G874">
        <v>50.5</v>
      </c>
      <c r="H874" t="s">
        <v>11</v>
      </c>
      <c r="I874" t="str">
        <f t="shared" si="13"/>
        <v>Média</v>
      </c>
    </row>
    <row r="875" spans="1:9">
      <c r="A875" t="s">
        <v>279</v>
      </c>
      <c r="B875">
        <v>2025</v>
      </c>
      <c r="C875">
        <v>2</v>
      </c>
      <c r="D875" t="s">
        <v>75</v>
      </c>
      <c r="E875" t="s">
        <v>77</v>
      </c>
      <c r="F875">
        <v>8.6</v>
      </c>
      <c r="G875">
        <v>51.9</v>
      </c>
      <c r="H875" t="s">
        <v>11</v>
      </c>
      <c r="I875" t="str">
        <f t="shared" si="13"/>
        <v>Média</v>
      </c>
    </row>
    <row r="876" spans="1:9">
      <c r="A876" t="s">
        <v>311</v>
      </c>
      <c r="B876">
        <v>2025</v>
      </c>
      <c r="C876">
        <v>2</v>
      </c>
      <c r="D876" t="s">
        <v>75</v>
      </c>
      <c r="E876" t="s">
        <v>78</v>
      </c>
      <c r="F876">
        <v>8.6</v>
      </c>
      <c r="G876">
        <v>50.8</v>
      </c>
      <c r="H876" t="s">
        <v>11</v>
      </c>
      <c r="I876" t="str">
        <f t="shared" si="13"/>
        <v>Média</v>
      </c>
    </row>
    <row r="877" spans="1:9">
      <c r="A877" t="s">
        <v>337</v>
      </c>
      <c r="B877">
        <v>2025</v>
      </c>
      <c r="C877">
        <v>2</v>
      </c>
      <c r="D877" t="s">
        <v>139</v>
      </c>
      <c r="E877" t="s">
        <v>10</v>
      </c>
      <c r="F877">
        <v>8.6</v>
      </c>
      <c r="G877">
        <v>48</v>
      </c>
      <c r="H877" t="s">
        <v>11</v>
      </c>
      <c r="I877" t="str">
        <f t="shared" si="13"/>
        <v>Baixa</v>
      </c>
    </row>
    <row r="878" spans="1:9">
      <c r="A878" t="s">
        <v>379</v>
      </c>
      <c r="B878">
        <v>2025</v>
      </c>
      <c r="C878">
        <v>2</v>
      </c>
      <c r="D878" t="s">
        <v>139</v>
      </c>
      <c r="E878" t="s">
        <v>10</v>
      </c>
      <c r="F878">
        <v>8.6</v>
      </c>
      <c r="G878">
        <v>66.3</v>
      </c>
      <c r="H878" t="s">
        <v>11</v>
      </c>
      <c r="I878" t="str">
        <f t="shared" si="13"/>
        <v>Média</v>
      </c>
    </row>
    <row r="879" spans="1:9">
      <c r="A879" t="s">
        <v>390</v>
      </c>
      <c r="B879">
        <v>2026</v>
      </c>
      <c r="C879">
        <v>1</v>
      </c>
      <c r="D879" t="s">
        <v>9</v>
      </c>
      <c r="E879" t="s">
        <v>10</v>
      </c>
      <c r="F879">
        <v>8.6</v>
      </c>
      <c r="G879">
        <v>69.3</v>
      </c>
      <c r="H879" t="s">
        <v>11</v>
      </c>
      <c r="I879" t="str">
        <f t="shared" si="13"/>
        <v>Média</v>
      </c>
    </row>
    <row r="880" spans="1:9">
      <c r="A880" t="s">
        <v>407</v>
      </c>
      <c r="B880">
        <v>2026</v>
      </c>
      <c r="C880">
        <v>1</v>
      </c>
      <c r="D880" t="s">
        <v>9</v>
      </c>
      <c r="E880" t="s">
        <v>12</v>
      </c>
      <c r="F880">
        <v>8.6</v>
      </c>
      <c r="G880">
        <v>72.599999999999994</v>
      </c>
      <c r="H880" t="s">
        <v>11</v>
      </c>
      <c r="I880" t="str">
        <f t="shared" si="13"/>
        <v>Média</v>
      </c>
    </row>
    <row r="881" spans="1:9">
      <c r="A881" t="s">
        <v>483</v>
      </c>
      <c r="B881">
        <v>2026</v>
      </c>
      <c r="C881">
        <v>1</v>
      </c>
      <c r="D881" t="s">
        <v>75</v>
      </c>
      <c r="E881" t="s">
        <v>76</v>
      </c>
      <c r="F881">
        <v>8.6</v>
      </c>
      <c r="G881">
        <v>49.6</v>
      </c>
      <c r="H881" t="s">
        <v>11</v>
      </c>
      <c r="I881" t="str">
        <f t="shared" si="13"/>
        <v>Baixa</v>
      </c>
    </row>
    <row r="882" spans="1:9">
      <c r="A882" t="s">
        <v>495</v>
      </c>
      <c r="B882">
        <v>2026</v>
      </c>
      <c r="C882">
        <v>1</v>
      </c>
      <c r="D882" t="s">
        <v>75</v>
      </c>
      <c r="E882" t="s">
        <v>76</v>
      </c>
      <c r="F882">
        <v>8.6</v>
      </c>
      <c r="G882">
        <v>71.3</v>
      </c>
      <c r="H882" t="s">
        <v>11</v>
      </c>
      <c r="I882" t="str">
        <f t="shared" si="13"/>
        <v>Média</v>
      </c>
    </row>
    <row r="883" spans="1:9">
      <c r="A883" t="s">
        <v>508</v>
      </c>
      <c r="B883">
        <v>2026</v>
      </c>
      <c r="C883">
        <v>1</v>
      </c>
      <c r="D883" t="s">
        <v>139</v>
      </c>
      <c r="E883" t="s">
        <v>10</v>
      </c>
      <c r="F883">
        <v>8.6</v>
      </c>
      <c r="G883">
        <v>91.2</v>
      </c>
      <c r="H883" t="s">
        <v>11</v>
      </c>
      <c r="I883" t="str">
        <f t="shared" si="13"/>
        <v>Alta</v>
      </c>
    </row>
    <row r="884" spans="1:9">
      <c r="A884" t="s">
        <v>383</v>
      </c>
      <c r="B884">
        <v>2026</v>
      </c>
      <c r="C884">
        <v>2</v>
      </c>
      <c r="D884" t="s">
        <v>9</v>
      </c>
      <c r="E884" t="s">
        <v>14</v>
      </c>
      <c r="F884">
        <v>8.6</v>
      </c>
      <c r="G884">
        <v>68.2</v>
      </c>
      <c r="H884" t="s">
        <v>11</v>
      </c>
      <c r="I884" t="str">
        <f t="shared" si="13"/>
        <v>Média</v>
      </c>
    </row>
    <row r="885" spans="1:9">
      <c r="A885" t="s">
        <v>470</v>
      </c>
      <c r="B885">
        <v>2026</v>
      </c>
      <c r="C885">
        <v>2</v>
      </c>
      <c r="D885" t="s">
        <v>75</v>
      </c>
      <c r="E885" t="s">
        <v>78</v>
      </c>
      <c r="F885">
        <v>8.6</v>
      </c>
      <c r="G885">
        <v>66.099999999999994</v>
      </c>
      <c r="H885" t="s">
        <v>11</v>
      </c>
      <c r="I885" t="str">
        <f t="shared" si="13"/>
        <v>Média</v>
      </c>
    </row>
    <row r="886" spans="1:9">
      <c r="A886" t="s">
        <v>497</v>
      </c>
      <c r="B886">
        <v>2026</v>
      </c>
      <c r="C886">
        <v>2</v>
      </c>
      <c r="D886" t="s">
        <v>75</v>
      </c>
      <c r="E886" t="s">
        <v>77</v>
      </c>
      <c r="F886">
        <v>8.6</v>
      </c>
      <c r="G886">
        <v>77.5</v>
      </c>
      <c r="H886" t="s">
        <v>11</v>
      </c>
      <c r="I886" t="str">
        <f t="shared" si="13"/>
        <v>Alta</v>
      </c>
    </row>
    <row r="887" spans="1:9">
      <c r="A887" t="s">
        <v>498</v>
      </c>
      <c r="B887">
        <v>2026</v>
      </c>
      <c r="C887">
        <v>2</v>
      </c>
      <c r="D887" t="s">
        <v>75</v>
      </c>
      <c r="E887" t="s">
        <v>77</v>
      </c>
      <c r="F887">
        <v>8.6</v>
      </c>
      <c r="G887">
        <v>89.2</v>
      </c>
      <c r="H887" t="s">
        <v>11</v>
      </c>
      <c r="I887" t="str">
        <f t="shared" si="13"/>
        <v>Alta</v>
      </c>
    </row>
    <row r="888" spans="1:9">
      <c r="A888" t="s">
        <v>532</v>
      </c>
      <c r="B888">
        <v>2026</v>
      </c>
      <c r="C888">
        <v>2</v>
      </c>
      <c r="D888" t="s">
        <v>139</v>
      </c>
      <c r="E888" t="s">
        <v>10</v>
      </c>
      <c r="F888">
        <v>8.6</v>
      </c>
      <c r="G888">
        <v>64.5</v>
      </c>
      <c r="H888" t="s">
        <v>11</v>
      </c>
      <c r="I888" t="str">
        <f t="shared" si="13"/>
        <v>Média</v>
      </c>
    </row>
    <row r="889" spans="1:9">
      <c r="A889" t="s">
        <v>537</v>
      </c>
      <c r="B889">
        <v>2026</v>
      </c>
      <c r="C889">
        <v>2</v>
      </c>
      <c r="D889" t="s">
        <v>139</v>
      </c>
      <c r="E889" t="s">
        <v>10</v>
      </c>
      <c r="F889">
        <v>8.6</v>
      </c>
      <c r="G889">
        <v>68.8</v>
      </c>
      <c r="H889" t="s">
        <v>11</v>
      </c>
      <c r="I889" t="str">
        <f t="shared" si="13"/>
        <v>Média</v>
      </c>
    </row>
    <row r="890" spans="1:9">
      <c r="A890" t="s">
        <v>550</v>
      </c>
      <c r="B890">
        <v>2026</v>
      </c>
      <c r="C890">
        <v>2</v>
      </c>
      <c r="D890" t="s">
        <v>139</v>
      </c>
      <c r="E890" t="s">
        <v>141</v>
      </c>
      <c r="F890">
        <v>8.6</v>
      </c>
      <c r="G890">
        <v>45.4</v>
      </c>
      <c r="H890" t="s">
        <v>11</v>
      </c>
      <c r="I890" t="str">
        <f t="shared" si="13"/>
        <v>Baixa</v>
      </c>
    </row>
    <row r="891" spans="1:9">
      <c r="A891" t="s">
        <v>550</v>
      </c>
      <c r="B891">
        <v>2026</v>
      </c>
      <c r="C891">
        <v>2</v>
      </c>
      <c r="D891" t="s">
        <v>139</v>
      </c>
      <c r="E891" t="s">
        <v>10</v>
      </c>
      <c r="F891">
        <v>8.6</v>
      </c>
      <c r="G891">
        <v>82.7</v>
      </c>
      <c r="H891" t="s">
        <v>11</v>
      </c>
      <c r="I891" t="str">
        <f t="shared" si="13"/>
        <v>Alta</v>
      </c>
    </row>
    <row r="892" spans="1:9">
      <c r="A892" t="s">
        <v>551</v>
      </c>
      <c r="B892">
        <v>2026</v>
      </c>
      <c r="C892">
        <v>2</v>
      </c>
      <c r="D892" t="s">
        <v>139</v>
      </c>
      <c r="E892" t="s">
        <v>141</v>
      </c>
      <c r="F892">
        <v>8.6</v>
      </c>
      <c r="G892">
        <v>60.5</v>
      </c>
      <c r="H892" t="s">
        <v>11</v>
      </c>
      <c r="I892" t="str">
        <f t="shared" si="13"/>
        <v>Média</v>
      </c>
    </row>
    <row r="893" spans="1:9">
      <c r="A893" t="s">
        <v>19</v>
      </c>
      <c r="B893">
        <v>2024</v>
      </c>
      <c r="C893">
        <v>1</v>
      </c>
      <c r="D893" t="s">
        <v>9</v>
      </c>
      <c r="E893" t="s">
        <v>10</v>
      </c>
      <c r="F893">
        <v>8.6999999999999993</v>
      </c>
      <c r="G893">
        <v>86.4</v>
      </c>
      <c r="H893" t="s">
        <v>11</v>
      </c>
      <c r="I893" t="str">
        <f t="shared" si="13"/>
        <v>Alta</v>
      </c>
    </row>
    <row r="894" spans="1:9">
      <c r="A894" t="s">
        <v>31</v>
      </c>
      <c r="B894">
        <v>2024</v>
      </c>
      <c r="C894">
        <v>1</v>
      </c>
      <c r="D894" t="s">
        <v>9</v>
      </c>
      <c r="E894" t="s">
        <v>10</v>
      </c>
      <c r="F894">
        <v>8.6999999999999993</v>
      </c>
      <c r="G894">
        <v>62.7</v>
      </c>
      <c r="H894" t="s">
        <v>11</v>
      </c>
      <c r="I894" t="str">
        <f t="shared" si="13"/>
        <v>Média</v>
      </c>
    </row>
    <row r="895" spans="1:9">
      <c r="A895" t="s">
        <v>131</v>
      </c>
      <c r="B895">
        <v>2024</v>
      </c>
      <c r="C895">
        <v>1</v>
      </c>
      <c r="D895" t="s">
        <v>75</v>
      </c>
      <c r="E895" t="s">
        <v>76</v>
      </c>
      <c r="F895">
        <v>8.6999999999999993</v>
      </c>
      <c r="G895">
        <v>47.5</v>
      </c>
      <c r="H895" t="s">
        <v>11</v>
      </c>
      <c r="I895" t="str">
        <f t="shared" si="13"/>
        <v>Baixa</v>
      </c>
    </row>
    <row r="896" spans="1:9">
      <c r="A896" t="s">
        <v>179</v>
      </c>
      <c r="B896">
        <v>2024</v>
      </c>
      <c r="C896">
        <v>1</v>
      </c>
      <c r="D896" t="s">
        <v>139</v>
      </c>
      <c r="E896" t="s">
        <v>10</v>
      </c>
      <c r="F896">
        <v>8.6999999999999993</v>
      </c>
      <c r="G896">
        <v>55.4</v>
      </c>
      <c r="H896" t="s">
        <v>11</v>
      </c>
      <c r="I896" t="str">
        <f t="shared" si="13"/>
        <v>Média</v>
      </c>
    </row>
    <row r="897" spans="1:9">
      <c r="A897" t="s">
        <v>33</v>
      </c>
      <c r="B897">
        <v>2024</v>
      </c>
      <c r="C897">
        <v>2</v>
      </c>
      <c r="D897" t="s">
        <v>9</v>
      </c>
      <c r="E897" t="s">
        <v>14</v>
      </c>
      <c r="F897">
        <v>8.6999999999999993</v>
      </c>
      <c r="G897">
        <v>64.599999999999994</v>
      </c>
      <c r="H897" t="s">
        <v>11</v>
      </c>
      <c r="I897" t="str">
        <f t="shared" si="13"/>
        <v>Média</v>
      </c>
    </row>
    <row r="898" spans="1:9">
      <c r="A898" t="s">
        <v>41</v>
      </c>
      <c r="B898">
        <v>2024</v>
      </c>
      <c r="C898">
        <v>2</v>
      </c>
      <c r="D898" t="s">
        <v>9</v>
      </c>
      <c r="E898" t="s">
        <v>12</v>
      </c>
      <c r="F898">
        <v>8.6999999999999993</v>
      </c>
      <c r="G898">
        <v>59.3</v>
      </c>
      <c r="H898" t="s">
        <v>11</v>
      </c>
      <c r="I898" t="str">
        <f t="shared" ref="I898:I961" si="14">IF(G898&lt;50,"Baixa",IF(G898&lt;75,"Média","Alta"))</f>
        <v>Média</v>
      </c>
    </row>
    <row r="899" spans="1:9">
      <c r="A899" t="s">
        <v>65</v>
      </c>
      <c r="B899">
        <v>2024</v>
      </c>
      <c r="C899">
        <v>2</v>
      </c>
      <c r="D899" t="s">
        <v>9</v>
      </c>
      <c r="E899" t="s">
        <v>14</v>
      </c>
      <c r="F899">
        <v>8.6999999999999993</v>
      </c>
      <c r="G899">
        <v>56.1</v>
      </c>
      <c r="H899" t="s">
        <v>11</v>
      </c>
      <c r="I899" t="str">
        <f t="shared" si="14"/>
        <v>Média</v>
      </c>
    </row>
    <row r="900" spans="1:9">
      <c r="A900" t="s">
        <v>67</v>
      </c>
      <c r="B900">
        <v>2024</v>
      </c>
      <c r="C900">
        <v>2</v>
      </c>
      <c r="D900" t="s">
        <v>9</v>
      </c>
      <c r="E900" t="s">
        <v>14</v>
      </c>
      <c r="F900">
        <v>8.6999999999999993</v>
      </c>
      <c r="G900">
        <v>69.599999999999994</v>
      </c>
      <c r="H900" t="s">
        <v>11</v>
      </c>
      <c r="I900" t="str">
        <f t="shared" si="14"/>
        <v>Média</v>
      </c>
    </row>
    <row r="901" spans="1:9">
      <c r="A901" t="s">
        <v>69</v>
      </c>
      <c r="B901">
        <v>2024</v>
      </c>
      <c r="C901">
        <v>2</v>
      </c>
      <c r="D901" t="s">
        <v>9</v>
      </c>
      <c r="E901" t="s">
        <v>10</v>
      </c>
      <c r="F901">
        <v>8.6999999999999993</v>
      </c>
      <c r="G901">
        <v>77.3</v>
      </c>
      <c r="H901" t="s">
        <v>11</v>
      </c>
      <c r="I901" t="str">
        <f t="shared" si="14"/>
        <v>Alta</v>
      </c>
    </row>
    <row r="902" spans="1:9">
      <c r="A902" t="s">
        <v>93</v>
      </c>
      <c r="B902">
        <v>2024</v>
      </c>
      <c r="C902">
        <v>2</v>
      </c>
      <c r="D902" t="s">
        <v>75</v>
      </c>
      <c r="E902" t="s">
        <v>78</v>
      </c>
      <c r="F902">
        <v>8.6999999999999993</v>
      </c>
      <c r="G902">
        <v>75</v>
      </c>
      <c r="H902" t="s">
        <v>11</v>
      </c>
      <c r="I902" t="str">
        <f t="shared" si="14"/>
        <v>Alta</v>
      </c>
    </row>
    <row r="903" spans="1:9">
      <c r="A903" t="s">
        <v>104</v>
      </c>
      <c r="B903">
        <v>2024</v>
      </c>
      <c r="C903">
        <v>2</v>
      </c>
      <c r="D903" t="s">
        <v>75</v>
      </c>
      <c r="E903" t="s">
        <v>76</v>
      </c>
      <c r="F903">
        <v>8.6999999999999993</v>
      </c>
      <c r="G903">
        <v>66.5</v>
      </c>
      <c r="H903" t="s">
        <v>11</v>
      </c>
      <c r="I903" t="str">
        <f t="shared" si="14"/>
        <v>Média</v>
      </c>
    </row>
    <row r="904" spans="1:9">
      <c r="A904" t="s">
        <v>125</v>
      </c>
      <c r="B904">
        <v>2024</v>
      </c>
      <c r="C904">
        <v>2</v>
      </c>
      <c r="D904" t="s">
        <v>75</v>
      </c>
      <c r="E904" t="s">
        <v>76</v>
      </c>
      <c r="F904">
        <v>8.6999999999999993</v>
      </c>
      <c r="G904">
        <v>53</v>
      </c>
      <c r="H904" t="s">
        <v>11</v>
      </c>
      <c r="I904" t="str">
        <f t="shared" si="14"/>
        <v>Média</v>
      </c>
    </row>
    <row r="905" spans="1:9">
      <c r="A905" t="s">
        <v>145</v>
      </c>
      <c r="B905">
        <v>2024</v>
      </c>
      <c r="C905">
        <v>2</v>
      </c>
      <c r="D905" t="s">
        <v>139</v>
      </c>
      <c r="E905" t="s">
        <v>10</v>
      </c>
      <c r="F905">
        <v>8.6999999999999993</v>
      </c>
      <c r="G905">
        <v>80.7</v>
      </c>
      <c r="H905" t="s">
        <v>11</v>
      </c>
      <c r="I905" t="str">
        <f t="shared" si="14"/>
        <v>Alta</v>
      </c>
    </row>
    <row r="906" spans="1:9">
      <c r="A906" t="s">
        <v>166</v>
      </c>
      <c r="B906">
        <v>2024</v>
      </c>
      <c r="C906">
        <v>2</v>
      </c>
      <c r="D906" t="s">
        <v>139</v>
      </c>
      <c r="E906" t="s">
        <v>10</v>
      </c>
      <c r="F906">
        <v>8.6999999999999993</v>
      </c>
      <c r="G906">
        <v>77.8</v>
      </c>
      <c r="H906" t="s">
        <v>11</v>
      </c>
      <c r="I906" t="str">
        <f t="shared" si="14"/>
        <v>Alta</v>
      </c>
    </row>
    <row r="907" spans="1:9">
      <c r="A907" t="s">
        <v>180</v>
      </c>
      <c r="B907">
        <v>2024</v>
      </c>
      <c r="C907">
        <v>2</v>
      </c>
      <c r="D907" t="s">
        <v>139</v>
      </c>
      <c r="E907" t="s">
        <v>140</v>
      </c>
      <c r="F907">
        <v>8.6999999999999993</v>
      </c>
      <c r="G907">
        <v>96.6</v>
      </c>
      <c r="H907" t="s">
        <v>11</v>
      </c>
      <c r="I907" t="str">
        <f t="shared" si="14"/>
        <v>Alta</v>
      </c>
    </row>
    <row r="908" spans="1:9">
      <c r="A908" t="s">
        <v>180</v>
      </c>
      <c r="B908">
        <v>2024</v>
      </c>
      <c r="C908">
        <v>2</v>
      </c>
      <c r="D908" t="s">
        <v>139</v>
      </c>
      <c r="E908" t="s">
        <v>141</v>
      </c>
      <c r="F908">
        <v>8.6999999999999993</v>
      </c>
      <c r="G908">
        <v>85.8</v>
      </c>
      <c r="H908" t="s">
        <v>11</v>
      </c>
      <c r="I908" t="str">
        <f t="shared" si="14"/>
        <v>Alta</v>
      </c>
    </row>
    <row r="909" spans="1:9">
      <c r="A909" t="s">
        <v>186</v>
      </c>
      <c r="B909">
        <v>2024</v>
      </c>
      <c r="C909">
        <v>2</v>
      </c>
      <c r="D909" t="s">
        <v>139</v>
      </c>
      <c r="E909" t="s">
        <v>141</v>
      </c>
      <c r="F909">
        <v>8.6999999999999993</v>
      </c>
      <c r="G909">
        <v>79.5</v>
      </c>
      <c r="H909" t="s">
        <v>11</v>
      </c>
      <c r="I909" t="str">
        <f t="shared" si="14"/>
        <v>Alta</v>
      </c>
    </row>
    <row r="910" spans="1:9">
      <c r="A910" t="s">
        <v>247</v>
      </c>
      <c r="B910">
        <v>2025</v>
      </c>
      <c r="C910">
        <v>1</v>
      </c>
      <c r="D910" t="s">
        <v>9</v>
      </c>
      <c r="E910" t="s">
        <v>14</v>
      </c>
      <c r="F910">
        <v>8.6999999999999993</v>
      </c>
      <c r="G910">
        <v>48.3</v>
      </c>
      <c r="H910" t="s">
        <v>11</v>
      </c>
      <c r="I910" t="str">
        <f t="shared" si="14"/>
        <v>Baixa</v>
      </c>
    </row>
    <row r="911" spans="1:9">
      <c r="A911" t="s">
        <v>271</v>
      </c>
      <c r="B911">
        <v>2025</v>
      </c>
      <c r="C911">
        <v>1</v>
      </c>
      <c r="D911" t="s">
        <v>75</v>
      </c>
      <c r="E911" t="s">
        <v>78</v>
      </c>
      <c r="F911">
        <v>8.6999999999999993</v>
      </c>
      <c r="G911">
        <v>63.1</v>
      </c>
      <c r="H911" t="s">
        <v>11</v>
      </c>
      <c r="I911" t="str">
        <f t="shared" si="14"/>
        <v>Média</v>
      </c>
    </row>
    <row r="912" spans="1:9">
      <c r="A912" t="s">
        <v>284</v>
      </c>
      <c r="B912">
        <v>2025</v>
      </c>
      <c r="C912">
        <v>1</v>
      </c>
      <c r="D912" t="s">
        <v>75</v>
      </c>
      <c r="E912" t="s">
        <v>78</v>
      </c>
      <c r="F912">
        <v>8.6999999999999993</v>
      </c>
      <c r="G912">
        <v>60.4</v>
      </c>
      <c r="H912" t="s">
        <v>11</v>
      </c>
      <c r="I912" t="str">
        <f t="shared" si="14"/>
        <v>Média</v>
      </c>
    </row>
    <row r="913" spans="1:9">
      <c r="A913" t="s">
        <v>300</v>
      </c>
      <c r="B913">
        <v>2025</v>
      </c>
      <c r="C913">
        <v>1</v>
      </c>
      <c r="D913" t="s">
        <v>75</v>
      </c>
      <c r="E913" t="s">
        <v>77</v>
      </c>
      <c r="F913">
        <v>8.6999999999999993</v>
      </c>
      <c r="G913">
        <v>59.1</v>
      </c>
      <c r="H913" t="s">
        <v>11</v>
      </c>
      <c r="I913" t="str">
        <f t="shared" si="14"/>
        <v>Média</v>
      </c>
    </row>
    <row r="914" spans="1:9">
      <c r="A914" t="s">
        <v>337</v>
      </c>
      <c r="B914">
        <v>2025</v>
      </c>
      <c r="C914">
        <v>1</v>
      </c>
      <c r="D914" t="s">
        <v>139</v>
      </c>
      <c r="E914" t="s">
        <v>140</v>
      </c>
      <c r="F914">
        <v>8.6999999999999993</v>
      </c>
      <c r="G914">
        <v>61.7</v>
      </c>
      <c r="H914" t="s">
        <v>11</v>
      </c>
      <c r="I914" t="str">
        <f t="shared" si="14"/>
        <v>Média</v>
      </c>
    </row>
    <row r="915" spans="1:9">
      <c r="A915" t="s">
        <v>231</v>
      </c>
      <c r="B915">
        <v>2025</v>
      </c>
      <c r="C915">
        <v>2</v>
      </c>
      <c r="D915" t="s">
        <v>9</v>
      </c>
      <c r="E915" t="s">
        <v>12</v>
      </c>
      <c r="F915">
        <v>8.6999999999999993</v>
      </c>
      <c r="G915">
        <v>72.7</v>
      </c>
      <c r="H915" t="s">
        <v>11</v>
      </c>
      <c r="I915" t="str">
        <f t="shared" si="14"/>
        <v>Média</v>
      </c>
    </row>
    <row r="916" spans="1:9">
      <c r="A916" t="s">
        <v>254</v>
      </c>
      <c r="B916">
        <v>2025</v>
      </c>
      <c r="C916">
        <v>2</v>
      </c>
      <c r="D916" t="s">
        <v>9</v>
      </c>
      <c r="E916" t="s">
        <v>14</v>
      </c>
      <c r="F916">
        <v>8.6999999999999993</v>
      </c>
      <c r="G916">
        <v>48.4</v>
      </c>
      <c r="H916" t="s">
        <v>11</v>
      </c>
      <c r="I916" t="str">
        <f t="shared" si="14"/>
        <v>Baixa</v>
      </c>
    </row>
    <row r="917" spans="1:9">
      <c r="A917" t="s">
        <v>277</v>
      </c>
      <c r="B917">
        <v>2025</v>
      </c>
      <c r="C917">
        <v>2</v>
      </c>
      <c r="D917" t="s">
        <v>75</v>
      </c>
      <c r="E917" t="s">
        <v>76</v>
      </c>
      <c r="F917">
        <v>8.6999999999999993</v>
      </c>
      <c r="G917">
        <v>53</v>
      </c>
      <c r="H917" t="s">
        <v>11</v>
      </c>
      <c r="I917" t="str">
        <f t="shared" si="14"/>
        <v>Média</v>
      </c>
    </row>
    <row r="918" spans="1:9">
      <c r="A918" t="s">
        <v>278</v>
      </c>
      <c r="B918">
        <v>2025</v>
      </c>
      <c r="C918">
        <v>2</v>
      </c>
      <c r="D918" t="s">
        <v>75</v>
      </c>
      <c r="E918" t="s">
        <v>76</v>
      </c>
      <c r="F918">
        <v>8.6999999999999993</v>
      </c>
      <c r="G918">
        <v>63.1</v>
      </c>
      <c r="H918" t="s">
        <v>11</v>
      </c>
      <c r="I918" t="str">
        <f t="shared" si="14"/>
        <v>Média</v>
      </c>
    </row>
    <row r="919" spans="1:9">
      <c r="A919" t="s">
        <v>330</v>
      </c>
      <c r="B919">
        <v>2025</v>
      </c>
      <c r="C919">
        <v>2</v>
      </c>
      <c r="D919" t="s">
        <v>139</v>
      </c>
      <c r="E919" t="s">
        <v>140</v>
      </c>
      <c r="F919">
        <v>8.6999999999999993</v>
      </c>
      <c r="G919">
        <v>71.400000000000006</v>
      </c>
      <c r="H919" t="s">
        <v>11</v>
      </c>
      <c r="I919" t="str">
        <f t="shared" si="14"/>
        <v>Média</v>
      </c>
    </row>
    <row r="920" spans="1:9">
      <c r="A920" t="s">
        <v>351</v>
      </c>
      <c r="B920">
        <v>2025</v>
      </c>
      <c r="C920">
        <v>2</v>
      </c>
      <c r="D920" t="s">
        <v>139</v>
      </c>
      <c r="E920" t="s">
        <v>140</v>
      </c>
      <c r="F920">
        <v>8.6999999999999993</v>
      </c>
      <c r="G920">
        <v>80</v>
      </c>
      <c r="H920" t="s">
        <v>11</v>
      </c>
      <c r="I920" t="str">
        <f t="shared" si="14"/>
        <v>Alta</v>
      </c>
    </row>
    <row r="921" spans="1:9">
      <c r="A921" t="s">
        <v>374</v>
      </c>
      <c r="B921">
        <v>2025</v>
      </c>
      <c r="C921">
        <v>2</v>
      </c>
      <c r="D921" t="s">
        <v>139</v>
      </c>
      <c r="E921" t="s">
        <v>140</v>
      </c>
      <c r="F921">
        <v>8.6999999999999993</v>
      </c>
      <c r="G921">
        <v>47.6</v>
      </c>
      <c r="H921" t="s">
        <v>11</v>
      </c>
      <c r="I921" t="str">
        <f t="shared" si="14"/>
        <v>Baixa</v>
      </c>
    </row>
    <row r="922" spans="1:9">
      <c r="A922" t="s">
        <v>436</v>
      </c>
      <c r="B922">
        <v>2026</v>
      </c>
      <c r="C922">
        <v>1</v>
      </c>
      <c r="D922" t="s">
        <v>9</v>
      </c>
      <c r="E922" t="s">
        <v>14</v>
      </c>
      <c r="F922">
        <v>8.6999999999999993</v>
      </c>
      <c r="G922">
        <v>45.8</v>
      </c>
      <c r="H922" t="s">
        <v>11</v>
      </c>
      <c r="I922" t="str">
        <f t="shared" si="14"/>
        <v>Baixa</v>
      </c>
    </row>
    <row r="923" spans="1:9">
      <c r="A923" t="s">
        <v>517</v>
      </c>
      <c r="B923">
        <v>2026</v>
      </c>
      <c r="C923">
        <v>1</v>
      </c>
      <c r="D923" t="s">
        <v>139</v>
      </c>
      <c r="E923" t="s">
        <v>140</v>
      </c>
      <c r="F923">
        <v>8.6999999999999993</v>
      </c>
      <c r="G923">
        <v>64.099999999999994</v>
      </c>
      <c r="H923" t="s">
        <v>11</v>
      </c>
      <c r="I923" t="str">
        <f t="shared" si="14"/>
        <v>Média</v>
      </c>
    </row>
    <row r="924" spans="1:9">
      <c r="A924" t="s">
        <v>535</v>
      </c>
      <c r="B924">
        <v>2026</v>
      </c>
      <c r="C924">
        <v>1</v>
      </c>
      <c r="D924" t="s">
        <v>139</v>
      </c>
      <c r="E924" t="s">
        <v>140</v>
      </c>
      <c r="F924">
        <v>8.6999999999999993</v>
      </c>
      <c r="G924">
        <v>65.7</v>
      </c>
      <c r="H924" t="s">
        <v>11</v>
      </c>
      <c r="I924" t="str">
        <f t="shared" si="14"/>
        <v>Média</v>
      </c>
    </row>
    <row r="925" spans="1:9">
      <c r="A925" t="s">
        <v>542</v>
      </c>
      <c r="B925">
        <v>2026</v>
      </c>
      <c r="C925">
        <v>1</v>
      </c>
      <c r="D925" t="s">
        <v>139</v>
      </c>
      <c r="E925" t="s">
        <v>140</v>
      </c>
      <c r="F925">
        <v>8.6999999999999993</v>
      </c>
      <c r="G925">
        <v>96.1</v>
      </c>
      <c r="H925" t="s">
        <v>11</v>
      </c>
      <c r="I925" t="str">
        <f t="shared" si="14"/>
        <v>Alta</v>
      </c>
    </row>
    <row r="926" spans="1:9">
      <c r="A926" t="s">
        <v>553</v>
      </c>
      <c r="B926">
        <v>2026</v>
      </c>
      <c r="C926">
        <v>1</v>
      </c>
      <c r="D926" t="s">
        <v>139</v>
      </c>
      <c r="E926" t="s">
        <v>140</v>
      </c>
      <c r="F926">
        <v>8.6999999999999993</v>
      </c>
      <c r="G926">
        <v>55.5</v>
      </c>
      <c r="H926" t="s">
        <v>11</v>
      </c>
      <c r="I926" t="str">
        <f t="shared" si="14"/>
        <v>Média</v>
      </c>
    </row>
    <row r="927" spans="1:9">
      <c r="A927" t="s">
        <v>424</v>
      </c>
      <c r="B927">
        <v>2026</v>
      </c>
      <c r="C927">
        <v>2</v>
      </c>
      <c r="D927" t="s">
        <v>9</v>
      </c>
      <c r="E927" t="s">
        <v>14</v>
      </c>
      <c r="F927">
        <v>8.6999999999999993</v>
      </c>
      <c r="G927">
        <v>77</v>
      </c>
      <c r="H927" t="s">
        <v>11</v>
      </c>
      <c r="I927" t="str">
        <f t="shared" si="14"/>
        <v>Alta</v>
      </c>
    </row>
    <row r="928" spans="1:9">
      <c r="A928" t="s">
        <v>443</v>
      </c>
      <c r="B928">
        <v>2026</v>
      </c>
      <c r="C928">
        <v>2</v>
      </c>
      <c r="D928" t="s">
        <v>75</v>
      </c>
      <c r="E928" t="s">
        <v>77</v>
      </c>
      <c r="F928">
        <v>8.6999999999999993</v>
      </c>
      <c r="G928">
        <v>84.4</v>
      </c>
      <c r="H928" t="s">
        <v>11</v>
      </c>
      <c r="I928" t="str">
        <f t="shared" si="14"/>
        <v>Alta</v>
      </c>
    </row>
    <row r="929" spans="1:9">
      <c r="A929" t="s">
        <v>28</v>
      </c>
      <c r="B929">
        <v>2024</v>
      </c>
      <c r="C929">
        <v>1</v>
      </c>
      <c r="D929" t="s">
        <v>9</v>
      </c>
      <c r="E929" t="s">
        <v>10</v>
      </c>
      <c r="F929">
        <v>8.8000000000000007</v>
      </c>
      <c r="G929">
        <v>51.2</v>
      </c>
      <c r="H929" t="s">
        <v>11</v>
      </c>
      <c r="I929" t="str">
        <f t="shared" si="14"/>
        <v>Média</v>
      </c>
    </row>
    <row r="930" spans="1:9">
      <c r="A930" t="s">
        <v>52</v>
      </c>
      <c r="B930">
        <v>2024</v>
      </c>
      <c r="C930">
        <v>1</v>
      </c>
      <c r="D930" t="s">
        <v>9</v>
      </c>
      <c r="E930" t="s">
        <v>10</v>
      </c>
      <c r="F930">
        <v>8.8000000000000007</v>
      </c>
      <c r="G930">
        <v>50</v>
      </c>
      <c r="H930" t="s">
        <v>11</v>
      </c>
      <c r="I930" t="str">
        <f t="shared" si="14"/>
        <v>Média</v>
      </c>
    </row>
    <row r="931" spans="1:9">
      <c r="A931" t="s">
        <v>87</v>
      </c>
      <c r="B931">
        <v>2024</v>
      </c>
      <c r="C931">
        <v>1</v>
      </c>
      <c r="D931" t="s">
        <v>75</v>
      </c>
      <c r="E931" t="s">
        <v>78</v>
      </c>
      <c r="F931">
        <v>8.8000000000000007</v>
      </c>
      <c r="G931">
        <v>51.7</v>
      </c>
      <c r="H931" t="s">
        <v>11</v>
      </c>
      <c r="I931" t="str">
        <f t="shared" si="14"/>
        <v>Média</v>
      </c>
    </row>
    <row r="932" spans="1:9">
      <c r="A932" t="s">
        <v>119</v>
      </c>
      <c r="B932">
        <v>2024</v>
      </c>
      <c r="C932">
        <v>1</v>
      </c>
      <c r="D932" t="s">
        <v>75</v>
      </c>
      <c r="E932" t="s">
        <v>78</v>
      </c>
      <c r="F932">
        <v>8.8000000000000007</v>
      </c>
      <c r="G932">
        <v>47.4</v>
      </c>
      <c r="H932" t="s">
        <v>11</v>
      </c>
      <c r="I932" t="str">
        <f t="shared" si="14"/>
        <v>Baixa</v>
      </c>
    </row>
    <row r="933" spans="1:9">
      <c r="A933" t="s">
        <v>131</v>
      </c>
      <c r="B933">
        <v>2024</v>
      </c>
      <c r="C933">
        <v>1</v>
      </c>
      <c r="D933" t="s">
        <v>75</v>
      </c>
      <c r="E933" t="s">
        <v>77</v>
      </c>
      <c r="F933">
        <v>8.8000000000000007</v>
      </c>
      <c r="G933">
        <v>47.5</v>
      </c>
      <c r="H933" t="s">
        <v>11</v>
      </c>
      <c r="I933" t="str">
        <f t="shared" si="14"/>
        <v>Baixa</v>
      </c>
    </row>
    <row r="934" spans="1:9">
      <c r="A934" t="s">
        <v>166</v>
      </c>
      <c r="B934">
        <v>2024</v>
      </c>
      <c r="C934">
        <v>1</v>
      </c>
      <c r="D934" t="s">
        <v>139</v>
      </c>
      <c r="E934" t="s">
        <v>10</v>
      </c>
      <c r="F934">
        <v>8.8000000000000007</v>
      </c>
      <c r="G934">
        <v>69.900000000000006</v>
      </c>
      <c r="H934" t="s">
        <v>11</v>
      </c>
      <c r="I934" t="str">
        <f t="shared" si="14"/>
        <v>Média</v>
      </c>
    </row>
    <row r="935" spans="1:9">
      <c r="A935" t="s">
        <v>186</v>
      </c>
      <c r="B935">
        <v>2024</v>
      </c>
      <c r="C935">
        <v>1</v>
      </c>
      <c r="D935" t="s">
        <v>139</v>
      </c>
      <c r="E935" t="s">
        <v>141</v>
      </c>
      <c r="F935">
        <v>8.8000000000000007</v>
      </c>
      <c r="G935">
        <v>49.7</v>
      </c>
      <c r="H935" t="s">
        <v>11</v>
      </c>
      <c r="I935" t="str">
        <f t="shared" si="14"/>
        <v>Baixa</v>
      </c>
    </row>
    <row r="936" spans="1:9">
      <c r="A936" t="s">
        <v>191</v>
      </c>
      <c r="B936">
        <v>2024</v>
      </c>
      <c r="C936">
        <v>1</v>
      </c>
      <c r="D936" t="s">
        <v>139</v>
      </c>
      <c r="E936" t="s">
        <v>140</v>
      </c>
      <c r="F936">
        <v>8.8000000000000007</v>
      </c>
      <c r="G936">
        <v>63.7</v>
      </c>
      <c r="H936" t="s">
        <v>11</v>
      </c>
      <c r="I936" t="str">
        <f t="shared" si="14"/>
        <v>Média</v>
      </c>
    </row>
    <row r="937" spans="1:9">
      <c r="A937" t="s">
        <v>20</v>
      </c>
      <c r="B937">
        <v>2024</v>
      </c>
      <c r="C937">
        <v>2</v>
      </c>
      <c r="D937" t="s">
        <v>9</v>
      </c>
      <c r="E937" t="s">
        <v>12</v>
      </c>
      <c r="F937">
        <v>8.8000000000000007</v>
      </c>
      <c r="G937">
        <v>76.400000000000006</v>
      </c>
      <c r="H937" t="s">
        <v>11</v>
      </c>
      <c r="I937" t="str">
        <f t="shared" si="14"/>
        <v>Alta</v>
      </c>
    </row>
    <row r="938" spans="1:9">
      <c r="A938" t="s">
        <v>62</v>
      </c>
      <c r="B938">
        <v>2024</v>
      </c>
      <c r="C938">
        <v>2</v>
      </c>
      <c r="D938" t="s">
        <v>9</v>
      </c>
      <c r="E938" t="s">
        <v>10</v>
      </c>
      <c r="F938">
        <v>8.8000000000000007</v>
      </c>
      <c r="G938">
        <v>68.2</v>
      </c>
      <c r="H938" t="s">
        <v>11</v>
      </c>
      <c r="I938" t="str">
        <f t="shared" si="14"/>
        <v>Média</v>
      </c>
    </row>
    <row r="939" spans="1:9">
      <c r="A939" t="s">
        <v>112</v>
      </c>
      <c r="B939">
        <v>2024</v>
      </c>
      <c r="C939">
        <v>2</v>
      </c>
      <c r="D939" t="s">
        <v>75</v>
      </c>
      <c r="E939" t="s">
        <v>76</v>
      </c>
      <c r="F939">
        <v>8.8000000000000007</v>
      </c>
      <c r="G939">
        <v>47.6</v>
      </c>
      <c r="H939" t="s">
        <v>11</v>
      </c>
      <c r="I939" t="str">
        <f t="shared" si="14"/>
        <v>Baixa</v>
      </c>
    </row>
    <row r="940" spans="1:9">
      <c r="A940" t="s">
        <v>173</v>
      </c>
      <c r="B940">
        <v>2024</v>
      </c>
      <c r="C940">
        <v>2</v>
      </c>
      <c r="D940" t="s">
        <v>139</v>
      </c>
      <c r="E940" t="s">
        <v>140</v>
      </c>
      <c r="F940">
        <v>8.8000000000000007</v>
      </c>
      <c r="G940">
        <v>52.5</v>
      </c>
      <c r="H940" t="s">
        <v>11</v>
      </c>
      <c r="I940" t="str">
        <f t="shared" si="14"/>
        <v>Média</v>
      </c>
    </row>
    <row r="941" spans="1:9">
      <c r="A941" t="s">
        <v>195</v>
      </c>
      <c r="B941">
        <v>2024</v>
      </c>
      <c r="C941">
        <v>2</v>
      </c>
      <c r="D941" t="s">
        <v>139</v>
      </c>
      <c r="E941" t="s">
        <v>10</v>
      </c>
      <c r="F941">
        <v>8.8000000000000007</v>
      </c>
      <c r="G941">
        <v>54.7</v>
      </c>
      <c r="H941" t="s">
        <v>11</v>
      </c>
      <c r="I941" t="str">
        <f t="shared" si="14"/>
        <v>Média</v>
      </c>
    </row>
    <row r="942" spans="1:9">
      <c r="A942" t="s">
        <v>203</v>
      </c>
      <c r="B942">
        <v>2025</v>
      </c>
      <c r="C942">
        <v>1</v>
      </c>
      <c r="D942" t="s">
        <v>9</v>
      </c>
      <c r="E942" t="s">
        <v>14</v>
      </c>
      <c r="F942">
        <v>8.8000000000000007</v>
      </c>
      <c r="G942">
        <v>92.4</v>
      </c>
      <c r="H942" t="s">
        <v>11</v>
      </c>
      <c r="I942" t="str">
        <f t="shared" si="14"/>
        <v>Alta</v>
      </c>
    </row>
    <row r="943" spans="1:9">
      <c r="A943" t="s">
        <v>219</v>
      </c>
      <c r="B943">
        <v>2025</v>
      </c>
      <c r="C943">
        <v>1</v>
      </c>
      <c r="D943" t="s">
        <v>9</v>
      </c>
      <c r="E943" t="s">
        <v>14</v>
      </c>
      <c r="F943">
        <v>8.8000000000000007</v>
      </c>
      <c r="G943">
        <v>85.9</v>
      </c>
      <c r="H943" t="s">
        <v>11</v>
      </c>
      <c r="I943" t="str">
        <f t="shared" si="14"/>
        <v>Alta</v>
      </c>
    </row>
    <row r="944" spans="1:9">
      <c r="A944" t="s">
        <v>249</v>
      </c>
      <c r="B944">
        <v>2025</v>
      </c>
      <c r="C944">
        <v>1</v>
      </c>
      <c r="D944" t="s">
        <v>9</v>
      </c>
      <c r="E944" t="s">
        <v>12</v>
      </c>
      <c r="F944">
        <v>8.8000000000000007</v>
      </c>
      <c r="G944">
        <v>77.599999999999994</v>
      </c>
      <c r="H944" t="s">
        <v>11</v>
      </c>
      <c r="I944" t="str">
        <f t="shared" si="14"/>
        <v>Alta</v>
      </c>
    </row>
    <row r="945" spans="1:9">
      <c r="A945" t="s">
        <v>297</v>
      </c>
      <c r="B945">
        <v>2025</v>
      </c>
      <c r="C945">
        <v>1</v>
      </c>
      <c r="D945" t="s">
        <v>75</v>
      </c>
      <c r="E945" t="s">
        <v>77</v>
      </c>
      <c r="F945">
        <v>8.8000000000000007</v>
      </c>
      <c r="G945">
        <v>46.3</v>
      </c>
      <c r="H945" t="s">
        <v>11</v>
      </c>
      <c r="I945" t="str">
        <f t="shared" si="14"/>
        <v>Baixa</v>
      </c>
    </row>
    <row r="946" spans="1:9">
      <c r="A946" t="s">
        <v>326</v>
      </c>
      <c r="B946">
        <v>2025</v>
      </c>
      <c r="C946">
        <v>1</v>
      </c>
      <c r="D946" t="s">
        <v>139</v>
      </c>
      <c r="E946" t="s">
        <v>140</v>
      </c>
      <c r="F946">
        <v>8.8000000000000007</v>
      </c>
      <c r="G946">
        <v>57.3</v>
      </c>
      <c r="H946" t="s">
        <v>11</v>
      </c>
      <c r="I946" t="str">
        <f t="shared" si="14"/>
        <v>Média</v>
      </c>
    </row>
    <row r="947" spans="1:9">
      <c r="A947" t="s">
        <v>327</v>
      </c>
      <c r="B947">
        <v>2025</v>
      </c>
      <c r="C947">
        <v>1</v>
      </c>
      <c r="D947" t="s">
        <v>139</v>
      </c>
      <c r="E947" t="s">
        <v>140</v>
      </c>
      <c r="F947">
        <v>8.8000000000000007</v>
      </c>
      <c r="G947">
        <v>68.599999999999994</v>
      </c>
      <c r="H947" t="s">
        <v>11</v>
      </c>
      <c r="I947" t="str">
        <f t="shared" si="14"/>
        <v>Média</v>
      </c>
    </row>
    <row r="948" spans="1:9">
      <c r="A948" t="s">
        <v>347</v>
      </c>
      <c r="B948">
        <v>2025</v>
      </c>
      <c r="C948">
        <v>1</v>
      </c>
      <c r="D948" t="s">
        <v>139</v>
      </c>
      <c r="E948" t="s">
        <v>141</v>
      </c>
      <c r="F948">
        <v>8.8000000000000007</v>
      </c>
      <c r="G948">
        <v>93.4</v>
      </c>
      <c r="H948" t="s">
        <v>11</v>
      </c>
      <c r="I948" t="str">
        <f t="shared" si="14"/>
        <v>Alta</v>
      </c>
    </row>
    <row r="949" spans="1:9">
      <c r="A949" t="s">
        <v>354</v>
      </c>
      <c r="B949">
        <v>2025</v>
      </c>
      <c r="C949">
        <v>1</v>
      </c>
      <c r="D949" t="s">
        <v>139</v>
      </c>
      <c r="E949" t="s">
        <v>141</v>
      </c>
      <c r="F949">
        <v>8.8000000000000007</v>
      </c>
      <c r="G949">
        <v>85.2</v>
      </c>
      <c r="H949" t="s">
        <v>11</v>
      </c>
      <c r="I949" t="str">
        <f t="shared" si="14"/>
        <v>Alta</v>
      </c>
    </row>
    <row r="950" spans="1:9">
      <c r="A950" t="s">
        <v>375</v>
      </c>
      <c r="B950">
        <v>2025</v>
      </c>
      <c r="C950">
        <v>1</v>
      </c>
      <c r="D950" t="s">
        <v>139</v>
      </c>
      <c r="E950" t="s">
        <v>141</v>
      </c>
      <c r="F950">
        <v>8.8000000000000007</v>
      </c>
      <c r="G950">
        <v>71.7</v>
      </c>
      <c r="H950" t="s">
        <v>11</v>
      </c>
      <c r="I950" t="str">
        <f t="shared" si="14"/>
        <v>Média</v>
      </c>
    </row>
    <row r="951" spans="1:9">
      <c r="A951" t="s">
        <v>213</v>
      </c>
      <c r="B951">
        <v>2025</v>
      </c>
      <c r="C951">
        <v>2</v>
      </c>
      <c r="D951" t="s">
        <v>9</v>
      </c>
      <c r="E951" t="s">
        <v>12</v>
      </c>
      <c r="F951">
        <v>8.8000000000000007</v>
      </c>
      <c r="G951">
        <v>61.8</v>
      </c>
      <c r="H951" t="s">
        <v>11</v>
      </c>
      <c r="I951" t="str">
        <f t="shared" si="14"/>
        <v>Média</v>
      </c>
    </row>
    <row r="952" spans="1:9">
      <c r="A952" t="s">
        <v>220</v>
      </c>
      <c r="B952">
        <v>2025</v>
      </c>
      <c r="C952">
        <v>2</v>
      </c>
      <c r="D952" t="s">
        <v>9</v>
      </c>
      <c r="E952" t="s">
        <v>12</v>
      </c>
      <c r="F952">
        <v>8.8000000000000007</v>
      </c>
      <c r="G952">
        <v>57.7</v>
      </c>
      <c r="H952" t="s">
        <v>11</v>
      </c>
      <c r="I952" t="str">
        <f t="shared" si="14"/>
        <v>Média</v>
      </c>
    </row>
    <row r="953" spans="1:9">
      <c r="A953" t="s">
        <v>277</v>
      </c>
      <c r="B953">
        <v>2025</v>
      </c>
      <c r="C953">
        <v>2</v>
      </c>
      <c r="D953" t="s">
        <v>75</v>
      </c>
      <c r="E953" t="s">
        <v>77</v>
      </c>
      <c r="F953">
        <v>8.8000000000000007</v>
      </c>
      <c r="G953">
        <v>59.5</v>
      </c>
      <c r="H953" t="s">
        <v>11</v>
      </c>
      <c r="I953" t="str">
        <f t="shared" si="14"/>
        <v>Média</v>
      </c>
    </row>
    <row r="954" spans="1:9">
      <c r="A954" t="s">
        <v>320</v>
      </c>
      <c r="B954">
        <v>2025</v>
      </c>
      <c r="C954">
        <v>2</v>
      </c>
      <c r="D954" t="s">
        <v>75</v>
      </c>
      <c r="E954" t="s">
        <v>77</v>
      </c>
      <c r="F954">
        <v>8.8000000000000007</v>
      </c>
      <c r="G954">
        <v>71.599999999999994</v>
      </c>
      <c r="H954" t="s">
        <v>11</v>
      </c>
      <c r="I954" t="str">
        <f t="shared" si="14"/>
        <v>Média</v>
      </c>
    </row>
    <row r="955" spans="1:9">
      <c r="A955" t="s">
        <v>378</v>
      </c>
      <c r="B955">
        <v>2025</v>
      </c>
      <c r="C955">
        <v>2</v>
      </c>
      <c r="D955" t="s">
        <v>139</v>
      </c>
      <c r="E955" t="s">
        <v>141</v>
      </c>
      <c r="F955">
        <v>8.8000000000000007</v>
      </c>
      <c r="G955">
        <v>54.7</v>
      </c>
      <c r="H955" t="s">
        <v>11</v>
      </c>
      <c r="I955" t="str">
        <f t="shared" si="14"/>
        <v>Média</v>
      </c>
    </row>
    <row r="956" spans="1:9">
      <c r="A956" t="s">
        <v>512</v>
      </c>
      <c r="B956">
        <v>2026</v>
      </c>
      <c r="C956">
        <v>1</v>
      </c>
      <c r="D956" t="s">
        <v>139</v>
      </c>
      <c r="E956" t="s">
        <v>140</v>
      </c>
      <c r="F956">
        <v>8.8000000000000007</v>
      </c>
      <c r="G956">
        <v>58.3</v>
      </c>
      <c r="H956" t="s">
        <v>11</v>
      </c>
      <c r="I956" t="str">
        <f t="shared" si="14"/>
        <v>Média</v>
      </c>
    </row>
    <row r="957" spans="1:9">
      <c r="A957" t="s">
        <v>390</v>
      </c>
      <c r="B957">
        <v>2026</v>
      </c>
      <c r="C957">
        <v>2</v>
      </c>
      <c r="D957" t="s">
        <v>9</v>
      </c>
      <c r="E957" t="s">
        <v>12</v>
      </c>
      <c r="F957">
        <v>8.8000000000000007</v>
      </c>
      <c r="G957">
        <v>48.6</v>
      </c>
      <c r="H957" t="s">
        <v>11</v>
      </c>
      <c r="I957" t="str">
        <f t="shared" si="14"/>
        <v>Baixa</v>
      </c>
    </row>
    <row r="958" spans="1:9">
      <c r="A958" t="s">
        <v>437</v>
      </c>
      <c r="B958">
        <v>2026</v>
      </c>
      <c r="C958">
        <v>2</v>
      </c>
      <c r="D958" t="s">
        <v>9</v>
      </c>
      <c r="E958" t="s">
        <v>10</v>
      </c>
      <c r="F958">
        <v>8.8000000000000007</v>
      </c>
      <c r="G958">
        <v>65.400000000000006</v>
      </c>
      <c r="H958" t="s">
        <v>11</v>
      </c>
      <c r="I958" t="str">
        <f t="shared" si="14"/>
        <v>Média</v>
      </c>
    </row>
    <row r="959" spans="1:9">
      <c r="A959" t="s">
        <v>441</v>
      </c>
      <c r="B959">
        <v>2026</v>
      </c>
      <c r="C959">
        <v>2</v>
      </c>
      <c r="D959" t="s">
        <v>75</v>
      </c>
      <c r="E959" t="s">
        <v>78</v>
      </c>
      <c r="F959">
        <v>8.8000000000000007</v>
      </c>
      <c r="G959">
        <v>76</v>
      </c>
      <c r="H959" t="s">
        <v>11</v>
      </c>
      <c r="I959" t="str">
        <f t="shared" si="14"/>
        <v>Alta</v>
      </c>
    </row>
    <row r="960" spans="1:9">
      <c r="A960" t="s">
        <v>475</v>
      </c>
      <c r="B960">
        <v>2026</v>
      </c>
      <c r="C960">
        <v>2</v>
      </c>
      <c r="D960" t="s">
        <v>75</v>
      </c>
      <c r="E960" t="s">
        <v>78</v>
      </c>
      <c r="F960">
        <v>8.8000000000000007</v>
      </c>
      <c r="G960">
        <v>62</v>
      </c>
      <c r="H960" t="s">
        <v>11</v>
      </c>
      <c r="I960" t="str">
        <f t="shared" si="14"/>
        <v>Média</v>
      </c>
    </row>
    <row r="961" spans="1:9">
      <c r="A961" t="s">
        <v>496</v>
      </c>
      <c r="B961">
        <v>2026</v>
      </c>
      <c r="C961">
        <v>2</v>
      </c>
      <c r="D961" t="s">
        <v>75</v>
      </c>
      <c r="E961" t="s">
        <v>77</v>
      </c>
      <c r="F961">
        <v>8.8000000000000007</v>
      </c>
      <c r="G961">
        <v>99.1</v>
      </c>
      <c r="H961" t="s">
        <v>11</v>
      </c>
      <c r="I961" t="str">
        <f t="shared" si="14"/>
        <v>Alta</v>
      </c>
    </row>
    <row r="962" spans="1:9">
      <c r="A962" t="s">
        <v>548</v>
      </c>
      <c r="B962">
        <v>2026</v>
      </c>
      <c r="C962">
        <v>2</v>
      </c>
      <c r="D962" t="s">
        <v>139</v>
      </c>
      <c r="E962" t="s">
        <v>10</v>
      </c>
      <c r="F962">
        <v>8.8000000000000007</v>
      </c>
      <c r="G962">
        <v>77.900000000000006</v>
      </c>
      <c r="H962" t="s">
        <v>11</v>
      </c>
      <c r="I962" t="str">
        <f t="shared" ref="I962:I1025" si="15">IF(G962&lt;50,"Baixa",IF(G962&lt;75,"Média","Alta"))</f>
        <v>Alta</v>
      </c>
    </row>
    <row r="963" spans="1:9">
      <c r="A963" t="s">
        <v>86</v>
      </c>
      <c r="B963">
        <v>2024</v>
      </c>
      <c r="C963">
        <v>1</v>
      </c>
      <c r="D963" t="s">
        <v>75</v>
      </c>
      <c r="E963" t="s">
        <v>76</v>
      </c>
      <c r="F963">
        <v>8.9</v>
      </c>
      <c r="G963">
        <v>58.3</v>
      </c>
      <c r="H963" t="s">
        <v>11</v>
      </c>
      <c r="I963" t="str">
        <f t="shared" si="15"/>
        <v>Média</v>
      </c>
    </row>
    <row r="964" spans="1:9">
      <c r="A964" t="s">
        <v>106</v>
      </c>
      <c r="B964">
        <v>2024</v>
      </c>
      <c r="C964">
        <v>1</v>
      </c>
      <c r="D964" t="s">
        <v>75</v>
      </c>
      <c r="E964" t="s">
        <v>76</v>
      </c>
      <c r="F964">
        <v>8.9</v>
      </c>
      <c r="G964">
        <v>79.2</v>
      </c>
      <c r="H964" t="s">
        <v>11</v>
      </c>
      <c r="I964" t="str">
        <f t="shared" si="15"/>
        <v>Alta</v>
      </c>
    </row>
    <row r="965" spans="1:9">
      <c r="A965" t="s">
        <v>114</v>
      </c>
      <c r="B965">
        <v>2024</v>
      </c>
      <c r="C965">
        <v>1</v>
      </c>
      <c r="D965" t="s">
        <v>75</v>
      </c>
      <c r="E965" t="s">
        <v>77</v>
      </c>
      <c r="F965">
        <v>8.9</v>
      </c>
      <c r="G965">
        <v>68.2</v>
      </c>
      <c r="H965" t="s">
        <v>11</v>
      </c>
      <c r="I965" t="str">
        <f t="shared" si="15"/>
        <v>Média</v>
      </c>
    </row>
    <row r="966" spans="1:9">
      <c r="A966" t="s">
        <v>117</v>
      </c>
      <c r="B966">
        <v>2024</v>
      </c>
      <c r="C966">
        <v>1</v>
      </c>
      <c r="D966" t="s">
        <v>75</v>
      </c>
      <c r="E966" t="s">
        <v>77</v>
      </c>
      <c r="F966">
        <v>8.9</v>
      </c>
      <c r="G966">
        <v>76</v>
      </c>
      <c r="H966" t="s">
        <v>11</v>
      </c>
      <c r="I966" t="str">
        <f t="shared" si="15"/>
        <v>Alta</v>
      </c>
    </row>
    <row r="967" spans="1:9">
      <c r="A967" t="s">
        <v>155</v>
      </c>
      <c r="B967">
        <v>2024</v>
      </c>
      <c r="C967">
        <v>1</v>
      </c>
      <c r="D967" t="s">
        <v>139</v>
      </c>
      <c r="E967" t="s">
        <v>140</v>
      </c>
      <c r="F967">
        <v>8.9</v>
      </c>
      <c r="G967">
        <v>60.2</v>
      </c>
      <c r="H967" t="s">
        <v>11</v>
      </c>
      <c r="I967" t="str">
        <f t="shared" si="15"/>
        <v>Média</v>
      </c>
    </row>
    <row r="968" spans="1:9">
      <c r="A968" t="s">
        <v>158</v>
      </c>
      <c r="B968">
        <v>2024</v>
      </c>
      <c r="C968">
        <v>1</v>
      </c>
      <c r="D968" t="s">
        <v>139</v>
      </c>
      <c r="E968" t="s">
        <v>10</v>
      </c>
      <c r="F968">
        <v>8.9</v>
      </c>
      <c r="G968">
        <v>85.7</v>
      </c>
      <c r="H968" t="s">
        <v>11</v>
      </c>
      <c r="I968" t="str">
        <f t="shared" si="15"/>
        <v>Alta</v>
      </c>
    </row>
    <row r="969" spans="1:9">
      <c r="A969" t="s">
        <v>171</v>
      </c>
      <c r="B969">
        <v>2024</v>
      </c>
      <c r="C969">
        <v>1</v>
      </c>
      <c r="D969" t="s">
        <v>139</v>
      </c>
      <c r="E969" t="s">
        <v>141</v>
      </c>
      <c r="F969">
        <v>8.9</v>
      </c>
      <c r="G969">
        <v>81.400000000000006</v>
      </c>
      <c r="H969" t="s">
        <v>11</v>
      </c>
      <c r="I969" t="str">
        <f t="shared" si="15"/>
        <v>Alta</v>
      </c>
    </row>
    <row r="970" spans="1:9">
      <c r="A970" t="s">
        <v>180</v>
      </c>
      <c r="B970">
        <v>2024</v>
      </c>
      <c r="C970">
        <v>1</v>
      </c>
      <c r="D970" t="s">
        <v>139</v>
      </c>
      <c r="E970" t="s">
        <v>141</v>
      </c>
      <c r="F970">
        <v>8.9</v>
      </c>
      <c r="G970">
        <v>78.3</v>
      </c>
      <c r="H970" t="s">
        <v>11</v>
      </c>
      <c r="I970" t="str">
        <f t="shared" si="15"/>
        <v>Alta</v>
      </c>
    </row>
    <row r="971" spans="1:9">
      <c r="A971" t="s">
        <v>68</v>
      </c>
      <c r="B971">
        <v>2024</v>
      </c>
      <c r="C971">
        <v>2</v>
      </c>
      <c r="D971" t="s">
        <v>9</v>
      </c>
      <c r="E971" t="s">
        <v>10</v>
      </c>
      <c r="F971">
        <v>8.9</v>
      </c>
      <c r="G971">
        <v>63.5</v>
      </c>
      <c r="H971" t="s">
        <v>11</v>
      </c>
      <c r="I971" t="str">
        <f t="shared" si="15"/>
        <v>Média</v>
      </c>
    </row>
    <row r="972" spans="1:9">
      <c r="A972" t="s">
        <v>106</v>
      </c>
      <c r="B972">
        <v>2024</v>
      </c>
      <c r="C972">
        <v>2</v>
      </c>
      <c r="D972" t="s">
        <v>75</v>
      </c>
      <c r="E972" t="s">
        <v>76</v>
      </c>
      <c r="F972">
        <v>8.9</v>
      </c>
      <c r="G972">
        <v>64.5</v>
      </c>
      <c r="H972" t="s">
        <v>11</v>
      </c>
      <c r="I972" t="str">
        <f t="shared" si="15"/>
        <v>Média</v>
      </c>
    </row>
    <row r="973" spans="1:9">
      <c r="A973" t="s">
        <v>275</v>
      </c>
      <c r="B973">
        <v>2025</v>
      </c>
      <c r="C973">
        <v>1</v>
      </c>
      <c r="D973" t="s">
        <v>75</v>
      </c>
      <c r="E973" t="s">
        <v>77</v>
      </c>
      <c r="F973">
        <v>8.9</v>
      </c>
      <c r="G973">
        <v>55.6</v>
      </c>
      <c r="H973" t="s">
        <v>11</v>
      </c>
      <c r="I973" t="str">
        <f t="shared" si="15"/>
        <v>Média</v>
      </c>
    </row>
    <row r="974" spans="1:9">
      <c r="A974" t="s">
        <v>316</v>
      </c>
      <c r="B974">
        <v>2025</v>
      </c>
      <c r="C974">
        <v>1</v>
      </c>
      <c r="D974" t="s">
        <v>75</v>
      </c>
      <c r="E974" t="s">
        <v>78</v>
      </c>
      <c r="F974">
        <v>8.9</v>
      </c>
      <c r="G974">
        <v>84.9</v>
      </c>
      <c r="H974" t="s">
        <v>11</v>
      </c>
      <c r="I974" t="str">
        <f t="shared" si="15"/>
        <v>Alta</v>
      </c>
    </row>
    <row r="975" spans="1:9">
      <c r="A975" t="s">
        <v>330</v>
      </c>
      <c r="B975">
        <v>2025</v>
      </c>
      <c r="C975">
        <v>1</v>
      </c>
      <c r="D975" t="s">
        <v>139</v>
      </c>
      <c r="E975" t="s">
        <v>10</v>
      </c>
      <c r="F975">
        <v>8.9</v>
      </c>
      <c r="G975">
        <v>74.099999999999994</v>
      </c>
      <c r="H975" t="s">
        <v>11</v>
      </c>
      <c r="I975" t="str">
        <f t="shared" si="15"/>
        <v>Média</v>
      </c>
    </row>
    <row r="976" spans="1:9">
      <c r="A976" t="s">
        <v>342</v>
      </c>
      <c r="B976">
        <v>2025</v>
      </c>
      <c r="C976">
        <v>1</v>
      </c>
      <c r="D976" t="s">
        <v>139</v>
      </c>
      <c r="E976" t="s">
        <v>140</v>
      </c>
      <c r="F976">
        <v>8.9</v>
      </c>
      <c r="G976">
        <v>75.7</v>
      </c>
      <c r="H976" t="s">
        <v>11</v>
      </c>
      <c r="I976" t="str">
        <f t="shared" si="15"/>
        <v>Alta</v>
      </c>
    </row>
    <row r="977" spans="1:9">
      <c r="A977" t="s">
        <v>202</v>
      </c>
      <c r="B977">
        <v>2025</v>
      </c>
      <c r="C977">
        <v>2</v>
      </c>
      <c r="D977" t="s">
        <v>9</v>
      </c>
      <c r="E977" t="s">
        <v>12</v>
      </c>
      <c r="F977">
        <v>8.9</v>
      </c>
      <c r="G977">
        <v>60.5</v>
      </c>
      <c r="H977" t="s">
        <v>11</v>
      </c>
      <c r="I977" t="str">
        <f t="shared" si="15"/>
        <v>Média</v>
      </c>
    </row>
    <row r="978" spans="1:9">
      <c r="A978" t="s">
        <v>282</v>
      </c>
      <c r="B978">
        <v>2025</v>
      </c>
      <c r="C978">
        <v>2</v>
      </c>
      <c r="D978" t="s">
        <v>75</v>
      </c>
      <c r="E978" t="s">
        <v>78</v>
      </c>
      <c r="F978">
        <v>8.9</v>
      </c>
      <c r="G978">
        <v>83.9</v>
      </c>
      <c r="H978" t="s">
        <v>11</v>
      </c>
      <c r="I978" t="str">
        <f t="shared" si="15"/>
        <v>Alta</v>
      </c>
    </row>
    <row r="979" spans="1:9">
      <c r="A979" t="s">
        <v>308</v>
      </c>
      <c r="B979">
        <v>2025</v>
      </c>
      <c r="C979">
        <v>2</v>
      </c>
      <c r="D979" t="s">
        <v>75</v>
      </c>
      <c r="E979" t="s">
        <v>76</v>
      </c>
      <c r="F979">
        <v>8.9</v>
      </c>
      <c r="G979">
        <v>67.7</v>
      </c>
      <c r="H979" t="s">
        <v>11</v>
      </c>
      <c r="I979" t="str">
        <f t="shared" si="15"/>
        <v>Média</v>
      </c>
    </row>
    <row r="980" spans="1:9">
      <c r="A980" t="s">
        <v>360</v>
      </c>
      <c r="B980">
        <v>2025</v>
      </c>
      <c r="C980">
        <v>2</v>
      </c>
      <c r="D980" t="s">
        <v>139</v>
      </c>
      <c r="E980" t="s">
        <v>141</v>
      </c>
      <c r="F980">
        <v>8.9</v>
      </c>
      <c r="G980">
        <v>60.9</v>
      </c>
      <c r="H980" t="s">
        <v>11</v>
      </c>
      <c r="I980" t="str">
        <f t="shared" si="15"/>
        <v>Média</v>
      </c>
    </row>
    <row r="981" spans="1:9">
      <c r="A981" t="s">
        <v>373</v>
      </c>
      <c r="B981">
        <v>2025</v>
      </c>
      <c r="C981">
        <v>2</v>
      </c>
      <c r="D981" t="s">
        <v>139</v>
      </c>
      <c r="E981" t="s">
        <v>10</v>
      </c>
      <c r="F981">
        <v>8.9</v>
      </c>
      <c r="G981">
        <v>76.3</v>
      </c>
      <c r="H981" t="s">
        <v>11</v>
      </c>
      <c r="I981" t="str">
        <f t="shared" si="15"/>
        <v>Alta</v>
      </c>
    </row>
    <row r="982" spans="1:9">
      <c r="A982" t="s">
        <v>377</v>
      </c>
      <c r="B982">
        <v>2025</v>
      </c>
      <c r="C982">
        <v>2</v>
      </c>
      <c r="D982" t="s">
        <v>139</v>
      </c>
      <c r="E982" t="s">
        <v>10</v>
      </c>
      <c r="F982">
        <v>8.9</v>
      </c>
      <c r="G982">
        <v>66.8</v>
      </c>
      <c r="H982" t="s">
        <v>11</v>
      </c>
      <c r="I982" t="str">
        <f t="shared" si="15"/>
        <v>Média</v>
      </c>
    </row>
    <row r="983" spans="1:9">
      <c r="A983" t="s">
        <v>395</v>
      </c>
      <c r="B983">
        <v>2026</v>
      </c>
      <c r="C983">
        <v>1</v>
      </c>
      <c r="D983" t="s">
        <v>9</v>
      </c>
      <c r="E983" t="s">
        <v>14</v>
      </c>
      <c r="F983">
        <v>8.9</v>
      </c>
      <c r="G983">
        <v>45.4</v>
      </c>
      <c r="H983" t="s">
        <v>11</v>
      </c>
      <c r="I983" t="str">
        <f t="shared" si="15"/>
        <v>Baixa</v>
      </c>
    </row>
    <row r="984" spans="1:9">
      <c r="A984" t="s">
        <v>435</v>
      </c>
      <c r="B984">
        <v>2026</v>
      </c>
      <c r="C984">
        <v>1</v>
      </c>
      <c r="D984" t="s">
        <v>9</v>
      </c>
      <c r="E984" t="s">
        <v>12</v>
      </c>
      <c r="F984">
        <v>8.9</v>
      </c>
      <c r="G984">
        <v>69.2</v>
      </c>
      <c r="H984" t="s">
        <v>11</v>
      </c>
      <c r="I984" t="str">
        <f t="shared" si="15"/>
        <v>Média</v>
      </c>
    </row>
    <row r="985" spans="1:9">
      <c r="A985" t="s">
        <v>437</v>
      </c>
      <c r="B985">
        <v>2026</v>
      </c>
      <c r="C985">
        <v>1</v>
      </c>
      <c r="D985" t="s">
        <v>9</v>
      </c>
      <c r="E985" t="s">
        <v>12</v>
      </c>
      <c r="F985">
        <v>8.9</v>
      </c>
      <c r="G985">
        <v>51</v>
      </c>
      <c r="H985" t="s">
        <v>11</v>
      </c>
      <c r="I985" t="str">
        <f t="shared" si="15"/>
        <v>Média</v>
      </c>
    </row>
    <row r="986" spans="1:9">
      <c r="A986" t="s">
        <v>439</v>
      </c>
      <c r="B986">
        <v>2026</v>
      </c>
      <c r="C986">
        <v>1</v>
      </c>
      <c r="D986" t="s">
        <v>9</v>
      </c>
      <c r="E986" t="s">
        <v>10</v>
      </c>
      <c r="F986">
        <v>8.9</v>
      </c>
      <c r="G986">
        <v>64.3</v>
      </c>
      <c r="H986" t="s">
        <v>11</v>
      </c>
      <c r="I986" t="str">
        <f t="shared" si="15"/>
        <v>Média</v>
      </c>
    </row>
    <row r="987" spans="1:9">
      <c r="A987" t="s">
        <v>484</v>
      </c>
      <c r="B987">
        <v>2026</v>
      </c>
      <c r="C987">
        <v>1</v>
      </c>
      <c r="D987" t="s">
        <v>75</v>
      </c>
      <c r="E987" t="s">
        <v>76</v>
      </c>
      <c r="F987">
        <v>8.9</v>
      </c>
      <c r="G987">
        <v>63.3</v>
      </c>
      <c r="H987" t="s">
        <v>11</v>
      </c>
      <c r="I987" t="str">
        <f t="shared" si="15"/>
        <v>Média</v>
      </c>
    </row>
    <row r="988" spans="1:9">
      <c r="A988" t="s">
        <v>536</v>
      </c>
      <c r="B988">
        <v>2026</v>
      </c>
      <c r="C988">
        <v>1</v>
      </c>
      <c r="D988" t="s">
        <v>139</v>
      </c>
      <c r="E988" t="s">
        <v>141</v>
      </c>
      <c r="F988">
        <v>8.9</v>
      </c>
      <c r="G988">
        <v>79.7</v>
      </c>
      <c r="H988" t="s">
        <v>11</v>
      </c>
      <c r="I988" t="str">
        <f t="shared" si="15"/>
        <v>Alta</v>
      </c>
    </row>
    <row r="989" spans="1:9">
      <c r="A989" t="s">
        <v>546</v>
      </c>
      <c r="B989">
        <v>2026</v>
      </c>
      <c r="C989">
        <v>1</v>
      </c>
      <c r="D989" t="s">
        <v>139</v>
      </c>
      <c r="E989" t="s">
        <v>10</v>
      </c>
      <c r="F989">
        <v>8.9</v>
      </c>
      <c r="G989">
        <v>74.099999999999994</v>
      </c>
      <c r="H989" t="s">
        <v>11</v>
      </c>
      <c r="I989" t="str">
        <f t="shared" si="15"/>
        <v>Média</v>
      </c>
    </row>
    <row r="990" spans="1:9">
      <c r="A990" t="s">
        <v>385</v>
      </c>
      <c r="B990">
        <v>2026</v>
      </c>
      <c r="C990">
        <v>2</v>
      </c>
      <c r="D990" t="s">
        <v>9</v>
      </c>
      <c r="E990" t="s">
        <v>14</v>
      </c>
      <c r="F990">
        <v>8.9</v>
      </c>
      <c r="G990">
        <v>84.6</v>
      </c>
      <c r="H990" t="s">
        <v>11</v>
      </c>
      <c r="I990" t="str">
        <f t="shared" si="15"/>
        <v>Alta</v>
      </c>
    </row>
    <row r="991" spans="1:9">
      <c r="A991" t="s">
        <v>396</v>
      </c>
      <c r="B991">
        <v>2026</v>
      </c>
      <c r="C991">
        <v>2</v>
      </c>
      <c r="D991" t="s">
        <v>9</v>
      </c>
      <c r="E991" t="s">
        <v>10</v>
      </c>
      <c r="F991">
        <v>8.9</v>
      </c>
      <c r="G991">
        <v>60.1</v>
      </c>
      <c r="H991" t="s">
        <v>11</v>
      </c>
      <c r="I991" t="str">
        <f t="shared" si="15"/>
        <v>Média</v>
      </c>
    </row>
    <row r="992" spans="1:9">
      <c r="A992" t="s">
        <v>408</v>
      </c>
      <c r="B992">
        <v>2026</v>
      </c>
      <c r="C992">
        <v>2</v>
      </c>
      <c r="D992" t="s">
        <v>9</v>
      </c>
      <c r="E992" t="s">
        <v>12</v>
      </c>
      <c r="F992">
        <v>8.9</v>
      </c>
      <c r="G992">
        <v>69.099999999999994</v>
      </c>
      <c r="H992" t="s">
        <v>11</v>
      </c>
      <c r="I992" t="str">
        <f t="shared" si="15"/>
        <v>Média</v>
      </c>
    </row>
    <row r="993" spans="1:9">
      <c r="A993" t="s">
        <v>413</v>
      </c>
      <c r="B993">
        <v>2026</v>
      </c>
      <c r="C993">
        <v>2</v>
      </c>
      <c r="D993" t="s">
        <v>9</v>
      </c>
      <c r="E993" t="s">
        <v>14</v>
      </c>
      <c r="F993">
        <v>8.9</v>
      </c>
      <c r="G993">
        <v>58.2</v>
      </c>
      <c r="H993" t="s">
        <v>11</v>
      </c>
      <c r="I993" t="str">
        <f t="shared" si="15"/>
        <v>Média</v>
      </c>
    </row>
    <row r="994" spans="1:9">
      <c r="A994" t="s">
        <v>423</v>
      </c>
      <c r="B994">
        <v>2026</v>
      </c>
      <c r="C994">
        <v>2</v>
      </c>
      <c r="D994" t="s">
        <v>9</v>
      </c>
      <c r="E994" t="s">
        <v>14</v>
      </c>
      <c r="F994">
        <v>8.9</v>
      </c>
      <c r="G994">
        <v>62</v>
      </c>
      <c r="H994" t="s">
        <v>11</v>
      </c>
      <c r="I994" t="str">
        <f t="shared" si="15"/>
        <v>Média</v>
      </c>
    </row>
    <row r="995" spans="1:9">
      <c r="A995" t="s">
        <v>430</v>
      </c>
      <c r="B995">
        <v>2026</v>
      </c>
      <c r="C995">
        <v>2</v>
      </c>
      <c r="D995" t="s">
        <v>9</v>
      </c>
      <c r="E995" t="s">
        <v>12</v>
      </c>
      <c r="F995">
        <v>8.9</v>
      </c>
      <c r="G995">
        <v>50.4</v>
      </c>
      <c r="H995" t="s">
        <v>11</v>
      </c>
      <c r="I995" t="str">
        <f t="shared" si="15"/>
        <v>Média</v>
      </c>
    </row>
    <row r="996" spans="1:9">
      <c r="A996" t="s">
        <v>456</v>
      </c>
      <c r="B996">
        <v>2026</v>
      </c>
      <c r="C996">
        <v>2</v>
      </c>
      <c r="D996" t="s">
        <v>75</v>
      </c>
      <c r="E996" t="s">
        <v>76</v>
      </c>
      <c r="F996">
        <v>8.9</v>
      </c>
      <c r="G996">
        <v>76</v>
      </c>
      <c r="H996" t="s">
        <v>11</v>
      </c>
      <c r="I996" t="str">
        <f t="shared" si="15"/>
        <v>Alta</v>
      </c>
    </row>
    <row r="997" spans="1:9">
      <c r="A997" t="s">
        <v>482</v>
      </c>
      <c r="B997">
        <v>2026</v>
      </c>
      <c r="C997">
        <v>2</v>
      </c>
      <c r="D997" t="s">
        <v>75</v>
      </c>
      <c r="E997" t="s">
        <v>78</v>
      </c>
      <c r="F997">
        <v>8.9</v>
      </c>
      <c r="G997">
        <v>52.3</v>
      </c>
      <c r="H997" t="s">
        <v>11</v>
      </c>
      <c r="I997" t="str">
        <f t="shared" si="15"/>
        <v>Média</v>
      </c>
    </row>
    <row r="998" spans="1:9">
      <c r="A998" t="s">
        <v>535</v>
      </c>
      <c r="B998">
        <v>2026</v>
      </c>
      <c r="C998">
        <v>2</v>
      </c>
      <c r="D998" t="s">
        <v>139</v>
      </c>
      <c r="E998" t="s">
        <v>10</v>
      </c>
      <c r="F998">
        <v>8.9</v>
      </c>
      <c r="G998">
        <v>99.7</v>
      </c>
      <c r="H998" t="s">
        <v>11</v>
      </c>
      <c r="I998" t="str">
        <f t="shared" si="15"/>
        <v>Alta</v>
      </c>
    </row>
    <row r="999" spans="1:9">
      <c r="A999" t="s">
        <v>25</v>
      </c>
      <c r="B999">
        <v>2024</v>
      </c>
      <c r="C999">
        <v>1</v>
      </c>
      <c r="D999" t="s">
        <v>9</v>
      </c>
      <c r="E999" t="s">
        <v>10</v>
      </c>
      <c r="F999">
        <v>9</v>
      </c>
      <c r="G999">
        <v>92.8</v>
      </c>
      <c r="H999" t="s">
        <v>11</v>
      </c>
      <c r="I999" t="str">
        <f t="shared" si="15"/>
        <v>Alta</v>
      </c>
    </row>
    <row r="1000" spans="1:9">
      <c r="A1000" t="s">
        <v>57</v>
      </c>
      <c r="B1000">
        <v>2024</v>
      </c>
      <c r="C1000">
        <v>1</v>
      </c>
      <c r="D1000" t="s">
        <v>9</v>
      </c>
      <c r="E1000" t="s">
        <v>14</v>
      </c>
      <c r="F1000">
        <v>9</v>
      </c>
      <c r="G1000">
        <v>59.5</v>
      </c>
      <c r="H1000" t="s">
        <v>11</v>
      </c>
      <c r="I1000" t="str">
        <f t="shared" si="15"/>
        <v>Média</v>
      </c>
    </row>
    <row r="1001" spans="1:9">
      <c r="A1001" t="s">
        <v>67</v>
      </c>
      <c r="B1001">
        <v>2024</v>
      </c>
      <c r="C1001">
        <v>1</v>
      </c>
      <c r="D1001" t="s">
        <v>9</v>
      </c>
      <c r="E1001" t="s">
        <v>10</v>
      </c>
      <c r="F1001">
        <v>9</v>
      </c>
      <c r="G1001">
        <v>62.1</v>
      </c>
      <c r="H1001" t="s">
        <v>11</v>
      </c>
      <c r="I1001" t="str">
        <f t="shared" si="15"/>
        <v>Média</v>
      </c>
    </row>
    <row r="1002" spans="1:9">
      <c r="A1002" t="s">
        <v>110</v>
      </c>
      <c r="B1002">
        <v>2024</v>
      </c>
      <c r="C1002">
        <v>1</v>
      </c>
      <c r="D1002" t="s">
        <v>75</v>
      </c>
      <c r="E1002" t="s">
        <v>78</v>
      </c>
      <c r="F1002">
        <v>9</v>
      </c>
      <c r="G1002">
        <v>47.4</v>
      </c>
      <c r="H1002" t="s">
        <v>11</v>
      </c>
      <c r="I1002" t="str">
        <f t="shared" si="15"/>
        <v>Baixa</v>
      </c>
    </row>
    <row r="1003" spans="1:9">
      <c r="A1003" t="s">
        <v>142</v>
      </c>
      <c r="B1003">
        <v>2024</v>
      </c>
      <c r="C1003">
        <v>1</v>
      </c>
      <c r="D1003" t="s">
        <v>139</v>
      </c>
      <c r="E1003" t="s">
        <v>141</v>
      </c>
      <c r="F1003">
        <v>9</v>
      </c>
      <c r="G1003">
        <v>53.9</v>
      </c>
      <c r="H1003" t="s">
        <v>11</v>
      </c>
      <c r="I1003" t="str">
        <f t="shared" si="15"/>
        <v>Média</v>
      </c>
    </row>
    <row r="1004" spans="1:9">
      <c r="A1004" t="s">
        <v>26</v>
      </c>
      <c r="B1004">
        <v>2024</v>
      </c>
      <c r="C1004">
        <v>2</v>
      </c>
      <c r="D1004" t="s">
        <v>9</v>
      </c>
      <c r="E1004" t="s">
        <v>12</v>
      </c>
      <c r="F1004">
        <v>9</v>
      </c>
      <c r="G1004">
        <v>90.4</v>
      </c>
      <c r="H1004" t="s">
        <v>11</v>
      </c>
      <c r="I1004" t="str">
        <f t="shared" si="15"/>
        <v>Alta</v>
      </c>
    </row>
    <row r="1005" spans="1:9">
      <c r="A1005" t="s">
        <v>27</v>
      </c>
      <c r="B1005">
        <v>2024</v>
      </c>
      <c r="C1005">
        <v>2</v>
      </c>
      <c r="D1005" t="s">
        <v>9</v>
      </c>
      <c r="E1005" t="s">
        <v>12</v>
      </c>
      <c r="F1005">
        <v>9</v>
      </c>
      <c r="G1005">
        <v>85.9</v>
      </c>
      <c r="H1005" t="s">
        <v>11</v>
      </c>
      <c r="I1005" t="str">
        <f t="shared" si="15"/>
        <v>Alta</v>
      </c>
    </row>
    <row r="1006" spans="1:9">
      <c r="A1006" t="s">
        <v>47</v>
      </c>
      <c r="B1006">
        <v>2024</v>
      </c>
      <c r="C1006">
        <v>2</v>
      </c>
      <c r="D1006" t="s">
        <v>9</v>
      </c>
      <c r="E1006" t="s">
        <v>10</v>
      </c>
      <c r="F1006">
        <v>9</v>
      </c>
      <c r="G1006">
        <v>65.900000000000006</v>
      </c>
      <c r="H1006" t="s">
        <v>11</v>
      </c>
      <c r="I1006" t="str">
        <f t="shared" si="15"/>
        <v>Média</v>
      </c>
    </row>
    <row r="1007" spans="1:9">
      <c r="A1007" t="s">
        <v>81</v>
      </c>
      <c r="B1007">
        <v>2024</v>
      </c>
      <c r="C1007">
        <v>2</v>
      </c>
      <c r="D1007" t="s">
        <v>75</v>
      </c>
      <c r="E1007" t="s">
        <v>78</v>
      </c>
      <c r="F1007">
        <v>9</v>
      </c>
      <c r="G1007">
        <v>54</v>
      </c>
      <c r="H1007" t="s">
        <v>11</v>
      </c>
      <c r="I1007" t="str">
        <f t="shared" si="15"/>
        <v>Média</v>
      </c>
    </row>
    <row r="1008" spans="1:9">
      <c r="A1008" t="s">
        <v>137</v>
      </c>
      <c r="B1008">
        <v>2024</v>
      </c>
      <c r="C1008">
        <v>2</v>
      </c>
      <c r="D1008" t="s">
        <v>75</v>
      </c>
      <c r="E1008" t="s">
        <v>78</v>
      </c>
      <c r="F1008">
        <v>9</v>
      </c>
      <c r="G1008">
        <v>57.2</v>
      </c>
      <c r="H1008" t="s">
        <v>11</v>
      </c>
      <c r="I1008" t="str">
        <f t="shared" si="15"/>
        <v>Média</v>
      </c>
    </row>
    <row r="1009" spans="1:9">
      <c r="A1009" t="s">
        <v>183</v>
      </c>
      <c r="B1009">
        <v>2024</v>
      </c>
      <c r="C1009">
        <v>2</v>
      </c>
      <c r="D1009" t="s">
        <v>139</v>
      </c>
      <c r="E1009" t="s">
        <v>141</v>
      </c>
      <c r="F1009">
        <v>9</v>
      </c>
      <c r="G1009">
        <v>61.7</v>
      </c>
      <c r="H1009" t="s">
        <v>11</v>
      </c>
      <c r="I1009" t="str">
        <f t="shared" si="15"/>
        <v>Média</v>
      </c>
    </row>
    <row r="1010" spans="1:9">
      <c r="A1010" t="s">
        <v>196</v>
      </c>
      <c r="B1010">
        <v>2024</v>
      </c>
      <c r="C1010">
        <v>2</v>
      </c>
      <c r="D1010" t="s">
        <v>139</v>
      </c>
      <c r="E1010" t="s">
        <v>10</v>
      </c>
      <c r="F1010">
        <v>9</v>
      </c>
      <c r="G1010">
        <v>69.400000000000006</v>
      </c>
      <c r="H1010" t="s">
        <v>11</v>
      </c>
      <c r="I1010" t="str">
        <f t="shared" si="15"/>
        <v>Média</v>
      </c>
    </row>
    <row r="1011" spans="1:9">
      <c r="A1011" t="s">
        <v>239</v>
      </c>
      <c r="B1011">
        <v>2025</v>
      </c>
      <c r="C1011">
        <v>1</v>
      </c>
      <c r="D1011" t="s">
        <v>9</v>
      </c>
      <c r="E1011" t="s">
        <v>12</v>
      </c>
      <c r="F1011">
        <v>9</v>
      </c>
      <c r="G1011">
        <v>62</v>
      </c>
      <c r="H1011" t="s">
        <v>11</v>
      </c>
      <c r="I1011" t="str">
        <f t="shared" si="15"/>
        <v>Média</v>
      </c>
    </row>
    <row r="1012" spans="1:9">
      <c r="A1012" t="s">
        <v>247</v>
      </c>
      <c r="B1012">
        <v>2025</v>
      </c>
      <c r="C1012">
        <v>1</v>
      </c>
      <c r="D1012" t="s">
        <v>9</v>
      </c>
      <c r="E1012" t="s">
        <v>10</v>
      </c>
      <c r="F1012">
        <v>9</v>
      </c>
      <c r="G1012">
        <v>61.2</v>
      </c>
      <c r="H1012" t="s">
        <v>11</v>
      </c>
      <c r="I1012" t="str">
        <f t="shared" si="15"/>
        <v>Média</v>
      </c>
    </row>
    <row r="1013" spans="1:9">
      <c r="A1013" t="s">
        <v>275</v>
      </c>
      <c r="B1013">
        <v>2025</v>
      </c>
      <c r="C1013">
        <v>1</v>
      </c>
      <c r="D1013" t="s">
        <v>75</v>
      </c>
      <c r="E1013" t="s">
        <v>76</v>
      </c>
      <c r="F1013">
        <v>9</v>
      </c>
      <c r="G1013">
        <v>83.7</v>
      </c>
      <c r="H1013" t="s">
        <v>11</v>
      </c>
      <c r="I1013" t="str">
        <f t="shared" si="15"/>
        <v>Alta</v>
      </c>
    </row>
    <row r="1014" spans="1:9">
      <c r="A1014" t="s">
        <v>275</v>
      </c>
      <c r="B1014">
        <v>2025</v>
      </c>
      <c r="C1014">
        <v>1</v>
      </c>
      <c r="D1014" t="s">
        <v>75</v>
      </c>
      <c r="E1014" t="s">
        <v>78</v>
      </c>
      <c r="F1014">
        <v>9</v>
      </c>
      <c r="G1014">
        <v>45.2</v>
      </c>
      <c r="H1014" t="s">
        <v>11</v>
      </c>
      <c r="I1014" t="str">
        <f t="shared" si="15"/>
        <v>Baixa</v>
      </c>
    </row>
    <row r="1015" spans="1:9">
      <c r="A1015" t="s">
        <v>276</v>
      </c>
      <c r="B1015">
        <v>2025</v>
      </c>
      <c r="C1015">
        <v>1</v>
      </c>
      <c r="D1015" t="s">
        <v>75</v>
      </c>
      <c r="E1015" t="s">
        <v>77</v>
      </c>
      <c r="F1015">
        <v>9</v>
      </c>
      <c r="G1015">
        <v>63.5</v>
      </c>
      <c r="H1015" t="s">
        <v>11</v>
      </c>
      <c r="I1015" t="str">
        <f t="shared" si="15"/>
        <v>Média</v>
      </c>
    </row>
    <row r="1016" spans="1:9">
      <c r="A1016" t="s">
        <v>308</v>
      </c>
      <c r="B1016">
        <v>2025</v>
      </c>
      <c r="C1016">
        <v>1</v>
      </c>
      <c r="D1016" t="s">
        <v>75</v>
      </c>
      <c r="E1016" t="s">
        <v>77</v>
      </c>
      <c r="F1016">
        <v>9</v>
      </c>
      <c r="G1016">
        <v>45.4</v>
      </c>
      <c r="H1016" t="s">
        <v>11</v>
      </c>
      <c r="I1016" t="str">
        <f t="shared" si="15"/>
        <v>Baixa</v>
      </c>
    </row>
    <row r="1017" spans="1:9">
      <c r="A1017" t="s">
        <v>334</v>
      </c>
      <c r="B1017">
        <v>2025</v>
      </c>
      <c r="C1017">
        <v>1</v>
      </c>
      <c r="D1017" t="s">
        <v>139</v>
      </c>
      <c r="E1017" t="s">
        <v>10</v>
      </c>
      <c r="F1017">
        <v>9</v>
      </c>
      <c r="G1017">
        <v>45.9</v>
      </c>
      <c r="H1017" t="s">
        <v>11</v>
      </c>
      <c r="I1017" t="str">
        <f t="shared" si="15"/>
        <v>Baixa</v>
      </c>
    </row>
    <row r="1018" spans="1:9">
      <c r="A1018" t="s">
        <v>370</v>
      </c>
      <c r="B1018">
        <v>2025</v>
      </c>
      <c r="C1018">
        <v>1</v>
      </c>
      <c r="D1018" t="s">
        <v>139</v>
      </c>
      <c r="E1018" t="s">
        <v>141</v>
      </c>
      <c r="F1018">
        <v>9</v>
      </c>
      <c r="G1018">
        <v>69</v>
      </c>
      <c r="H1018" t="s">
        <v>11</v>
      </c>
      <c r="I1018" t="str">
        <f t="shared" si="15"/>
        <v>Média</v>
      </c>
    </row>
    <row r="1019" spans="1:9">
      <c r="A1019" t="s">
        <v>202</v>
      </c>
      <c r="B1019">
        <v>2025</v>
      </c>
      <c r="C1019">
        <v>2</v>
      </c>
      <c r="D1019" t="s">
        <v>9</v>
      </c>
      <c r="E1019" t="s">
        <v>10</v>
      </c>
      <c r="F1019">
        <v>9</v>
      </c>
      <c r="G1019">
        <v>68.900000000000006</v>
      </c>
      <c r="H1019" t="s">
        <v>11</v>
      </c>
      <c r="I1019" t="str">
        <f t="shared" si="15"/>
        <v>Média</v>
      </c>
    </row>
    <row r="1020" spans="1:9">
      <c r="A1020" t="s">
        <v>274</v>
      </c>
      <c r="B1020">
        <v>2025</v>
      </c>
      <c r="C1020">
        <v>2</v>
      </c>
      <c r="D1020" t="s">
        <v>75</v>
      </c>
      <c r="E1020" t="s">
        <v>78</v>
      </c>
      <c r="F1020">
        <v>9</v>
      </c>
      <c r="G1020">
        <v>57.9</v>
      </c>
      <c r="H1020" t="s">
        <v>11</v>
      </c>
      <c r="I1020" t="str">
        <f t="shared" si="15"/>
        <v>Média</v>
      </c>
    </row>
    <row r="1021" spans="1:9">
      <c r="A1021" t="s">
        <v>388</v>
      </c>
      <c r="B1021">
        <v>2026</v>
      </c>
      <c r="C1021">
        <v>1</v>
      </c>
      <c r="D1021" t="s">
        <v>9</v>
      </c>
      <c r="E1021" t="s">
        <v>12</v>
      </c>
      <c r="F1021">
        <v>9</v>
      </c>
      <c r="G1021">
        <v>51</v>
      </c>
      <c r="H1021" t="s">
        <v>11</v>
      </c>
      <c r="I1021" t="str">
        <f t="shared" si="15"/>
        <v>Média</v>
      </c>
    </row>
    <row r="1022" spans="1:9">
      <c r="A1022" t="s">
        <v>414</v>
      </c>
      <c r="B1022">
        <v>2026</v>
      </c>
      <c r="C1022">
        <v>1</v>
      </c>
      <c r="D1022" t="s">
        <v>9</v>
      </c>
      <c r="E1022" t="s">
        <v>12</v>
      </c>
      <c r="F1022">
        <v>9</v>
      </c>
      <c r="G1022">
        <v>70</v>
      </c>
      <c r="H1022" t="s">
        <v>11</v>
      </c>
      <c r="I1022" t="str">
        <f t="shared" si="15"/>
        <v>Média</v>
      </c>
    </row>
    <row r="1023" spans="1:9">
      <c r="A1023" t="s">
        <v>444</v>
      </c>
      <c r="B1023">
        <v>2026</v>
      </c>
      <c r="C1023">
        <v>1</v>
      </c>
      <c r="D1023" t="s">
        <v>75</v>
      </c>
      <c r="E1023" t="s">
        <v>77</v>
      </c>
      <c r="F1023">
        <v>9</v>
      </c>
      <c r="G1023">
        <v>96.6</v>
      </c>
      <c r="H1023" t="s">
        <v>11</v>
      </c>
      <c r="I1023" t="str">
        <f t="shared" si="15"/>
        <v>Alta</v>
      </c>
    </row>
    <row r="1024" spans="1:9">
      <c r="A1024" t="s">
        <v>463</v>
      </c>
      <c r="B1024">
        <v>2026</v>
      </c>
      <c r="C1024">
        <v>1</v>
      </c>
      <c r="D1024" t="s">
        <v>75</v>
      </c>
      <c r="E1024" t="s">
        <v>78</v>
      </c>
      <c r="F1024">
        <v>9</v>
      </c>
      <c r="G1024">
        <v>82.6</v>
      </c>
      <c r="H1024" t="s">
        <v>11</v>
      </c>
      <c r="I1024" t="str">
        <f t="shared" si="15"/>
        <v>Alta</v>
      </c>
    </row>
    <row r="1025" spans="1:9">
      <c r="A1025" t="s">
        <v>497</v>
      </c>
      <c r="B1025">
        <v>2026</v>
      </c>
      <c r="C1025">
        <v>1</v>
      </c>
      <c r="D1025" t="s">
        <v>75</v>
      </c>
      <c r="E1025" t="s">
        <v>76</v>
      </c>
      <c r="F1025">
        <v>9</v>
      </c>
      <c r="G1025">
        <v>99.5</v>
      </c>
      <c r="H1025" t="s">
        <v>11</v>
      </c>
      <c r="I1025" t="str">
        <f t="shared" si="15"/>
        <v>Alta</v>
      </c>
    </row>
    <row r="1026" spans="1:9">
      <c r="A1026" t="s">
        <v>506</v>
      </c>
      <c r="B1026">
        <v>2026</v>
      </c>
      <c r="C1026">
        <v>1</v>
      </c>
      <c r="D1026" t="s">
        <v>139</v>
      </c>
      <c r="E1026" t="s">
        <v>140</v>
      </c>
      <c r="F1026">
        <v>9</v>
      </c>
      <c r="G1026">
        <v>58</v>
      </c>
      <c r="H1026" t="s">
        <v>11</v>
      </c>
      <c r="I1026" t="str">
        <f t="shared" ref="I1026:I1089" si="16">IF(G1026&lt;50,"Baixa",IF(G1026&lt;75,"Média","Alta"))</f>
        <v>Média</v>
      </c>
    </row>
    <row r="1027" spans="1:9">
      <c r="A1027" t="s">
        <v>407</v>
      </c>
      <c r="B1027">
        <v>2026</v>
      </c>
      <c r="C1027">
        <v>2</v>
      </c>
      <c r="D1027" t="s">
        <v>9</v>
      </c>
      <c r="E1027" t="s">
        <v>14</v>
      </c>
      <c r="F1027">
        <v>9</v>
      </c>
      <c r="G1027">
        <v>91.8</v>
      </c>
      <c r="H1027" t="s">
        <v>11</v>
      </c>
      <c r="I1027" t="str">
        <f t="shared" si="16"/>
        <v>Alta</v>
      </c>
    </row>
    <row r="1028" spans="1:9">
      <c r="A1028" t="s">
        <v>506</v>
      </c>
      <c r="B1028">
        <v>2026</v>
      </c>
      <c r="C1028">
        <v>2</v>
      </c>
      <c r="D1028" t="s">
        <v>139</v>
      </c>
      <c r="E1028" t="s">
        <v>10</v>
      </c>
      <c r="F1028">
        <v>9</v>
      </c>
      <c r="G1028">
        <v>56.4</v>
      </c>
      <c r="H1028" t="s">
        <v>11</v>
      </c>
      <c r="I1028" t="str">
        <f t="shared" si="16"/>
        <v>Média</v>
      </c>
    </row>
    <row r="1029" spans="1:9">
      <c r="A1029" t="s">
        <v>526</v>
      </c>
      <c r="B1029">
        <v>2026</v>
      </c>
      <c r="C1029">
        <v>2</v>
      </c>
      <c r="D1029" t="s">
        <v>139</v>
      </c>
      <c r="E1029" t="s">
        <v>141</v>
      </c>
      <c r="F1029">
        <v>9</v>
      </c>
      <c r="G1029">
        <v>50.8</v>
      </c>
      <c r="H1029" t="s">
        <v>11</v>
      </c>
      <c r="I1029" t="str">
        <f t="shared" si="16"/>
        <v>Média</v>
      </c>
    </row>
    <row r="1030" spans="1:9">
      <c r="A1030" t="s">
        <v>8</v>
      </c>
      <c r="B1030">
        <v>2024</v>
      </c>
      <c r="C1030">
        <v>1</v>
      </c>
      <c r="D1030" t="s">
        <v>9</v>
      </c>
      <c r="E1030" t="s">
        <v>14</v>
      </c>
      <c r="F1030">
        <v>9.1</v>
      </c>
      <c r="G1030">
        <v>73.099999999999994</v>
      </c>
      <c r="H1030" t="s">
        <v>11</v>
      </c>
      <c r="I1030" t="str">
        <f t="shared" si="16"/>
        <v>Média</v>
      </c>
    </row>
    <row r="1031" spans="1:9">
      <c r="A1031" t="s">
        <v>146</v>
      </c>
      <c r="B1031">
        <v>2024</v>
      </c>
      <c r="C1031">
        <v>1</v>
      </c>
      <c r="D1031" t="s">
        <v>139</v>
      </c>
      <c r="E1031" t="s">
        <v>10</v>
      </c>
      <c r="F1031">
        <v>9.1</v>
      </c>
      <c r="G1031">
        <v>48.1</v>
      </c>
      <c r="H1031" t="s">
        <v>11</v>
      </c>
      <c r="I1031" t="str">
        <f t="shared" si="16"/>
        <v>Baixa</v>
      </c>
    </row>
    <row r="1032" spans="1:9">
      <c r="A1032" t="s">
        <v>169</v>
      </c>
      <c r="B1032">
        <v>2024</v>
      </c>
      <c r="C1032">
        <v>1</v>
      </c>
      <c r="D1032" t="s">
        <v>139</v>
      </c>
      <c r="E1032" t="s">
        <v>10</v>
      </c>
      <c r="F1032">
        <v>9.1</v>
      </c>
      <c r="G1032">
        <v>63.5</v>
      </c>
      <c r="H1032" t="s">
        <v>11</v>
      </c>
      <c r="I1032" t="str">
        <f t="shared" si="16"/>
        <v>Média</v>
      </c>
    </row>
    <row r="1033" spans="1:9">
      <c r="A1033" t="s">
        <v>80</v>
      </c>
      <c r="B1033">
        <v>2024</v>
      </c>
      <c r="C1033">
        <v>2</v>
      </c>
      <c r="D1033" t="s">
        <v>75</v>
      </c>
      <c r="E1033" t="s">
        <v>76</v>
      </c>
      <c r="F1033">
        <v>9.1</v>
      </c>
      <c r="G1033">
        <v>59.2</v>
      </c>
      <c r="H1033" t="s">
        <v>11</v>
      </c>
      <c r="I1033" t="str">
        <f t="shared" si="16"/>
        <v>Média</v>
      </c>
    </row>
    <row r="1034" spans="1:9">
      <c r="A1034" t="s">
        <v>104</v>
      </c>
      <c r="B1034">
        <v>2024</v>
      </c>
      <c r="C1034">
        <v>2</v>
      </c>
      <c r="D1034" t="s">
        <v>75</v>
      </c>
      <c r="E1034" t="s">
        <v>78</v>
      </c>
      <c r="F1034">
        <v>9.1</v>
      </c>
      <c r="G1034">
        <v>88.9</v>
      </c>
      <c r="H1034" t="s">
        <v>11</v>
      </c>
      <c r="I1034" t="str">
        <f t="shared" si="16"/>
        <v>Alta</v>
      </c>
    </row>
    <row r="1035" spans="1:9">
      <c r="A1035" t="s">
        <v>173</v>
      </c>
      <c r="B1035">
        <v>2024</v>
      </c>
      <c r="C1035">
        <v>2</v>
      </c>
      <c r="D1035" t="s">
        <v>139</v>
      </c>
      <c r="E1035" t="s">
        <v>10</v>
      </c>
      <c r="F1035">
        <v>9.1</v>
      </c>
      <c r="G1035">
        <v>81.8</v>
      </c>
      <c r="H1035" t="s">
        <v>11</v>
      </c>
      <c r="I1035" t="str">
        <f t="shared" si="16"/>
        <v>Alta</v>
      </c>
    </row>
    <row r="1036" spans="1:9">
      <c r="A1036" t="s">
        <v>245</v>
      </c>
      <c r="B1036">
        <v>2025</v>
      </c>
      <c r="C1036">
        <v>1</v>
      </c>
      <c r="D1036" t="s">
        <v>9</v>
      </c>
      <c r="E1036" t="s">
        <v>10</v>
      </c>
      <c r="F1036">
        <v>9.1</v>
      </c>
      <c r="G1036">
        <v>51.2</v>
      </c>
      <c r="H1036" t="s">
        <v>11</v>
      </c>
      <c r="I1036" t="str">
        <f t="shared" si="16"/>
        <v>Média</v>
      </c>
    </row>
    <row r="1037" spans="1:9">
      <c r="A1037" t="s">
        <v>288</v>
      </c>
      <c r="B1037">
        <v>2025</v>
      </c>
      <c r="C1037">
        <v>1</v>
      </c>
      <c r="D1037" t="s">
        <v>75</v>
      </c>
      <c r="E1037" t="s">
        <v>78</v>
      </c>
      <c r="F1037">
        <v>9.1</v>
      </c>
      <c r="G1037">
        <v>59.8</v>
      </c>
      <c r="H1037" t="s">
        <v>11</v>
      </c>
      <c r="I1037" t="str">
        <f t="shared" si="16"/>
        <v>Média</v>
      </c>
    </row>
    <row r="1038" spans="1:9">
      <c r="A1038" t="s">
        <v>311</v>
      </c>
      <c r="B1038">
        <v>2025</v>
      </c>
      <c r="C1038">
        <v>1</v>
      </c>
      <c r="D1038" t="s">
        <v>75</v>
      </c>
      <c r="E1038" t="s">
        <v>78</v>
      </c>
      <c r="F1038">
        <v>9.1</v>
      </c>
      <c r="G1038">
        <v>55</v>
      </c>
      <c r="H1038" t="s">
        <v>11</v>
      </c>
      <c r="I1038" t="str">
        <f t="shared" si="16"/>
        <v>Média</v>
      </c>
    </row>
    <row r="1039" spans="1:9">
      <c r="A1039" t="s">
        <v>337</v>
      </c>
      <c r="B1039">
        <v>2025</v>
      </c>
      <c r="C1039">
        <v>1</v>
      </c>
      <c r="D1039" t="s">
        <v>139</v>
      </c>
      <c r="E1039" t="s">
        <v>141</v>
      </c>
      <c r="F1039">
        <v>9.1</v>
      </c>
      <c r="G1039">
        <v>92.6</v>
      </c>
      <c r="H1039" t="s">
        <v>11</v>
      </c>
      <c r="I1039" t="str">
        <f t="shared" si="16"/>
        <v>Alta</v>
      </c>
    </row>
    <row r="1040" spans="1:9">
      <c r="A1040" t="s">
        <v>224</v>
      </c>
      <c r="B1040">
        <v>2025</v>
      </c>
      <c r="C1040">
        <v>2</v>
      </c>
      <c r="D1040" t="s">
        <v>9</v>
      </c>
      <c r="E1040" t="s">
        <v>10</v>
      </c>
      <c r="F1040">
        <v>9.1</v>
      </c>
      <c r="G1040">
        <v>49.6</v>
      </c>
      <c r="H1040" t="s">
        <v>11</v>
      </c>
      <c r="I1040" t="str">
        <f t="shared" si="16"/>
        <v>Baixa</v>
      </c>
    </row>
    <row r="1041" spans="1:9">
      <c r="A1041" t="s">
        <v>224</v>
      </c>
      <c r="B1041">
        <v>2025</v>
      </c>
      <c r="C1041">
        <v>2</v>
      </c>
      <c r="D1041" t="s">
        <v>9</v>
      </c>
      <c r="E1041" t="s">
        <v>12</v>
      </c>
      <c r="F1041">
        <v>9.1</v>
      </c>
      <c r="G1041">
        <v>72.2</v>
      </c>
      <c r="H1041" t="s">
        <v>11</v>
      </c>
      <c r="I1041" t="str">
        <f t="shared" si="16"/>
        <v>Média</v>
      </c>
    </row>
    <row r="1042" spans="1:9">
      <c r="A1042" t="s">
        <v>246</v>
      </c>
      <c r="B1042">
        <v>2025</v>
      </c>
      <c r="C1042">
        <v>2</v>
      </c>
      <c r="D1042" t="s">
        <v>9</v>
      </c>
      <c r="E1042" t="s">
        <v>12</v>
      </c>
      <c r="F1042">
        <v>9.1</v>
      </c>
      <c r="G1042">
        <v>61.8</v>
      </c>
      <c r="H1042" t="s">
        <v>11</v>
      </c>
      <c r="I1042" t="str">
        <f t="shared" si="16"/>
        <v>Média</v>
      </c>
    </row>
    <row r="1043" spans="1:9">
      <c r="A1043" t="s">
        <v>248</v>
      </c>
      <c r="B1043">
        <v>2025</v>
      </c>
      <c r="C1043">
        <v>2</v>
      </c>
      <c r="D1043" t="s">
        <v>9</v>
      </c>
      <c r="E1043" t="s">
        <v>10</v>
      </c>
      <c r="F1043">
        <v>9.1</v>
      </c>
      <c r="G1043">
        <v>75.900000000000006</v>
      </c>
      <c r="H1043" t="s">
        <v>11</v>
      </c>
      <c r="I1043" t="str">
        <f t="shared" si="16"/>
        <v>Alta</v>
      </c>
    </row>
    <row r="1044" spans="1:9">
      <c r="A1044" t="s">
        <v>262</v>
      </c>
      <c r="B1044">
        <v>2025</v>
      </c>
      <c r="C1044">
        <v>2</v>
      </c>
      <c r="D1044" t="s">
        <v>75</v>
      </c>
      <c r="E1044" t="s">
        <v>76</v>
      </c>
      <c r="F1044">
        <v>9.1</v>
      </c>
      <c r="G1044">
        <v>57.4</v>
      </c>
      <c r="H1044" t="s">
        <v>11</v>
      </c>
      <c r="I1044" t="str">
        <f t="shared" si="16"/>
        <v>Média</v>
      </c>
    </row>
    <row r="1045" spans="1:9">
      <c r="A1045" t="s">
        <v>529</v>
      </c>
      <c r="B1045">
        <v>2026</v>
      </c>
      <c r="C1045">
        <v>1</v>
      </c>
      <c r="D1045" t="s">
        <v>139</v>
      </c>
      <c r="E1045" t="s">
        <v>10</v>
      </c>
      <c r="F1045">
        <v>9.1</v>
      </c>
      <c r="G1045">
        <v>58.7</v>
      </c>
      <c r="H1045" t="s">
        <v>11</v>
      </c>
      <c r="I1045" t="str">
        <f t="shared" si="16"/>
        <v>Média</v>
      </c>
    </row>
    <row r="1046" spans="1:9">
      <c r="A1046" t="s">
        <v>396</v>
      </c>
      <c r="B1046">
        <v>2026</v>
      </c>
      <c r="C1046">
        <v>2</v>
      </c>
      <c r="D1046" t="s">
        <v>9</v>
      </c>
      <c r="E1046" t="s">
        <v>12</v>
      </c>
      <c r="F1046">
        <v>9.1</v>
      </c>
      <c r="G1046">
        <v>48.3</v>
      </c>
      <c r="H1046" t="s">
        <v>11</v>
      </c>
      <c r="I1046" t="str">
        <f t="shared" si="16"/>
        <v>Baixa</v>
      </c>
    </row>
    <row r="1047" spans="1:9">
      <c r="A1047" t="s">
        <v>397</v>
      </c>
      <c r="B1047">
        <v>2026</v>
      </c>
      <c r="C1047">
        <v>2</v>
      </c>
      <c r="D1047" t="s">
        <v>9</v>
      </c>
      <c r="E1047" t="s">
        <v>10</v>
      </c>
      <c r="F1047">
        <v>9.1</v>
      </c>
      <c r="G1047">
        <v>58.8</v>
      </c>
      <c r="H1047" t="s">
        <v>11</v>
      </c>
      <c r="I1047" t="str">
        <f t="shared" si="16"/>
        <v>Média</v>
      </c>
    </row>
    <row r="1048" spans="1:9">
      <c r="A1048" t="s">
        <v>418</v>
      </c>
      <c r="B1048">
        <v>2026</v>
      </c>
      <c r="C1048">
        <v>2</v>
      </c>
      <c r="D1048" t="s">
        <v>9</v>
      </c>
      <c r="E1048" t="s">
        <v>14</v>
      </c>
      <c r="F1048">
        <v>9.1</v>
      </c>
      <c r="G1048">
        <v>81</v>
      </c>
      <c r="H1048" t="s">
        <v>11</v>
      </c>
      <c r="I1048" t="str">
        <f t="shared" si="16"/>
        <v>Alta</v>
      </c>
    </row>
    <row r="1049" spans="1:9">
      <c r="A1049" t="s">
        <v>439</v>
      </c>
      <c r="B1049">
        <v>2026</v>
      </c>
      <c r="C1049">
        <v>2</v>
      </c>
      <c r="D1049" t="s">
        <v>9</v>
      </c>
      <c r="E1049" t="s">
        <v>12</v>
      </c>
      <c r="F1049">
        <v>9.1</v>
      </c>
      <c r="G1049">
        <v>69.8</v>
      </c>
      <c r="H1049" t="s">
        <v>11</v>
      </c>
      <c r="I1049" t="str">
        <f t="shared" si="16"/>
        <v>Média</v>
      </c>
    </row>
    <row r="1050" spans="1:9">
      <c r="A1050" t="s">
        <v>472</v>
      </c>
      <c r="B1050">
        <v>2026</v>
      </c>
      <c r="C1050">
        <v>2</v>
      </c>
      <c r="D1050" t="s">
        <v>75</v>
      </c>
      <c r="E1050" t="s">
        <v>76</v>
      </c>
      <c r="F1050">
        <v>9.1</v>
      </c>
      <c r="G1050">
        <v>71.2</v>
      </c>
      <c r="H1050" t="s">
        <v>11</v>
      </c>
      <c r="I1050" t="str">
        <f t="shared" si="16"/>
        <v>Média</v>
      </c>
    </row>
    <row r="1051" spans="1:9">
      <c r="A1051" t="s">
        <v>474</v>
      </c>
      <c r="B1051">
        <v>2026</v>
      </c>
      <c r="C1051">
        <v>2</v>
      </c>
      <c r="D1051" t="s">
        <v>75</v>
      </c>
      <c r="E1051" t="s">
        <v>78</v>
      </c>
      <c r="F1051">
        <v>9.1</v>
      </c>
      <c r="G1051">
        <v>67.5</v>
      </c>
      <c r="H1051" t="s">
        <v>11</v>
      </c>
      <c r="I1051" t="str">
        <f t="shared" si="16"/>
        <v>Média</v>
      </c>
    </row>
    <row r="1052" spans="1:9">
      <c r="A1052" t="s">
        <v>528</v>
      </c>
      <c r="B1052">
        <v>2026</v>
      </c>
      <c r="C1052">
        <v>2</v>
      </c>
      <c r="D1052" t="s">
        <v>139</v>
      </c>
      <c r="E1052" t="s">
        <v>141</v>
      </c>
      <c r="F1052">
        <v>9.1</v>
      </c>
      <c r="G1052">
        <v>46.8</v>
      </c>
      <c r="H1052" t="s">
        <v>11</v>
      </c>
      <c r="I1052" t="str">
        <f t="shared" si="16"/>
        <v>Baixa</v>
      </c>
    </row>
    <row r="1053" spans="1:9">
      <c r="A1053" t="s">
        <v>27</v>
      </c>
      <c r="B1053">
        <v>2024</v>
      </c>
      <c r="C1053">
        <v>1</v>
      </c>
      <c r="D1053" t="s">
        <v>9</v>
      </c>
      <c r="E1053" t="s">
        <v>12</v>
      </c>
      <c r="F1053">
        <v>9.1999999999999993</v>
      </c>
      <c r="G1053">
        <v>46.5</v>
      </c>
      <c r="H1053" t="s">
        <v>11</v>
      </c>
      <c r="I1053" t="str">
        <f t="shared" si="16"/>
        <v>Baixa</v>
      </c>
    </row>
    <row r="1054" spans="1:9">
      <c r="A1054" t="s">
        <v>99</v>
      </c>
      <c r="B1054">
        <v>2024</v>
      </c>
      <c r="C1054">
        <v>1</v>
      </c>
      <c r="D1054" t="s">
        <v>75</v>
      </c>
      <c r="E1054" t="s">
        <v>76</v>
      </c>
      <c r="F1054">
        <v>9.1999999999999993</v>
      </c>
      <c r="G1054">
        <v>56</v>
      </c>
      <c r="H1054" t="s">
        <v>11</v>
      </c>
      <c r="I1054" t="str">
        <f t="shared" si="16"/>
        <v>Média</v>
      </c>
    </row>
    <row r="1055" spans="1:9">
      <c r="A1055" t="s">
        <v>115</v>
      </c>
      <c r="B1055">
        <v>2024</v>
      </c>
      <c r="C1055">
        <v>1</v>
      </c>
      <c r="D1055" t="s">
        <v>75</v>
      </c>
      <c r="E1055" t="s">
        <v>77</v>
      </c>
      <c r="F1055">
        <v>9.1999999999999993</v>
      </c>
      <c r="G1055">
        <v>81</v>
      </c>
      <c r="H1055" t="s">
        <v>11</v>
      </c>
      <c r="I1055" t="str">
        <f t="shared" si="16"/>
        <v>Alta</v>
      </c>
    </row>
    <row r="1056" spans="1:9">
      <c r="A1056" t="s">
        <v>133</v>
      </c>
      <c r="B1056">
        <v>2024</v>
      </c>
      <c r="C1056">
        <v>1</v>
      </c>
      <c r="D1056" t="s">
        <v>75</v>
      </c>
      <c r="E1056" t="s">
        <v>78</v>
      </c>
      <c r="F1056">
        <v>9.1999999999999993</v>
      </c>
      <c r="G1056">
        <v>72</v>
      </c>
      <c r="H1056" t="s">
        <v>11</v>
      </c>
      <c r="I1056" t="str">
        <f t="shared" si="16"/>
        <v>Média</v>
      </c>
    </row>
    <row r="1057" spans="1:9">
      <c r="A1057" t="s">
        <v>142</v>
      </c>
      <c r="B1057">
        <v>2024</v>
      </c>
      <c r="C1057">
        <v>1</v>
      </c>
      <c r="D1057" t="s">
        <v>139</v>
      </c>
      <c r="E1057" t="s">
        <v>140</v>
      </c>
      <c r="F1057">
        <v>9.1999999999999993</v>
      </c>
      <c r="G1057">
        <v>61.4</v>
      </c>
      <c r="H1057" t="s">
        <v>11</v>
      </c>
      <c r="I1057" t="str">
        <f t="shared" si="16"/>
        <v>Média</v>
      </c>
    </row>
    <row r="1058" spans="1:9">
      <c r="A1058" t="s">
        <v>228</v>
      </c>
      <c r="B1058">
        <v>2025</v>
      </c>
      <c r="C1058">
        <v>1</v>
      </c>
      <c r="D1058" t="s">
        <v>9</v>
      </c>
      <c r="E1058" t="s">
        <v>12</v>
      </c>
      <c r="F1058">
        <v>9.1999999999999993</v>
      </c>
      <c r="G1058">
        <v>62</v>
      </c>
      <c r="H1058" t="s">
        <v>11</v>
      </c>
      <c r="I1058" t="str">
        <f t="shared" si="16"/>
        <v>Média</v>
      </c>
    </row>
    <row r="1059" spans="1:9">
      <c r="A1059" t="s">
        <v>301</v>
      </c>
      <c r="B1059">
        <v>2025</v>
      </c>
      <c r="C1059">
        <v>1</v>
      </c>
      <c r="D1059" t="s">
        <v>75</v>
      </c>
      <c r="E1059" t="s">
        <v>77</v>
      </c>
      <c r="F1059">
        <v>9.1999999999999993</v>
      </c>
      <c r="G1059">
        <v>49.6</v>
      </c>
      <c r="H1059" t="s">
        <v>11</v>
      </c>
      <c r="I1059" t="str">
        <f t="shared" si="16"/>
        <v>Baixa</v>
      </c>
    </row>
    <row r="1060" spans="1:9">
      <c r="A1060" t="s">
        <v>322</v>
      </c>
      <c r="B1060">
        <v>2025</v>
      </c>
      <c r="C1060">
        <v>1</v>
      </c>
      <c r="D1060" t="s">
        <v>139</v>
      </c>
      <c r="E1060" t="s">
        <v>10</v>
      </c>
      <c r="F1060">
        <v>9.1999999999999993</v>
      </c>
      <c r="G1060">
        <v>59.6</v>
      </c>
      <c r="H1060" t="s">
        <v>11</v>
      </c>
      <c r="I1060" t="str">
        <f t="shared" si="16"/>
        <v>Média</v>
      </c>
    </row>
    <row r="1061" spans="1:9">
      <c r="A1061" t="s">
        <v>340</v>
      </c>
      <c r="B1061">
        <v>2025</v>
      </c>
      <c r="C1061">
        <v>1</v>
      </c>
      <c r="D1061" t="s">
        <v>139</v>
      </c>
      <c r="E1061" t="s">
        <v>141</v>
      </c>
      <c r="F1061">
        <v>9.1999999999999993</v>
      </c>
      <c r="G1061">
        <v>96.7</v>
      </c>
      <c r="H1061" t="s">
        <v>11</v>
      </c>
      <c r="I1061" t="str">
        <f t="shared" si="16"/>
        <v>Alta</v>
      </c>
    </row>
    <row r="1062" spans="1:9">
      <c r="A1062" t="s">
        <v>242</v>
      </c>
      <c r="B1062">
        <v>2025</v>
      </c>
      <c r="C1062">
        <v>2</v>
      </c>
      <c r="D1062" t="s">
        <v>9</v>
      </c>
      <c r="E1062" t="s">
        <v>14</v>
      </c>
      <c r="F1062">
        <v>9.1999999999999993</v>
      </c>
      <c r="G1062">
        <v>55.5</v>
      </c>
      <c r="H1062" t="s">
        <v>11</v>
      </c>
      <c r="I1062" t="str">
        <f t="shared" si="16"/>
        <v>Média</v>
      </c>
    </row>
    <row r="1063" spans="1:9">
      <c r="A1063" t="s">
        <v>244</v>
      </c>
      <c r="B1063">
        <v>2025</v>
      </c>
      <c r="C1063">
        <v>2</v>
      </c>
      <c r="D1063" t="s">
        <v>9</v>
      </c>
      <c r="E1063" t="s">
        <v>12</v>
      </c>
      <c r="F1063">
        <v>9.1999999999999993</v>
      </c>
      <c r="G1063">
        <v>61.1</v>
      </c>
      <c r="H1063" t="s">
        <v>11</v>
      </c>
      <c r="I1063" t="str">
        <f t="shared" si="16"/>
        <v>Média</v>
      </c>
    </row>
    <row r="1064" spans="1:9">
      <c r="A1064" t="s">
        <v>260</v>
      </c>
      <c r="B1064">
        <v>2025</v>
      </c>
      <c r="C1064">
        <v>2</v>
      </c>
      <c r="D1064" t="s">
        <v>9</v>
      </c>
      <c r="E1064" t="s">
        <v>14</v>
      </c>
      <c r="F1064">
        <v>9.1999999999999993</v>
      </c>
      <c r="G1064">
        <v>63.1</v>
      </c>
      <c r="H1064" t="s">
        <v>11</v>
      </c>
      <c r="I1064" t="str">
        <f t="shared" si="16"/>
        <v>Média</v>
      </c>
    </row>
    <row r="1065" spans="1:9">
      <c r="A1065" t="s">
        <v>273</v>
      </c>
      <c r="B1065">
        <v>2025</v>
      </c>
      <c r="C1065">
        <v>2</v>
      </c>
      <c r="D1065" t="s">
        <v>75</v>
      </c>
      <c r="E1065" t="s">
        <v>76</v>
      </c>
      <c r="F1065">
        <v>9.1999999999999993</v>
      </c>
      <c r="G1065">
        <v>88.1</v>
      </c>
      <c r="H1065" t="s">
        <v>11</v>
      </c>
      <c r="I1065" t="str">
        <f t="shared" si="16"/>
        <v>Alta</v>
      </c>
    </row>
    <row r="1066" spans="1:9">
      <c r="A1066" t="s">
        <v>386</v>
      </c>
      <c r="B1066">
        <v>2026</v>
      </c>
      <c r="C1066">
        <v>1</v>
      </c>
      <c r="D1066" t="s">
        <v>9</v>
      </c>
      <c r="E1066" t="s">
        <v>12</v>
      </c>
      <c r="F1066">
        <v>9.1999999999999993</v>
      </c>
      <c r="G1066">
        <v>90.2</v>
      </c>
      <c r="H1066" t="s">
        <v>11</v>
      </c>
      <c r="I1066" t="str">
        <f t="shared" si="16"/>
        <v>Alta</v>
      </c>
    </row>
    <row r="1067" spans="1:9">
      <c r="A1067" t="s">
        <v>417</v>
      </c>
      <c r="B1067">
        <v>2026</v>
      </c>
      <c r="C1067">
        <v>1</v>
      </c>
      <c r="D1067" t="s">
        <v>9</v>
      </c>
      <c r="E1067" t="s">
        <v>14</v>
      </c>
      <c r="F1067">
        <v>9.1999999999999993</v>
      </c>
      <c r="G1067">
        <v>59.7</v>
      </c>
      <c r="H1067" t="s">
        <v>11</v>
      </c>
      <c r="I1067" t="str">
        <f t="shared" si="16"/>
        <v>Média</v>
      </c>
    </row>
    <row r="1068" spans="1:9">
      <c r="A1068" t="s">
        <v>425</v>
      </c>
      <c r="B1068">
        <v>2026</v>
      </c>
      <c r="C1068">
        <v>1</v>
      </c>
      <c r="D1068" t="s">
        <v>9</v>
      </c>
      <c r="E1068" t="s">
        <v>12</v>
      </c>
      <c r="F1068">
        <v>9.1999999999999993</v>
      </c>
      <c r="G1068">
        <v>57.2</v>
      </c>
      <c r="H1068" t="s">
        <v>11</v>
      </c>
      <c r="I1068" t="str">
        <f t="shared" si="16"/>
        <v>Média</v>
      </c>
    </row>
    <row r="1069" spans="1:9">
      <c r="A1069" t="s">
        <v>456</v>
      </c>
      <c r="B1069">
        <v>2026</v>
      </c>
      <c r="C1069">
        <v>1</v>
      </c>
      <c r="D1069" t="s">
        <v>75</v>
      </c>
      <c r="E1069" t="s">
        <v>76</v>
      </c>
      <c r="F1069">
        <v>9.1999999999999993</v>
      </c>
      <c r="G1069">
        <v>66.5</v>
      </c>
      <c r="H1069" t="s">
        <v>11</v>
      </c>
      <c r="I1069" t="str">
        <f t="shared" si="16"/>
        <v>Média</v>
      </c>
    </row>
    <row r="1070" spans="1:9">
      <c r="A1070" t="s">
        <v>468</v>
      </c>
      <c r="B1070">
        <v>2026</v>
      </c>
      <c r="C1070">
        <v>1</v>
      </c>
      <c r="D1070" t="s">
        <v>75</v>
      </c>
      <c r="E1070" t="s">
        <v>76</v>
      </c>
      <c r="F1070">
        <v>9.1999999999999993</v>
      </c>
      <c r="G1070">
        <v>87.1</v>
      </c>
      <c r="H1070" t="s">
        <v>11</v>
      </c>
      <c r="I1070" t="str">
        <f t="shared" si="16"/>
        <v>Alta</v>
      </c>
    </row>
    <row r="1071" spans="1:9">
      <c r="A1071" t="s">
        <v>444</v>
      </c>
      <c r="B1071">
        <v>2026</v>
      </c>
      <c r="C1071">
        <v>2</v>
      </c>
      <c r="D1071" t="s">
        <v>75</v>
      </c>
      <c r="E1071" t="s">
        <v>77</v>
      </c>
      <c r="F1071">
        <v>9.1999999999999993</v>
      </c>
      <c r="G1071">
        <v>66.599999999999994</v>
      </c>
      <c r="H1071" t="s">
        <v>11</v>
      </c>
      <c r="I1071" t="str">
        <f t="shared" si="16"/>
        <v>Média</v>
      </c>
    </row>
    <row r="1072" spans="1:9">
      <c r="A1072" t="s">
        <v>530</v>
      </c>
      <c r="B1072">
        <v>2026</v>
      </c>
      <c r="C1072">
        <v>2</v>
      </c>
      <c r="D1072" t="s">
        <v>139</v>
      </c>
      <c r="E1072" t="s">
        <v>140</v>
      </c>
      <c r="F1072">
        <v>9.1999999999999993</v>
      </c>
      <c r="G1072">
        <v>89</v>
      </c>
      <c r="H1072" t="s">
        <v>11</v>
      </c>
      <c r="I1072" t="str">
        <f t="shared" si="16"/>
        <v>Alta</v>
      </c>
    </row>
    <row r="1073" spans="1:9">
      <c r="A1073" t="s">
        <v>54</v>
      </c>
      <c r="B1073">
        <v>2024</v>
      </c>
      <c r="C1073">
        <v>1</v>
      </c>
      <c r="D1073" t="s">
        <v>9</v>
      </c>
      <c r="E1073" t="s">
        <v>12</v>
      </c>
      <c r="F1073">
        <v>9.3000000000000007</v>
      </c>
      <c r="G1073">
        <v>54</v>
      </c>
      <c r="H1073" t="s">
        <v>11</v>
      </c>
      <c r="I1073" t="str">
        <f t="shared" si="16"/>
        <v>Média</v>
      </c>
    </row>
    <row r="1074" spans="1:9">
      <c r="A1074" t="s">
        <v>72</v>
      </c>
      <c r="B1074">
        <v>2024</v>
      </c>
      <c r="C1074">
        <v>1</v>
      </c>
      <c r="D1074" t="s">
        <v>9</v>
      </c>
      <c r="E1074" t="s">
        <v>10</v>
      </c>
      <c r="F1074">
        <v>9.3000000000000007</v>
      </c>
      <c r="G1074">
        <v>84.4</v>
      </c>
      <c r="H1074" t="s">
        <v>11</v>
      </c>
      <c r="I1074" t="str">
        <f t="shared" si="16"/>
        <v>Alta</v>
      </c>
    </row>
    <row r="1075" spans="1:9">
      <c r="A1075" t="s">
        <v>93</v>
      </c>
      <c r="B1075">
        <v>2024</v>
      </c>
      <c r="C1075">
        <v>1</v>
      </c>
      <c r="D1075" t="s">
        <v>75</v>
      </c>
      <c r="E1075" t="s">
        <v>78</v>
      </c>
      <c r="F1075">
        <v>9.3000000000000007</v>
      </c>
      <c r="G1075">
        <v>74.5</v>
      </c>
      <c r="H1075" t="s">
        <v>11</v>
      </c>
      <c r="I1075" t="str">
        <f t="shared" si="16"/>
        <v>Média</v>
      </c>
    </row>
    <row r="1076" spans="1:9">
      <c r="A1076" t="s">
        <v>106</v>
      </c>
      <c r="B1076">
        <v>2024</v>
      </c>
      <c r="C1076">
        <v>1</v>
      </c>
      <c r="D1076" t="s">
        <v>75</v>
      </c>
      <c r="E1076" t="s">
        <v>78</v>
      </c>
      <c r="F1076">
        <v>9.3000000000000007</v>
      </c>
      <c r="G1076">
        <v>67</v>
      </c>
      <c r="H1076" t="s">
        <v>11</v>
      </c>
      <c r="I1076" t="str">
        <f t="shared" si="16"/>
        <v>Média</v>
      </c>
    </row>
    <row r="1077" spans="1:9">
      <c r="A1077" t="s">
        <v>154</v>
      </c>
      <c r="B1077">
        <v>2024</v>
      </c>
      <c r="C1077">
        <v>1</v>
      </c>
      <c r="D1077" t="s">
        <v>139</v>
      </c>
      <c r="E1077" t="s">
        <v>141</v>
      </c>
      <c r="F1077">
        <v>9.3000000000000007</v>
      </c>
      <c r="G1077">
        <v>48.9</v>
      </c>
      <c r="H1077" t="s">
        <v>11</v>
      </c>
      <c r="I1077" t="str">
        <f t="shared" si="16"/>
        <v>Baixa</v>
      </c>
    </row>
    <row r="1078" spans="1:9">
      <c r="A1078" t="s">
        <v>170</v>
      </c>
      <c r="B1078">
        <v>2024</v>
      </c>
      <c r="C1078">
        <v>1</v>
      </c>
      <c r="D1078" t="s">
        <v>139</v>
      </c>
      <c r="E1078" t="s">
        <v>140</v>
      </c>
      <c r="F1078">
        <v>9.3000000000000007</v>
      </c>
      <c r="G1078">
        <v>70.400000000000006</v>
      </c>
      <c r="H1078" t="s">
        <v>11</v>
      </c>
      <c r="I1078" t="str">
        <f t="shared" si="16"/>
        <v>Média</v>
      </c>
    </row>
    <row r="1079" spans="1:9">
      <c r="A1079" t="s">
        <v>175</v>
      </c>
      <c r="B1079">
        <v>2024</v>
      </c>
      <c r="C1079">
        <v>1</v>
      </c>
      <c r="D1079" t="s">
        <v>139</v>
      </c>
      <c r="E1079" t="s">
        <v>140</v>
      </c>
      <c r="F1079">
        <v>9.3000000000000007</v>
      </c>
      <c r="G1079">
        <v>92.7</v>
      </c>
      <c r="H1079" t="s">
        <v>11</v>
      </c>
      <c r="I1079" t="str">
        <f t="shared" si="16"/>
        <v>Alta</v>
      </c>
    </row>
    <row r="1080" spans="1:9">
      <c r="A1080" t="s">
        <v>109</v>
      </c>
      <c r="B1080">
        <v>2024</v>
      </c>
      <c r="C1080">
        <v>2</v>
      </c>
      <c r="D1080" t="s">
        <v>75</v>
      </c>
      <c r="E1080" t="s">
        <v>76</v>
      </c>
      <c r="F1080">
        <v>9.3000000000000007</v>
      </c>
      <c r="G1080">
        <v>66.8</v>
      </c>
      <c r="H1080" t="s">
        <v>11</v>
      </c>
      <c r="I1080" t="str">
        <f t="shared" si="16"/>
        <v>Média</v>
      </c>
    </row>
    <row r="1081" spans="1:9">
      <c r="A1081" t="s">
        <v>163</v>
      </c>
      <c r="B1081">
        <v>2024</v>
      </c>
      <c r="C1081">
        <v>2</v>
      </c>
      <c r="D1081" t="s">
        <v>139</v>
      </c>
      <c r="E1081" t="s">
        <v>141</v>
      </c>
      <c r="F1081">
        <v>9.3000000000000007</v>
      </c>
      <c r="G1081">
        <v>60.6</v>
      </c>
      <c r="H1081" t="s">
        <v>11</v>
      </c>
      <c r="I1081" t="str">
        <f t="shared" si="16"/>
        <v>Média</v>
      </c>
    </row>
    <row r="1082" spans="1:9">
      <c r="A1082" t="s">
        <v>174</v>
      </c>
      <c r="B1082">
        <v>2024</v>
      </c>
      <c r="C1082">
        <v>2</v>
      </c>
      <c r="D1082" t="s">
        <v>139</v>
      </c>
      <c r="E1082" t="s">
        <v>141</v>
      </c>
      <c r="F1082">
        <v>9.3000000000000007</v>
      </c>
      <c r="G1082">
        <v>87.4</v>
      </c>
      <c r="H1082" t="s">
        <v>11</v>
      </c>
      <c r="I1082" t="str">
        <f t="shared" si="16"/>
        <v>Alta</v>
      </c>
    </row>
    <row r="1083" spans="1:9">
      <c r="A1083" t="s">
        <v>180</v>
      </c>
      <c r="B1083">
        <v>2024</v>
      </c>
      <c r="C1083">
        <v>2</v>
      </c>
      <c r="D1083" t="s">
        <v>139</v>
      </c>
      <c r="E1083" t="s">
        <v>10</v>
      </c>
      <c r="F1083">
        <v>9.3000000000000007</v>
      </c>
      <c r="G1083">
        <v>65</v>
      </c>
      <c r="H1083" t="s">
        <v>11</v>
      </c>
      <c r="I1083" t="str">
        <f t="shared" si="16"/>
        <v>Média</v>
      </c>
    </row>
    <row r="1084" spans="1:9">
      <c r="A1084" t="s">
        <v>189</v>
      </c>
      <c r="B1084">
        <v>2024</v>
      </c>
      <c r="C1084">
        <v>2</v>
      </c>
      <c r="D1084" t="s">
        <v>139</v>
      </c>
      <c r="E1084" t="s">
        <v>140</v>
      </c>
      <c r="F1084">
        <v>9.3000000000000007</v>
      </c>
      <c r="G1084">
        <v>45.6</v>
      </c>
      <c r="H1084" t="s">
        <v>11</v>
      </c>
      <c r="I1084" t="str">
        <f t="shared" si="16"/>
        <v>Baixa</v>
      </c>
    </row>
    <row r="1085" spans="1:9">
      <c r="A1085" t="s">
        <v>250</v>
      </c>
      <c r="B1085">
        <v>2025</v>
      </c>
      <c r="C1085">
        <v>1</v>
      </c>
      <c r="D1085" t="s">
        <v>9</v>
      </c>
      <c r="E1085" t="s">
        <v>10</v>
      </c>
      <c r="F1085">
        <v>9.3000000000000007</v>
      </c>
      <c r="G1085">
        <v>80.400000000000006</v>
      </c>
      <c r="H1085" t="s">
        <v>11</v>
      </c>
      <c r="I1085" t="str">
        <f t="shared" si="16"/>
        <v>Alta</v>
      </c>
    </row>
    <row r="1086" spans="1:9">
      <c r="A1086" t="s">
        <v>272</v>
      </c>
      <c r="B1086">
        <v>2025</v>
      </c>
      <c r="C1086">
        <v>1</v>
      </c>
      <c r="D1086" t="s">
        <v>75</v>
      </c>
      <c r="E1086" t="s">
        <v>77</v>
      </c>
      <c r="F1086">
        <v>9.3000000000000007</v>
      </c>
      <c r="G1086">
        <v>66.7</v>
      </c>
      <c r="H1086" t="s">
        <v>11</v>
      </c>
      <c r="I1086" t="str">
        <f t="shared" si="16"/>
        <v>Média</v>
      </c>
    </row>
    <row r="1087" spans="1:9">
      <c r="A1087" t="s">
        <v>307</v>
      </c>
      <c r="B1087">
        <v>2025</v>
      </c>
      <c r="C1087">
        <v>1</v>
      </c>
      <c r="D1087" t="s">
        <v>75</v>
      </c>
      <c r="E1087" t="s">
        <v>78</v>
      </c>
      <c r="F1087">
        <v>9.3000000000000007</v>
      </c>
      <c r="G1087">
        <v>70.099999999999994</v>
      </c>
      <c r="H1087" t="s">
        <v>11</v>
      </c>
      <c r="I1087" t="str">
        <f t="shared" si="16"/>
        <v>Média</v>
      </c>
    </row>
    <row r="1088" spans="1:9">
      <c r="A1088" t="s">
        <v>332</v>
      </c>
      <c r="B1088">
        <v>2025</v>
      </c>
      <c r="C1088">
        <v>1</v>
      </c>
      <c r="D1088" t="s">
        <v>139</v>
      </c>
      <c r="E1088" t="s">
        <v>141</v>
      </c>
      <c r="F1088">
        <v>9.3000000000000007</v>
      </c>
      <c r="G1088">
        <v>45.8</v>
      </c>
      <c r="H1088" t="s">
        <v>11</v>
      </c>
      <c r="I1088" t="str">
        <f t="shared" si="16"/>
        <v>Baixa</v>
      </c>
    </row>
    <row r="1089" spans="1:9">
      <c r="A1089" t="s">
        <v>380</v>
      </c>
      <c r="B1089">
        <v>2025</v>
      </c>
      <c r="C1089">
        <v>1</v>
      </c>
      <c r="D1089" t="s">
        <v>139</v>
      </c>
      <c r="E1089" t="s">
        <v>10</v>
      </c>
      <c r="F1089">
        <v>9.3000000000000007</v>
      </c>
      <c r="G1089">
        <v>95</v>
      </c>
      <c r="H1089" t="s">
        <v>11</v>
      </c>
      <c r="I1089" t="str">
        <f t="shared" si="16"/>
        <v>Alta</v>
      </c>
    </row>
    <row r="1090" spans="1:9">
      <c r="A1090" t="s">
        <v>210</v>
      </c>
      <c r="B1090">
        <v>2025</v>
      </c>
      <c r="C1090">
        <v>2</v>
      </c>
      <c r="D1090" t="s">
        <v>9</v>
      </c>
      <c r="E1090" t="s">
        <v>14</v>
      </c>
      <c r="F1090">
        <v>9.3000000000000007</v>
      </c>
      <c r="G1090">
        <v>54.3</v>
      </c>
      <c r="H1090" t="s">
        <v>11</v>
      </c>
      <c r="I1090" t="str">
        <f t="shared" ref="I1090:I1153" si="17">IF(G1090&lt;50,"Baixa",IF(G1090&lt;75,"Média","Alta"))</f>
        <v>Média</v>
      </c>
    </row>
    <row r="1091" spans="1:9">
      <c r="A1091" t="s">
        <v>224</v>
      </c>
      <c r="B1091">
        <v>2025</v>
      </c>
      <c r="C1091">
        <v>2</v>
      </c>
      <c r="D1091" t="s">
        <v>9</v>
      </c>
      <c r="E1091" t="s">
        <v>14</v>
      </c>
      <c r="F1091">
        <v>9.3000000000000007</v>
      </c>
      <c r="G1091">
        <v>71.900000000000006</v>
      </c>
      <c r="H1091" t="s">
        <v>11</v>
      </c>
      <c r="I1091" t="str">
        <f t="shared" si="17"/>
        <v>Média</v>
      </c>
    </row>
    <row r="1092" spans="1:9">
      <c r="A1092" t="s">
        <v>226</v>
      </c>
      <c r="B1092">
        <v>2025</v>
      </c>
      <c r="C1092">
        <v>2</v>
      </c>
      <c r="D1092" t="s">
        <v>9</v>
      </c>
      <c r="E1092" t="s">
        <v>10</v>
      </c>
      <c r="F1092">
        <v>9.3000000000000007</v>
      </c>
      <c r="G1092">
        <v>86.8</v>
      </c>
      <c r="H1092" t="s">
        <v>11</v>
      </c>
      <c r="I1092" t="str">
        <f t="shared" si="17"/>
        <v>Alta</v>
      </c>
    </row>
    <row r="1093" spans="1:9">
      <c r="A1093" t="s">
        <v>287</v>
      </c>
      <c r="B1093">
        <v>2025</v>
      </c>
      <c r="C1093">
        <v>2</v>
      </c>
      <c r="D1093" t="s">
        <v>75</v>
      </c>
      <c r="E1093" t="s">
        <v>78</v>
      </c>
      <c r="F1093">
        <v>9.3000000000000007</v>
      </c>
      <c r="G1093">
        <v>92</v>
      </c>
      <c r="H1093" t="s">
        <v>11</v>
      </c>
      <c r="I1093" t="str">
        <f t="shared" si="17"/>
        <v>Alta</v>
      </c>
    </row>
    <row r="1094" spans="1:9">
      <c r="A1094" t="s">
        <v>349</v>
      </c>
      <c r="B1094">
        <v>2025</v>
      </c>
      <c r="C1094">
        <v>2</v>
      </c>
      <c r="D1094" t="s">
        <v>139</v>
      </c>
      <c r="E1094" t="s">
        <v>140</v>
      </c>
      <c r="F1094">
        <v>9.3000000000000007</v>
      </c>
      <c r="G1094">
        <v>68.7</v>
      </c>
      <c r="H1094" t="s">
        <v>11</v>
      </c>
      <c r="I1094" t="str">
        <f t="shared" si="17"/>
        <v>Média</v>
      </c>
    </row>
    <row r="1095" spans="1:9">
      <c r="A1095" t="s">
        <v>361</v>
      </c>
      <c r="B1095">
        <v>2025</v>
      </c>
      <c r="C1095">
        <v>2</v>
      </c>
      <c r="D1095" t="s">
        <v>139</v>
      </c>
      <c r="E1095" t="s">
        <v>141</v>
      </c>
      <c r="F1095">
        <v>9.3000000000000007</v>
      </c>
      <c r="G1095">
        <v>84.9</v>
      </c>
      <c r="H1095" t="s">
        <v>11</v>
      </c>
      <c r="I1095" t="str">
        <f t="shared" si="17"/>
        <v>Alta</v>
      </c>
    </row>
    <row r="1096" spans="1:9">
      <c r="A1096" t="s">
        <v>425</v>
      </c>
      <c r="B1096">
        <v>2026</v>
      </c>
      <c r="C1096">
        <v>1</v>
      </c>
      <c r="D1096" t="s">
        <v>9</v>
      </c>
      <c r="E1096" t="s">
        <v>10</v>
      </c>
      <c r="F1096">
        <v>9.3000000000000007</v>
      </c>
      <c r="G1096">
        <v>57.6</v>
      </c>
      <c r="H1096" t="s">
        <v>11</v>
      </c>
      <c r="I1096" t="str">
        <f t="shared" si="17"/>
        <v>Média</v>
      </c>
    </row>
    <row r="1097" spans="1:9">
      <c r="A1097" t="s">
        <v>438</v>
      </c>
      <c r="B1097">
        <v>2026</v>
      </c>
      <c r="C1097">
        <v>1</v>
      </c>
      <c r="D1097" t="s">
        <v>9</v>
      </c>
      <c r="E1097" t="s">
        <v>14</v>
      </c>
      <c r="F1097">
        <v>9.3000000000000007</v>
      </c>
      <c r="G1097">
        <v>77.2</v>
      </c>
      <c r="H1097" t="s">
        <v>11</v>
      </c>
      <c r="I1097" t="str">
        <f t="shared" si="17"/>
        <v>Alta</v>
      </c>
    </row>
    <row r="1098" spans="1:9">
      <c r="A1098" t="s">
        <v>443</v>
      </c>
      <c r="B1098">
        <v>2026</v>
      </c>
      <c r="C1098">
        <v>1</v>
      </c>
      <c r="D1098" t="s">
        <v>75</v>
      </c>
      <c r="E1098" t="s">
        <v>78</v>
      </c>
      <c r="F1098">
        <v>9.3000000000000007</v>
      </c>
      <c r="G1098">
        <v>48.3</v>
      </c>
      <c r="H1098" t="s">
        <v>11</v>
      </c>
      <c r="I1098" t="str">
        <f t="shared" si="17"/>
        <v>Baixa</v>
      </c>
    </row>
    <row r="1099" spans="1:9">
      <c r="A1099" t="s">
        <v>457</v>
      </c>
      <c r="B1099">
        <v>2026</v>
      </c>
      <c r="C1099">
        <v>1</v>
      </c>
      <c r="D1099" t="s">
        <v>75</v>
      </c>
      <c r="E1099" t="s">
        <v>77</v>
      </c>
      <c r="F1099">
        <v>9.3000000000000007</v>
      </c>
      <c r="G1099">
        <v>68.7</v>
      </c>
      <c r="H1099" t="s">
        <v>11</v>
      </c>
      <c r="I1099" t="str">
        <f t="shared" si="17"/>
        <v>Média</v>
      </c>
    </row>
    <row r="1100" spans="1:9">
      <c r="A1100" t="s">
        <v>465</v>
      </c>
      <c r="B1100">
        <v>2026</v>
      </c>
      <c r="C1100">
        <v>1</v>
      </c>
      <c r="D1100" t="s">
        <v>75</v>
      </c>
      <c r="E1100" t="s">
        <v>78</v>
      </c>
      <c r="F1100">
        <v>9.3000000000000007</v>
      </c>
      <c r="G1100">
        <v>91.3</v>
      </c>
      <c r="H1100" t="s">
        <v>11</v>
      </c>
      <c r="I1100" t="str">
        <f t="shared" si="17"/>
        <v>Alta</v>
      </c>
    </row>
    <row r="1101" spans="1:9">
      <c r="A1101" t="s">
        <v>487</v>
      </c>
      <c r="B1101">
        <v>2026</v>
      </c>
      <c r="C1101">
        <v>1</v>
      </c>
      <c r="D1101" t="s">
        <v>75</v>
      </c>
      <c r="E1101" t="s">
        <v>77</v>
      </c>
      <c r="F1101">
        <v>9.3000000000000007</v>
      </c>
      <c r="G1101">
        <v>56.2</v>
      </c>
      <c r="H1101" t="s">
        <v>11</v>
      </c>
      <c r="I1101" t="str">
        <f t="shared" si="17"/>
        <v>Média</v>
      </c>
    </row>
    <row r="1102" spans="1:9">
      <c r="A1102" t="s">
        <v>524</v>
      </c>
      <c r="B1102">
        <v>2026</v>
      </c>
      <c r="C1102">
        <v>1</v>
      </c>
      <c r="D1102" t="s">
        <v>139</v>
      </c>
      <c r="E1102" t="s">
        <v>141</v>
      </c>
      <c r="F1102">
        <v>9.3000000000000007</v>
      </c>
      <c r="G1102">
        <v>60.4</v>
      </c>
      <c r="H1102" t="s">
        <v>11</v>
      </c>
      <c r="I1102" t="str">
        <f t="shared" si="17"/>
        <v>Média</v>
      </c>
    </row>
    <row r="1103" spans="1:9">
      <c r="A1103" t="s">
        <v>546</v>
      </c>
      <c r="B1103">
        <v>2026</v>
      </c>
      <c r="C1103">
        <v>1</v>
      </c>
      <c r="D1103" t="s">
        <v>139</v>
      </c>
      <c r="E1103" t="s">
        <v>140</v>
      </c>
      <c r="F1103">
        <v>9.3000000000000007</v>
      </c>
      <c r="G1103">
        <v>48.5</v>
      </c>
      <c r="H1103" t="s">
        <v>11</v>
      </c>
      <c r="I1103" t="str">
        <f t="shared" si="17"/>
        <v>Baixa</v>
      </c>
    </row>
    <row r="1104" spans="1:9">
      <c r="A1104" t="s">
        <v>410</v>
      </c>
      <c r="B1104">
        <v>2026</v>
      </c>
      <c r="C1104">
        <v>2</v>
      </c>
      <c r="D1104" t="s">
        <v>9</v>
      </c>
      <c r="E1104" t="s">
        <v>10</v>
      </c>
      <c r="F1104">
        <v>9.3000000000000007</v>
      </c>
      <c r="G1104">
        <v>75</v>
      </c>
      <c r="H1104" t="s">
        <v>11</v>
      </c>
      <c r="I1104" t="str">
        <f t="shared" si="17"/>
        <v>Alta</v>
      </c>
    </row>
    <row r="1105" spans="1:9">
      <c r="A1105" t="s">
        <v>471</v>
      </c>
      <c r="B1105">
        <v>2026</v>
      </c>
      <c r="C1105">
        <v>2</v>
      </c>
      <c r="D1105" t="s">
        <v>75</v>
      </c>
      <c r="E1105" t="s">
        <v>77</v>
      </c>
      <c r="F1105">
        <v>9.3000000000000007</v>
      </c>
      <c r="G1105">
        <v>49.1</v>
      </c>
      <c r="H1105" t="s">
        <v>11</v>
      </c>
      <c r="I1105" t="str">
        <f t="shared" si="17"/>
        <v>Baixa</v>
      </c>
    </row>
    <row r="1106" spans="1:9">
      <c r="A1106" t="s">
        <v>472</v>
      </c>
      <c r="B1106">
        <v>2026</v>
      </c>
      <c r="C1106">
        <v>2</v>
      </c>
      <c r="D1106" t="s">
        <v>75</v>
      </c>
      <c r="E1106" t="s">
        <v>78</v>
      </c>
      <c r="F1106">
        <v>9.3000000000000007</v>
      </c>
      <c r="G1106">
        <v>73.5</v>
      </c>
      <c r="H1106" t="s">
        <v>11</v>
      </c>
      <c r="I1106" t="str">
        <f t="shared" si="17"/>
        <v>Média</v>
      </c>
    </row>
    <row r="1107" spans="1:9">
      <c r="A1107" t="s">
        <v>495</v>
      </c>
      <c r="B1107">
        <v>2026</v>
      </c>
      <c r="C1107">
        <v>2</v>
      </c>
      <c r="D1107" t="s">
        <v>75</v>
      </c>
      <c r="E1107" t="s">
        <v>77</v>
      </c>
      <c r="F1107">
        <v>9.3000000000000007</v>
      </c>
      <c r="G1107">
        <v>76.599999999999994</v>
      </c>
      <c r="H1107" t="s">
        <v>11</v>
      </c>
      <c r="I1107" t="str">
        <f t="shared" si="17"/>
        <v>Alta</v>
      </c>
    </row>
    <row r="1108" spans="1:9">
      <c r="A1108" t="s">
        <v>499</v>
      </c>
      <c r="B1108">
        <v>2026</v>
      </c>
      <c r="C1108">
        <v>2</v>
      </c>
      <c r="D1108" t="s">
        <v>75</v>
      </c>
      <c r="E1108" t="s">
        <v>77</v>
      </c>
      <c r="F1108">
        <v>9.3000000000000007</v>
      </c>
      <c r="G1108">
        <v>93.5</v>
      </c>
      <c r="H1108" t="s">
        <v>11</v>
      </c>
      <c r="I1108" t="str">
        <f t="shared" si="17"/>
        <v>Alta</v>
      </c>
    </row>
    <row r="1109" spans="1:9">
      <c r="A1109" t="s">
        <v>519</v>
      </c>
      <c r="B1109">
        <v>2026</v>
      </c>
      <c r="C1109">
        <v>2</v>
      </c>
      <c r="D1109" t="s">
        <v>139</v>
      </c>
      <c r="E1109" t="s">
        <v>141</v>
      </c>
      <c r="F1109">
        <v>9.3000000000000007</v>
      </c>
      <c r="G1109">
        <v>46.2</v>
      </c>
      <c r="H1109" t="s">
        <v>11</v>
      </c>
      <c r="I1109" t="str">
        <f t="shared" si="17"/>
        <v>Baixa</v>
      </c>
    </row>
    <row r="1110" spans="1:9">
      <c r="A1110" t="s">
        <v>544</v>
      </c>
      <c r="B1110">
        <v>2026</v>
      </c>
      <c r="C1110">
        <v>2</v>
      </c>
      <c r="D1110" t="s">
        <v>139</v>
      </c>
      <c r="E1110" t="s">
        <v>141</v>
      </c>
      <c r="F1110">
        <v>9.3000000000000007</v>
      </c>
      <c r="G1110">
        <v>64.2</v>
      </c>
      <c r="H1110" t="s">
        <v>11</v>
      </c>
      <c r="I1110" t="str">
        <f t="shared" si="17"/>
        <v>Média</v>
      </c>
    </row>
    <row r="1111" spans="1:9">
      <c r="A1111" t="s">
        <v>26</v>
      </c>
      <c r="B1111">
        <v>2024</v>
      </c>
      <c r="C1111">
        <v>1</v>
      </c>
      <c r="D1111" t="s">
        <v>9</v>
      </c>
      <c r="E1111" t="s">
        <v>14</v>
      </c>
      <c r="F1111">
        <v>9.4</v>
      </c>
      <c r="G1111">
        <v>45.5</v>
      </c>
      <c r="H1111" t="s">
        <v>11</v>
      </c>
      <c r="I1111" t="str">
        <f t="shared" si="17"/>
        <v>Baixa</v>
      </c>
    </row>
    <row r="1112" spans="1:9">
      <c r="A1112" t="s">
        <v>47</v>
      </c>
      <c r="B1112">
        <v>2024</v>
      </c>
      <c r="C1112">
        <v>1</v>
      </c>
      <c r="D1112" t="s">
        <v>9</v>
      </c>
      <c r="E1112" t="s">
        <v>12</v>
      </c>
      <c r="F1112">
        <v>9.4</v>
      </c>
      <c r="G1112">
        <v>48.3</v>
      </c>
      <c r="H1112" t="s">
        <v>11</v>
      </c>
      <c r="I1112" t="str">
        <f t="shared" si="17"/>
        <v>Baixa</v>
      </c>
    </row>
    <row r="1113" spans="1:9">
      <c r="A1113" t="s">
        <v>50</v>
      </c>
      <c r="B1113">
        <v>2024</v>
      </c>
      <c r="C1113">
        <v>1</v>
      </c>
      <c r="D1113" t="s">
        <v>9</v>
      </c>
      <c r="E1113" t="s">
        <v>10</v>
      </c>
      <c r="F1113">
        <v>9.4</v>
      </c>
      <c r="G1113">
        <v>87.5</v>
      </c>
      <c r="H1113" t="s">
        <v>11</v>
      </c>
      <c r="I1113" t="str">
        <f t="shared" si="17"/>
        <v>Alta</v>
      </c>
    </row>
    <row r="1114" spans="1:9">
      <c r="A1114" t="s">
        <v>129</v>
      </c>
      <c r="B1114">
        <v>2024</v>
      </c>
      <c r="C1114">
        <v>1</v>
      </c>
      <c r="D1114" t="s">
        <v>75</v>
      </c>
      <c r="E1114" t="s">
        <v>77</v>
      </c>
      <c r="F1114">
        <v>9.4</v>
      </c>
      <c r="G1114">
        <v>45.3</v>
      </c>
      <c r="H1114" t="s">
        <v>11</v>
      </c>
      <c r="I1114" t="str">
        <f t="shared" si="17"/>
        <v>Baixa</v>
      </c>
    </row>
    <row r="1115" spans="1:9">
      <c r="A1115" t="s">
        <v>31</v>
      </c>
      <c r="B1115">
        <v>2024</v>
      </c>
      <c r="C1115">
        <v>2</v>
      </c>
      <c r="D1115" t="s">
        <v>9</v>
      </c>
      <c r="E1115" t="s">
        <v>10</v>
      </c>
      <c r="F1115">
        <v>9.4</v>
      </c>
      <c r="G1115">
        <v>55</v>
      </c>
      <c r="H1115" t="s">
        <v>11</v>
      </c>
      <c r="I1115" t="str">
        <f t="shared" si="17"/>
        <v>Média</v>
      </c>
    </row>
    <row r="1116" spans="1:9">
      <c r="A1116" t="s">
        <v>82</v>
      </c>
      <c r="B1116">
        <v>2024</v>
      </c>
      <c r="C1116">
        <v>2</v>
      </c>
      <c r="D1116" t="s">
        <v>75</v>
      </c>
      <c r="E1116" t="s">
        <v>77</v>
      </c>
      <c r="F1116">
        <v>9.4</v>
      </c>
      <c r="G1116">
        <v>67.3</v>
      </c>
      <c r="H1116" t="s">
        <v>11</v>
      </c>
      <c r="I1116" t="str">
        <f t="shared" si="17"/>
        <v>Média</v>
      </c>
    </row>
    <row r="1117" spans="1:9">
      <c r="A1117" t="s">
        <v>87</v>
      </c>
      <c r="B1117">
        <v>2024</v>
      </c>
      <c r="C1117">
        <v>2</v>
      </c>
      <c r="D1117" t="s">
        <v>75</v>
      </c>
      <c r="E1117" t="s">
        <v>77</v>
      </c>
      <c r="F1117">
        <v>9.4</v>
      </c>
      <c r="G1117">
        <v>66.3</v>
      </c>
      <c r="H1117" t="s">
        <v>11</v>
      </c>
      <c r="I1117" t="str">
        <f t="shared" si="17"/>
        <v>Média</v>
      </c>
    </row>
    <row r="1118" spans="1:9">
      <c r="A1118" t="s">
        <v>97</v>
      </c>
      <c r="B1118">
        <v>2024</v>
      </c>
      <c r="C1118">
        <v>2</v>
      </c>
      <c r="D1118" t="s">
        <v>75</v>
      </c>
      <c r="E1118" t="s">
        <v>78</v>
      </c>
      <c r="F1118">
        <v>9.4</v>
      </c>
      <c r="G1118">
        <v>82.5</v>
      </c>
      <c r="H1118" t="s">
        <v>11</v>
      </c>
      <c r="I1118" t="str">
        <f t="shared" si="17"/>
        <v>Alta</v>
      </c>
    </row>
    <row r="1119" spans="1:9">
      <c r="A1119" t="s">
        <v>122</v>
      </c>
      <c r="B1119">
        <v>2024</v>
      </c>
      <c r="C1119">
        <v>2</v>
      </c>
      <c r="D1119" t="s">
        <v>75</v>
      </c>
      <c r="E1119" t="s">
        <v>78</v>
      </c>
      <c r="F1119">
        <v>9.4</v>
      </c>
      <c r="G1119">
        <v>86.1</v>
      </c>
      <c r="H1119" t="s">
        <v>11</v>
      </c>
      <c r="I1119" t="str">
        <f t="shared" si="17"/>
        <v>Alta</v>
      </c>
    </row>
    <row r="1120" spans="1:9">
      <c r="A1120" t="s">
        <v>124</v>
      </c>
      <c r="B1120">
        <v>2024</v>
      </c>
      <c r="C1120">
        <v>2</v>
      </c>
      <c r="D1120" t="s">
        <v>75</v>
      </c>
      <c r="E1120" t="s">
        <v>77</v>
      </c>
      <c r="F1120">
        <v>9.4</v>
      </c>
      <c r="G1120">
        <v>77.400000000000006</v>
      </c>
      <c r="H1120" t="s">
        <v>11</v>
      </c>
      <c r="I1120" t="str">
        <f t="shared" si="17"/>
        <v>Alta</v>
      </c>
    </row>
    <row r="1121" spans="1:9">
      <c r="A1121" t="s">
        <v>165</v>
      </c>
      <c r="B1121">
        <v>2024</v>
      </c>
      <c r="C1121">
        <v>2</v>
      </c>
      <c r="D1121" t="s">
        <v>139</v>
      </c>
      <c r="E1121" t="s">
        <v>10</v>
      </c>
      <c r="F1121">
        <v>9.4</v>
      </c>
      <c r="G1121">
        <v>48.2</v>
      </c>
      <c r="H1121" t="s">
        <v>11</v>
      </c>
      <c r="I1121" t="str">
        <f t="shared" si="17"/>
        <v>Baixa</v>
      </c>
    </row>
    <row r="1122" spans="1:9">
      <c r="A1122" t="s">
        <v>168</v>
      </c>
      <c r="B1122">
        <v>2024</v>
      </c>
      <c r="C1122">
        <v>2</v>
      </c>
      <c r="D1122" t="s">
        <v>139</v>
      </c>
      <c r="E1122" t="s">
        <v>141</v>
      </c>
      <c r="F1122">
        <v>9.4</v>
      </c>
      <c r="G1122">
        <v>45.9</v>
      </c>
      <c r="H1122" t="s">
        <v>11</v>
      </c>
      <c r="I1122" t="str">
        <f t="shared" si="17"/>
        <v>Baixa</v>
      </c>
    </row>
    <row r="1123" spans="1:9">
      <c r="A1123" t="s">
        <v>255</v>
      </c>
      <c r="B1123">
        <v>2025</v>
      </c>
      <c r="C1123">
        <v>1</v>
      </c>
      <c r="D1123" t="s">
        <v>9</v>
      </c>
      <c r="E1123" t="s">
        <v>10</v>
      </c>
      <c r="F1123">
        <v>9.4</v>
      </c>
      <c r="G1123">
        <v>69.7</v>
      </c>
      <c r="H1123" t="s">
        <v>11</v>
      </c>
      <c r="I1123" t="str">
        <f t="shared" si="17"/>
        <v>Média</v>
      </c>
    </row>
    <row r="1124" spans="1:9">
      <c r="A1124" t="s">
        <v>265</v>
      </c>
      <c r="B1124">
        <v>2025</v>
      </c>
      <c r="C1124">
        <v>1</v>
      </c>
      <c r="D1124" t="s">
        <v>75</v>
      </c>
      <c r="E1124" t="s">
        <v>76</v>
      </c>
      <c r="F1124">
        <v>9.4</v>
      </c>
      <c r="G1124">
        <v>46.2</v>
      </c>
      <c r="H1124" t="s">
        <v>11</v>
      </c>
      <c r="I1124" t="str">
        <f t="shared" si="17"/>
        <v>Baixa</v>
      </c>
    </row>
    <row r="1125" spans="1:9">
      <c r="A1125" t="s">
        <v>279</v>
      </c>
      <c r="B1125">
        <v>2025</v>
      </c>
      <c r="C1125">
        <v>1</v>
      </c>
      <c r="D1125" t="s">
        <v>75</v>
      </c>
      <c r="E1125" t="s">
        <v>78</v>
      </c>
      <c r="F1125">
        <v>9.4</v>
      </c>
      <c r="G1125">
        <v>97.3</v>
      </c>
      <c r="H1125" t="s">
        <v>11</v>
      </c>
      <c r="I1125" t="str">
        <f t="shared" si="17"/>
        <v>Alta</v>
      </c>
    </row>
    <row r="1126" spans="1:9">
      <c r="A1126" t="s">
        <v>337</v>
      </c>
      <c r="B1126">
        <v>2025</v>
      </c>
      <c r="C1126">
        <v>1</v>
      </c>
      <c r="D1126" t="s">
        <v>139</v>
      </c>
      <c r="E1126" t="s">
        <v>10</v>
      </c>
      <c r="F1126">
        <v>9.4</v>
      </c>
      <c r="G1126">
        <v>55.4</v>
      </c>
      <c r="H1126" t="s">
        <v>11</v>
      </c>
      <c r="I1126" t="str">
        <f t="shared" si="17"/>
        <v>Média</v>
      </c>
    </row>
    <row r="1127" spans="1:9">
      <c r="A1127" t="s">
        <v>339</v>
      </c>
      <c r="B1127">
        <v>2025</v>
      </c>
      <c r="C1127">
        <v>1</v>
      </c>
      <c r="D1127" t="s">
        <v>139</v>
      </c>
      <c r="E1127" t="s">
        <v>140</v>
      </c>
      <c r="F1127">
        <v>9.4</v>
      </c>
      <c r="G1127">
        <v>46.7</v>
      </c>
      <c r="H1127" t="s">
        <v>11</v>
      </c>
      <c r="I1127" t="str">
        <f t="shared" si="17"/>
        <v>Baixa</v>
      </c>
    </row>
    <row r="1128" spans="1:9">
      <c r="A1128" t="s">
        <v>352</v>
      </c>
      <c r="B1128">
        <v>2025</v>
      </c>
      <c r="C1128">
        <v>1</v>
      </c>
      <c r="D1128" t="s">
        <v>139</v>
      </c>
      <c r="E1128" t="s">
        <v>10</v>
      </c>
      <c r="F1128">
        <v>9.4</v>
      </c>
      <c r="G1128">
        <v>63.8</v>
      </c>
      <c r="H1128" t="s">
        <v>11</v>
      </c>
      <c r="I1128" t="str">
        <f t="shared" si="17"/>
        <v>Média</v>
      </c>
    </row>
    <row r="1129" spans="1:9">
      <c r="A1129" t="s">
        <v>373</v>
      </c>
      <c r="B1129">
        <v>2025</v>
      </c>
      <c r="C1129">
        <v>1</v>
      </c>
      <c r="D1129" t="s">
        <v>139</v>
      </c>
      <c r="E1129" t="s">
        <v>10</v>
      </c>
      <c r="F1129">
        <v>9.4</v>
      </c>
      <c r="G1129">
        <v>68.2</v>
      </c>
      <c r="H1129" t="s">
        <v>11</v>
      </c>
      <c r="I1129" t="str">
        <f t="shared" si="17"/>
        <v>Média</v>
      </c>
    </row>
    <row r="1130" spans="1:9">
      <c r="A1130" t="s">
        <v>243</v>
      </c>
      <c r="B1130">
        <v>2025</v>
      </c>
      <c r="C1130">
        <v>2</v>
      </c>
      <c r="D1130" t="s">
        <v>9</v>
      </c>
      <c r="E1130" t="s">
        <v>12</v>
      </c>
      <c r="F1130">
        <v>9.4</v>
      </c>
      <c r="G1130">
        <v>47.3</v>
      </c>
      <c r="H1130" t="s">
        <v>11</v>
      </c>
      <c r="I1130" t="str">
        <f t="shared" si="17"/>
        <v>Baixa</v>
      </c>
    </row>
    <row r="1131" spans="1:9">
      <c r="A1131" t="s">
        <v>255</v>
      </c>
      <c r="B1131">
        <v>2025</v>
      </c>
      <c r="C1131">
        <v>2</v>
      </c>
      <c r="D1131" t="s">
        <v>9</v>
      </c>
      <c r="E1131" t="s">
        <v>12</v>
      </c>
      <c r="F1131">
        <v>9.4</v>
      </c>
      <c r="G1131">
        <v>61.2</v>
      </c>
      <c r="H1131" t="s">
        <v>11</v>
      </c>
      <c r="I1131" t="str">
        <f t="shared" si="17"/>
        <v>Média</v>
      </c>
    </row>
    <row r="1132" spans="1:9">
      <c r="A1132" t="s">
        <v>503</v>
      </c>
      <c r="B1132">
        <v>2026</v>
      </c>
      <c r="C1132">
        <v>1</v>
      </c>
      <c r="D1132" t="s">
        <v>139</v>
      </c>
      <c r="E1132" t="s">
        <v>141</v>
      </c>
      <c r="F1132">
        <v>9.4</v>
      </c>
      <c r="G1132">
        <v>82.8</v>
      </c>
      <c r="H1132" t="s">
        <v>11</v>
      </c>
      <c r="I1132" t="str">
        <f t="shared" si="17"/>
        <v>Alta</v>
      </c>
    </row>
    <row r="1133" spans="1:9">
      <c r="A1133" t="s">
        <v>532</v>
      </c>
      <c r="B1133">
        <v>2026</v>
      </c>
      <c r="C1133">
        <v>1</v>
      </c>
      <c r="D1133" t="s">
        <v>139</v>
      </c>
      <c r="E1133" t="s">
        <v>140</v>
      </c>
      <c r="F1133">
        <v>9.4</v>
      </c>
      <c r="G1133">
        <v>77.599999999999994</v>
      </c>
      <c r="H1133" t="s">
        <v>11</v>
      </c>
      <c r="I1133" t="str">
        <f t="shared" si="17"/>
        <v>Alta</v>
      </c>
    </row>
    <row r="1134" spans="1:9">
      <c r="A1134" t="s">
        <v>548</v>
      </c>
      <c r="B1134">
        <v>2026</v>
      </c>
      <c r="C1134">
        <v>1</v>
      </c>
      <c r="D1134" t="s">
        <v>139</v>
      </c>
      <c r="E1134" t="s">
        <v>10</v>
      </c>
      <c r="F1134">
        <v>9.4</v>
      </c>
      <c r="G1134">
        <v>62.1</v>
      </c>
      <c r="H1134" t="s">
        <v>11</v>
      </c>
      <c r="I1134" t="str">
        <f t="shared" si="17"/>
        <v>Média</v>
      </c>
    </row>
    <row r="1135" spans="1:9">
      <c r="A1135" t="s">
        <v>400</v>
      </c>
      <c r="B1135">
        <v>2026</v>
      </c>
      <c r="C1135">
        <v>2</v>
      </c>
      <c r="D1135" t="s">
        <v>9</v>
      </c>
      <c r="E1135" t="s">
        <v>14</v>
      </c>
      <c r="F1135">
        <v>9.4</v>
      </c>
      <c r="G1135">
        <v>52.4</v>
      </c>
      <c r="H1135" t="s">
        <v>11</v>
      </c>
      <c r="I1135" t="str">
        <f t="shared" si="17"/>
        <v>Média</v>
      </c>
    </row>
    <row r="1136" spans="1:9">
      <c r="A1136" t="s">
        <v>473</v>
      </c>
      <c r="B1136">
        <v>2026</v>
      </c>
      <c r="C1136">
        <v>2</v>
      </c>
      <c r="D1136" t="s">
        <v>75</v>
      </c>
      <c r="E1136" t="s">
        <v>78</v>
      </c>
      <c r="F1136">
        <v>9.4</v>
      </c>
      <c r="G1136">
        <v>48.7</v>
      </c>
      <c r="H1136" t="s">
        <v>11</v>
      </c>
      <c r="I1136" t="str">
        <f t="shared" si="17"/>
        <v>Baixa</v>
      </c>
    </row>
    <row r="1137" spans="1:9">
      <c r="A1137" t="s">
        <v>491</v>
      </c>
      <c r="B1137">
        <v>2026</v>
      </c>
      <c r="C1137">
        <v>2</v>
      </c>
      <c r="D1137" t="s">
        <v>75</v>
      </c>
      <c r="E1137" t="s">
        <v>76</v>
      </c>
      <c r="F1137">
        <v>9.4</v>
      </c>
      <c r="G1137">
        <v>84.2</v>
      </c>
      <c r="H1137" t="s">
        <v>11</v>
      </c>
      <c r="I1137" t="str">
        <f t="shared" si="17"/>
        <v>Alta</v>
      </c>
    </row>
    <row r="1138" spans="1:9">
      <c r="A1138" t="s">
        <v>493</v>
      </c>
      <c r="B1138">
        <v>2026</v>
      </c>
      <c r="C1138">
        <v>2</v>
      </c>
      <c r="D1138" t="s">
        <v>75</v>
      </c>
      <c r="E1138" t="s">
        <v>76</v>
      </c>
      <c r="F1138">
        <v>9.4</v>
      </c>
      <c r="G1138">
        <v>53.7</v>
      </c>
      <c r="H1138" t="s">
        <v>11</v>
      </c>
      <c r="I1138" t="str">
        <f t="shared" si="17"/>
        <v>Média</v>
      </c>
    </row>
    <row r="1139" spans="1:9">
      <c r="A1139" t="s">
        <v>522</v>
      </c>
      <c r="B1139">
        <v>2026</v>
      </c>
      <c r="C1139">
        <v>2</v>
      </c>
      <c r="D1139" t="s">
        <v>139</v>
      </c>
      <c r="E1139" t="s">
        <v>141</v>
      </c>
      <c r="F1139">
        <v>9.4</v>
      </c>
      <c r="G1139">
        <v>70.099999999999994</v>
      </c>
      <c r="H1139" t="s">
        <v>11</v>
      </c>
      <c r="I1139" t="str">
        <f t="shared" si="17"/>
        <v>Média</v>
      </c>
    </row>
    <row r="1140" spans="1:9">
      <c r="A1140" t="s">
        <v>548</v>
      </c>
      <c r="B1140">
        <v>2026</v>
      </c>
      <c r="C1140">
        <v>2</v>
      </c>
      <c r="D1140" t="s">
        <v>139</v>
      </c>
      <c r="E1140" t="s">
        <v>141</v>
      </c>
      <c r="F1140">
        <v>9.4</v>
      </c>
      <c r="G1140">
        <v>63.6</v>
      </c>
      <c r="H1140" t="s">
        <v>11</v>
      </c>
      <c r="I1140" t="str">
        <f t="shared" si="17"/>
        <v>Média</v>
      </c>
    </row>
    <row r="1141" spans="1:9">
      <c r="A1141" t="s">
        <v>116</v>
      </c>
      <c r="B1141">
        <v>2024</v>
      </c>
      <c r="C1141">
        <v>1</v>
      </c>
      <c r="D1141" t="s">
        <v>75</v>
      </c>
      <c r="E1141" t="s">
        <v>76</v>
      </c>
      <c r="F1141">
        <v>9.5</v>
      </c>
      <c r="G1141">
        <v>90.6</v>
      </c>
      <c r="H1141" t="s">
        <v>11</v>
      </c>
      <c r="I1141" t="str">
        <f t="shared" si="17"/>
        <v>Alta</v>
      </c>
    </row>
    <row r="1142" spans="1:9">
      <c r="A1142" t="s">
        <v>121</v>
      </c>
      <c r="B1142">
        <v>2024</v>
      </c>
      <c r="C1142">
        <v>1</v>
      </c>
      <c r="D1142" t="s">
        <v>75</v>
      </c>
      <c r="E1142" t="s">
        <v>76</v>
      </c>
      <c r="F1142">
        <v>9.5</v>
      </c>
      <c r="G1142">
        <v>83</v>
      </c>
      <c r="H1142" t="s">
        <v>11</v>
      </c>
      <c r="I1142" t="str">
        <f t="shared" si="17"/>
        <v>Alta</v>
      </c>
    </row>
    <row r="1143" spans="1:9">
      <c r="A1143" t="s">
        <v>167</v>
      </c>
      <c r="B1143">
        <v>2024</v>
      </c>
      <c r="C1143">
        <v>1</v>
      </c>
      <c r="D1143" t="s">
        <v>139</v>
      </c>
      <c r="E1143" t="s">
        <v>140</v>
      </c>
      <c r="F1143">
        <v>9.5</v>
      </c>
      <c r="G1143">
        <v>65.099999999999994</v>
      </c>
      <c r="H1143" t="s">
        <v>11</v>
      </c>
      <c r="I1143" t="str">
        <f t="shared" si="17"/>
        <v>Média</v>
      </c>
    </row>
    <row r="1144" spans="1:9">
      <c r="A1144" t="s">
        <v>171</v>
      </c>
      <c r="B1144">
        <v>2024</v>
      </c>
      <c r="C1144">
        <v>1</v>
      </c>
      <c r="D1144" t="s">
        <v>139</v>
      </c>
      <c r="E1144" t="s">
        <v>10</v>
      </c>
      <c r="F1144">
        <v>9.5</v>
      </c>
      <c r="G1144">
        <v>69.400000000000006</v>
      </c>
      <c r="H1144" t="s">
        <v>11</v>
      </c>
      <c r="I1144" t="str">
        <f t="shared" si="17"/>
        <v>Média</v>
      </c>
    </row>
    <row r="1145" spans="1:9">
      <c r="A1145" t="s">
        <v>189</v>
      </c>
      <c r="B1145">
        <v>2024</v>
      </c>
      <c r="C1145">
        <v>1</v>
      </c>
      <c r="D1145" t="s">
        <v>139</v>
      </c>
      <c r="E1145" t="s">
        <v>140</v>
      </c>
      <c r="F1145">
        <v>9.5</v>
      </c>
      <c r="G1145">
        <v>72.5</v>
      </c>
      <c r="H1145" t="s">
        <v>11</v>
      </c>
      <c r="I1145" t="str">
        <f t="shared" si="17"/>
        <v>Média</v>
      </c>
    </row>
    <row r="1146" spans="1:9">
      <c r="A1146" t="s">
        <v>99</v>
      </c>
      <c r="B1146">
        <v>2024</v>
      </c>
      <c r="C1146">
        <v>2</v>
      </c>
      <c r="D1146" t="s">
        <v>75</v>
      </c>
      <c r="E1146" t="s">
        <v>77</v>
      </c>
      <c r="F1146">
        <v>9.5</v>
      </c>
      <c r="G1146">
        <v>91.3</v>
      </c>
      <c r="H1146" t="s">
        <v>11</v>
      </c>
      <c r="I1146" t="str">
        <f t="shared" si="17"/>
        <v>Alta</v>
      </c>
    </row>
    <row r="1147" spans="1:9">
      <c r="A1147" t="s">
        <v>109</v>
      </c>
      <c r="B1147">
        <v>2024</v>
      </c>
      <c r="C1147">
        <v>2</v>
      </c>
      <c r="D1147" t="s">
        <v>75</v>
      </c>
      <c r="E1147" t="s">
        <v>77</v>
      </c>
      <c r="F1147">
        <v>9.5</v>
      </c>
      <c r="G1147">
        <v>48.8</v>
      </c>
      <c r="H1147" t="s">
        <v>11</v>
      </c>
      <c r="I1147" t="str">
        <f t="shared" si="17"/>
        <v>Baixa</v>
      </c>
    </row>
    <row r="1148" spans="1:9">
      <c r="A1148" t="s">
        <v>175</v>
      </c>
      <c r="B1148">
        <v>2024</v>
      </c>
      <c r="C1148">
        <v>2</v>
      </c>
      <c r="D1148" t="s">
        <v>139</v>
      </c>
      <c r="E1148" t="s">
        <v>141</v>
      </c>
      <c r="F1148">
        <v>9.5</v>
      </c>
      <c r="G1148">
        <v>48.9</v>
      </c>
      <c r="H1148" t="s">
        <v>11</v>
      </c>
      <c r="I1148" t="str">
        <f t="shared" si="17"/>
        <v>Baixa</v>
      </c>
    </row>
    <row r="1149" spans="1:9">
      <c r="A1149" t="s">
        <v>191</v>
      </c>
      <c r="B1149">
        <v>2024</v>
      </c>
      <c r="C1149">
        <v>2</v>
      </c>
      <c r="D1149" t="s">
        <v>139</v>
      </c>
      <c r="E1149" t="s">
        <v>10</v>
      </c>
      <c r="F1149">
        <v>9.5</v>
      </c>
      <c r="G1149">
        <v>69.3</v>
      </c>
      <c r="H1149" t="s">
        <v>11</v>
      </c>
      <c r="I1149" t="str">
        <f t="shared" si="17"/>
        <v>Média</v>
      </c>
    </row>
    <row r="1150" spans="1:9">
      <c r="A1150" t="s">
        <v>200</v>
      </c>
      <c r="B1150">
        <v>2024</v>
      </c>
      <c r="C1150">
        <v>2</v>
      </c>
      <c r="D1150" t="s">
        <v>139</v>
      </c>
      <c r="E1150" t="s">
        <v>141</v>
      </c>
      <c r="F1150">
        <v>9.5</v>
      </c>
      <c r="G1150">
        <v>88.6</v>
      </c>
      <c r="H1150" t="s">
        <v>11</v>
      </c>
      <c r="I1150" t="str">
        <f t="shared" si="17"/>
        <v>Alta</v>
      </c>
    </row>
    <row r="1151" spans="1:9">
      <c r="A1151" t="s">
        <v>213</v>
      </c>
      <c r="B1151">
        <v>2025</v>
      </c>
      <c r="C1151">
        <v>1</v>
      </c>
      <c r="D1151" t="s">
        <v>9</v>
      </c>
      <c r="E1151" t="s">
        <v>14</v>
      </c>
      <c r="F1151">
        <v>9.5</v>
      </c>
      <c r="G1151">
        <v>70.7</v>
      </c>
      <c r="H1151" t="s">
        <v>11</v>
      </c>
      <c r="I1151" t="str">
        <f t="shared" si="17"/>
        <v>Média</v>
      </c>
    </row>
    <row r="1152" spans="1:9">
      <c r="A1152" t="s">
        <v>224</v>
      </c>
      <c r="B1152">
        <v>2025</v>
      </c>
      <c r="C1152">
        <v>1</v>
      </c>
      <c r="D1152" t="s">
        <v>9</v>
      </c>
      <c r="E1152" t="s">
        <v>10</v>
      </c>
      <c r="F1152">
        <v>9.5</v>
      </c>
      <c r="G1152">
        <v>45.4</v>
      </c>
      <c r="H1152" t="s">
        <v>11</v>
      </c>
      <c r="I1152" t="str">
        <f t="shared" si="17"/>
        <v>Baixa</v>
      </c>
    </row>
    <row r="1153" spans="1:9">
      <c r="A1153" t="s">
        <v>237</v>
      </c>
      <c r="B1153">
        <v>2025</v>
      </c>
      <c r="C1153">
        <v>1</v>
      </c>
      <c r="D1153" t="s">
        <v>9</v>
      </c>
      <c r="E1153" t="s">
        <v>10</v>
      </c>
      <c r="F1153">
        <v>9.5</v>
      </c>
      <c r="G1153">
        <v>64.3</v>
      </c>
      <c r="H1153" t="s">
        <v>11</v>
      </c>
      <c r="I1153" t="str">
        <f t="shared" si="17"/>
        <v>Média</v>
      </c>
    </row>
    <row r="1154" spans="1:9">
      <c r="A1154" t="s">
        <v>244</v>
      </c>
      <c r="B1154">
        <v>2025</v>
      </c>
      <c r="C1154">
        <v>1</v>
      </c>
      <c r="D1154" t="s">
        <v>9</v>
      </c>
      <c r="E1154" t="s">
        <v>14</v>
      </c>
      <c r="F1154">
        <v>9.5</v>
      </c>
      <c r="G1154">
        <v>91.6</v>
      </c>
      <c r="H1154" t="s">
        <v>11</v>
      </c>
      <c r="I1154" t="str">
        <f t="shared" ref="I1154:I1217" si="18">IF(G1154&lt;50,"Baixa",IF(G1154&lt;75,"Média","Alta"))</f>
        <v>Alta</v>
      </c>
    </row>
    <row r="1155" spans="1:9">
      <c r="A1155" t="s">
        <v>289</v>
      </c>
      <c r="B1155">
        <v>2025</v>
      </c>
      <c r="C1155">
        <v>1</v>
      </c>
      <c r="D1155" t="s">
        <v>75</v>
      </c>
      <c r="E1155" t="s">
        <v>77</v>
      </c>
      <c r="F1155">
        <v>9.5</v>
      </c>
      <c r="G1155">
        <v>57.3</v>
      </c>
      <c r="H1155" t="s">
        <v>11</v>
      </c>
      <c r="I1155" t="str">
        <f t="shared" si="18"/>
        <v>Média</v>
      </c>
    </row>
    <row r="1156" spans="1:9">
      <c r="A1156" t="s">
        <v>338</v>
      </c>
      <c r="B1156">
        <v>2025</v>
      </c>
      <c r="C1156">
        <v>1</v>
      </c>
      <c r="D1156" t="s">
        <v>139</v>
      </c>
      <c r="E1156" t="s">
        <v>10</v>
      </c>
      <c r="F1156">
        <v>9.5</v>
      </c>
      <c r="G1156">
        <v>57.7</v>
      </c>
      <c r="H1156" t="s">
        <v>11</v>
      </c>
      <c r="I1156" t="str">
        <f t="shared" si="18"/>
        <v>Média</v>
      </c>
    </row>
    <row r="1157" spans="1:9">
      <c r="A1157" t="s">
        <v>354</v>
      </c>
      <c r="B1157">
        <v>2025</v>
      </c>
      <c r="C1157">
        <v>1</v>
      </c>
      <c r="D1157" t="s">
        <v>139</v>
      </c>
      <c r="E1157" t="s">
        <v>140</v>
      </c>
      <c r="F1157">
        <v>9.5</v>
      </c>
      <c r="G1157">
        <v>83.7</v>
      </c>
      <c r="H1157" t="s">
        <v>11</v>
      </c>
      <c r="I1157" t="str">
        <f t="shared" si="18"/>
        <v>Alta</v>
      </c>
    </row>
    <row r="1158" spans="1:9">
      <c r="A1158" t="s">
        <v>281</v>
      </c>
      <c r="B1158">
        <v>2025</v>
      </c>
      <c r="C1158">
        <v>2</v>
      </c>
      <c r="D1158" t="s">
        <v>75</v>
      </c>
      <c r="E1158" t="s">
        <v>78</v>
      </c>
      <c r="F1158">
        <v>9.5</v>
      </c>
      <c r="G1158">
        <v>91.7</v>
      </c>
      <c r="H1158" t="s">
        <v>11</v>
      </c>
      <c r="I1158" t="str">
        <f t="shared" si="18"/>
        <v>Alta</v>
      </c>
    </row>
    <row r="1159" spans="1:9">
      <c r="A1159" t="s">
        <v>323</v>
      </c>
      <c r="B1159">
        <v>2025</v>
      </c>
      <c r="C1159">
        <v>2</v>
      </c>
      <c r="D1159" t="s">
        <v>139</v>
      </c>
      <c r="E1159" t="s">
        <v>10</v>
      </c>
      <c r="F1159">
        <v>9.5</v>
      </c>
      <c r="G1159">
        <v>67.2</v>
      </c>
      <c r="H1159" t="s">
        <v>11</v>
      </c>
      <c r="I1159" t="str">
        <f t="shared" si="18"/>
        <v>Média</v>
      </c>
    </row>
    <row r="1160" spans="1:9">
      <c r="A1160" t="s">
        <v>336</v>
      </c>
      <c r="B1160">
        <v>2025</v>
      </c>
      <c r="C1160">
        <v>2</v>
      </c>
      <c r="D1160" t="s">
        <v>139</v>
      </c>
      <c r="E1160" t="s">
        <v>10</v>
      </c>
      <c r="F1160">
        <v>9.5</v>
      </c>
      <c r="G1160">
        <v>64.5</v>
      </c>
      <c r="H1160" t="s">
        <v>11</v>
      </c>
      <c r="I1160" t="str">
        <f t="shared" si="18"/>
        <v>Média</v>
      </c>
    </row>
    <row r="1161" spans="1:9">
      <c r="A1161" t="s">
        <v>356</v>
      </c>
      <c r="B1161">
        <v>2025</v>
      </c>
      <c r="C1161">
        <v>2</v>
      </c>
      <c r="D1161" t="s">
        <v>139</v>
      </c>
      <c r="E1161" t="s">
        <v>140</v>
      </c>
      <c r="F1161">
        <v>9.5</v>
      </c>
      <c r="G1161">
        <v>95.7</v>
      </c>
      <c r="H1161" t="s">
        <v>11</v>
      </c>
      <c r="I1161" t="str">
        <f t="shared" si="18"/>
        <v>Alta</v>
      </c>
    </row>
    <row r="1162" spans="1:9">
      <c r="A1162" t="s">
        <v>377</v>
      </c>
      <c r="B1162">
        <v>2025</v>
      </c>
      <c r="C1162">
        <v>2</v>
      </c>
      <c r="D1162" t="s">
        <v>139</v>
      </c>
      <c r="E1162" t="s">
        <v>140</v>
      </c>
      <c r="F1162">
        <v>9.5</v>
      </c>
      <c r="G1162">
        <v>63.5</v>
      </c>
      <c r="H1162" t="s">
        <v>11</v>
      </c>
      <c r="I1162" t="str">
        <f t="shared" si="18"/>
        <v>Média</v>
      </c>
    </row>
    <row r="1163" spans="1:9">
      <c r="A1163" t="s">
        <v>411</v>
      </c>
      <c r="B1163">
        <v>2026</v>
      </c>
      <c r="C1163">
        <v>1</v>
      </c>
      <c r="D1163" t="s">
        <v>9</v>
      </c>
      <c r="E1163" t="s">
        <v>14</v>
      </c>
      <c r="F1163">
        <v>9.5</v>
      </c>
      <c r="G1163">
        <v>66.099999999999994</v>
      </c>
      <c r="H1163" t="s">
        <v>11</v>
      </c>
      <c r="I1163" t="str">
        <f t="shared" si="18"/>
        <v>Média</v>
      </c>
    </row>
    <row r="1164" spans="1:9">
      <c r="A1164" t="s">
        <v>455</v>
      </c>
      <c r="B1164">
        <v>2026</v>
      </c>
      <c r="C1164">
        <v>1</v>
      </c>
      <c r="D1164" t="s">
        <v>75</v>
      </c>
      <c r="E1164" t="s">
        <v>76</v>
      </c>
      <c r="F1164">
        <v>9.5</v>
      </c>
      <c r="G1164">
        <v>98</v>
      </c>
      <c r="H1164" t="s">
        <v>11</v>
      </c>
      <c r="I1164" t="str">
        <f t="shared" si="18"/>
        <v>Alta</v>
      </c>
    </row>
    <row r="1165" spans="1:9">
      <c r="A1165" t="s">
        <v>462</v>
      </c>
      <c r="B1165">
        <v>2026</v>
      </c>
      <c r="C1165">
        <v>1</v>
      </c>
      <c r="D1165" t="s">
        <v>75</v>
      </c>
      <c r="E1165" t="s">
        <v>77</v>
      </c>
      <c r="F1165">
        <v>9.5</v>
      </c>
      <c r="G1165">
        <v>83.2</v>
      </c>
      <c r="H1165" t="s">
        <v>11</v>
      </c>
      <c r="I1165" t="str">
        <f t="shared" si="18"/>
        <v>Alta</v>
      </c>
    </row>
    <row r="1166" spans="1:9">
      <c r="A1166" t="s">
        <v>555</v>
      </c>
      <c r="B1166">
        <v>2026</v>
      </c>
      <c r="C1166">
        <v>1</v>
      </c>
      <c r="D1166" t="s">
        <v>139</v>
      </c>
      <c r="E1166" t="s">
        <v>10</v>
      </c>
      <c r="F1166">
        <v>9.5</v>
      </c>
      <c r="G1166">
        <v>56.3</v>
      </c>
      <c r="H1166" t="s">
        <v>11</v>
      </c>
      <c r="I1166" t="str">
        <f t="shared" si="18"/>
        <v>Média</v>
      </c>
    </row>
    <row r="1167" spans="1:9">
      <c r="A1167" t="s">
        <v>381</v>
      </c>
      <c r="B1167">
        <v>2026</v>
      </c>
      <c r="C1167">
        <v>2</v>
      </c>
      <c r="D1167" t="s">
        <v>9</v>
      </c>
      <c r="E1167" t="s">
        <v>12</v>
      </c>
      <c r="F1167">
        <v>9.5</v>
      </c>
      <c r="G1167">
        <v>88.2</v>
      </c>
      <c r="H1167" t="s">
        <v>11</v>
      </c>
      <c r="I1167" t="str">
        <f t="shared" si="18"/>
        <v>Alta</v>
      </c>
    </row>
    <row r="1168" spans="1:9">
      <c r="A1168" t="s">
        <v>389</v>
      </c>
      <c r="B1168">
        <v>2026</v>
      </c>
      <c r="C1168">
        <v>2</v>
      </c>
      <c r="D1168" t="s">
        <v>9</v>
      </c>
      <c r="E1168" t="s">
        <v>12</v>
      </c>
      <c r="F1168">
        <v>9.5</v>
      </c>
      <c r="G1168">
        <v>65.8</v>
      </c>
      <c r="H1168" t="s">
        <v>11</v>
      </c>
      <c r="I1168" t="str">
        <f t="shared" si="18"/>
        <v>Média</v>
      </c>
    </row>
    <row r="1169" spans="1:9">
      <c r="A1169" t="s">
        <v>393</v>
      </c>
      <c r="B1169">
        <v>2026</v>
      </c>
      <c r="C1169">
        <v>2</v>
      </c>
      <c r="D1169" t="s">
        <v>9</v>
      </c>
      <c r="E1169" t="s">
        <v>10</v>
      </c>
      <c r="F1169">
        <v>9.5</v>
      </c>
      <c r="G1169">
        <v>52</v>
      </c>
      <c r="H1169" t="s">
        <v>11</v>
      </c>
      <c r="I1169" t="str">
        <f t="shared" si="18"/>
        <v>Média</v>
      </c>
    </row>
    <row r="1170" spans="1:9">
      <c r="A1170" t="s">
        <v>409</v>
      </c>
      <c r="B1170">
        <v>2026</v>
      </c>
      <c r="C1170">
        <v>2</v>
      </c>
      <c r="D1170" t="s">
        <v>9</v>
      </c>
      <c r="E1170" t="s">
        <v>12</v>
      </c>
      <c r="F1170">
        <v>9.5</v>
      </c>
      <c r="G1170">
        <v>45.8</v>
      </c>
      <c r="H1170" t="s">
        <v>11</v>
      </c>
      <c r="I1170" t="str">
        <f t="shared" si="18"/>
        <v>Baixa</v>
      </c>
    </row>
    <row r="1171" spans="1:9">
      <c r="A1171" t="s">
        <v>492</v>
      </c>
      <c r="B1171">
        <v>2026</v>
      </c>
      <c r="C1171">
        <v>2</v>
      </c>
      <c r="D1171" t="s">
        <v>75</v>
      </c>
      <c r="E1171" t="s">
        <v>78</v>
      </c>
      <c r="F1171">
        <v>9.5</v>
      </c>
      <c r="G1171">
        <v>94.7</v>
      </c>
      <c r="H1171" t="s">
        <v>11</v>
      </c>
      <c r="I1171" t="str">
        <f t="shared" si="18"/>
        <v>Alta</v>
      </c>
    </row>
    <row r="1172" spans="1:9">
      <c r="A1172" t="s">
        <v>498</v>
      </c>
      <c r="B1172">
        <v>2026</v>
      </c>
      <c r="C1172">
        <v>2</v>
      </c>
      <c r="D1172" t="s">
        <v>75</v>
      </c>
      <c r="E1172" t="s">
        <v>76</v>
      </c>
      <c r="F1172">
        <v>9.5</v>
      </c>
      <c r="G1172">
        <v>87.5</v>
      </c>
      <c r="H1172" t="s">
        <v>11</v>
      </c>
      <c r="I1172" t="str">
        <f t="shared" si="18"/>
        <v>Alta</v>
      </c>
    </row>
    <row r="1173" spans="1:9">
      <c r="A1173" t="s">
        <v>506</v>
      </c>
      <c r="B1173">
        <v>2026</v>
      </c>
      <c r="C1173">
        <v>2</v>
      </c>
      <c r="D1173" t="s">
        <v>139</v>
      </c>
      <c r="E1173" t="s">
        <v>141</v>
      </c>
      <c r="F1173">
        <v>9.5</v>
      </c>
      <c r="G1173">
        <v>45.9</v>
      </c>
      <c r="H1173" t="s">
        <v>11</v>
      </c>
      <c r="I1173" t="str">
        <f t="shared" si="18"/>
        <v>Baixa</v>
      </c>
    </row>
    <row r="1174" spans="1:9">
      <c r="A1174" t="s">
        <v>516</v>
      </c>
      <c r="B1174">
        <v>2026</v>
      </c>
      <c r="C1174">
        <v>2</v>
      </c>
      <c r="D1174" t="s">
        <v>139</v>
      </c>
      <c r="E1174" t="s">
        <v>141</v>
      </c>
      <c r="F1174">
        <v>9.5</v>
      </c>
      <c r="G1174">
        <v>57.5</v>
      </c>
      <c r="H1174" t="s">
        <v>11</v>
      </c>
      <c r="I1174" t="str">
        <f t="shared" si="18"/>
        <v>Média</v>
      </c>
    </row>
    <row r="1175" spans="1:9">
      <c r="A1175" t="s">
        <v>517</v>
      </c>
      <c r="B1175">
        <v>2026</v>
      </c>
      <c r="C1175">
        <v>2</v>
      </c>
      <c r="D1175" t="s">
        <v>139</v>
      </c>
      <c r="E1175" t="s">
        <v>10</v>
      </c>
      <c r="F1175">
        <v>9.5</v>
      </c>
      <c r="G1175">
        <v>74.599999999999994</v>
      </c>
      <c r="H1175" t="s">
        <v>11</v>
      </c>
      <c r="I1175" t="str">
        <f t="shared" si="18"/>
        <v>Média</v>
      </c>
    </row>
    <row r="1176" spans="1:9">
      <c r="A1176" t="s">
        <v>533</v>
      </c>
      <c r="B1176">
        <v>2026</v>
      </c>
      <c r="C1176">
        <v>2</v>
      </c>
      <c r="D1176" t="s">
        <v>139</v>
      </c>
      <c r="E1176" t="s">
        <v>10</v>
      </c>
      <c r="F1176">
        <v>9.5</v>
      </c>
      <c r="G1176">
        <v>85.2</v>
      </c>
      <c r="H1176" t="s">
        <v>11</v>
      </c>
      <c r="I1176" t="str">
        <f t="shared" si="18"/>
        <v>Alta</v>
      </c>
    </row>
    <row r="1177" spans="1:9">
      <c r="A1177" t="s">
        <v>95</v>
      </c>
      <c r="B1177">
        <v>2024</v>
      </c>
      <c r="C1177">
        <v>1</v>
      </c>
      <c r="D1177" t="s">
        <v>75</v>
      </c>
      <c r="E1177" t="s">
        <v>78</v>
      </c>
      <c r="F1177">
        <v>9.6</v>
      </c>
      <c r="G1177">
        <v>71.8</v>
      </c>
      <c r="H1177" t="s">
        <v>11</v>
      </c>
      <c r="I1177" t="str">
        <f t="shared" si="18"/>
        <v>Média</v>
      </c>
    </row>
    <row r="1178" spans="1:9">
      <c r="A1178" t="s">
        <v>134</v>
      </c>
      <c r="B1178">
        <v>2024</v>
      </c>
      <c r="C1178">
        <v>1</v>
      </c>
      <c r="D1178" t="s">
        <v>75</v>
      </c>
      <c r="E1178" t="s">
        <v>77</v>
      </c>
      <c r="F1178">
        <v>9.6</v>
      </c>
      <c r="G1178">
        <v>45.7</v>
      </c>
      <c r="H1178" t="s">
        <v>11</v>
      </c>
      <c r="I1178" t="str">
        <f t="shared" si="18"/>
        <v>Baixa</v>
      </c>
    </row>
    <row r="1179" spans="1:9">
      <c r="A1179" t="s">
        <v>195</v>
      </c>
      <c r="B1179">
        <v>2024</v>
      </c>
      <c r="C1179">
        <v>1</v>
      </c>
      <c r="D1179" t="s">
        <v>139</v>
      </c>
      <c r="E1179" t="s">
        <v>141</v>
      </c>
      <c r="F1179">
        <v>9.6</v>
      </c>
      <c r="G1179">
        <v>65.400000000000006</v>
      </c>
      <c r="H1179" t="s">
        <v>11</v>
      </c>
      <c r="I1179" t="str">
        <f t="shared" si="18"/>
        <v>Média</v>
      </c>
    </row>
    <row r="1180" spans="1:9">
      <c r="A1180" t="s">
        <v>94</v>
      </c>
      <c r="B1180">
        <v>2024</v>
      </c>
      <c r="C1180">
        <v>2</v>
      </c>
      <c r="D1180" t="s">
        <v>75</v>
      </c>
      <c r="E1180" t="s">
        <v>77</v>
      </c>
      <c r="F1180">
        <v>9.6</v>
      </c>
      <c r="G1180">
        <v>75.900000000000006</v>
      </c>
      <c r="H1180" t="s">
        <v>11</v>
      </c>
      <c r="I1180" t="str">
        <f t="shared" si="18"/>
        <v>Alta</v>
      </c>
    </row>
    <row r="1181" spans="1:9">
      <c r="A1181" t="s">
        <v>192</v>
      </c>
      <c r="B1181">
        <v>2024</v>
      </c>
      <c r="C1181">
        <v>2</v>
      </c>
      <c r="D1181" t="s">
        <v>139</v>
      </c>
      <c r="E1181" t="s">
        <v>10</v>
      </c>
      <c r="F1181">
        <v>9.6</v>
      </c>
      <c r="G1181">
        <v>59.7</v>
      </c>
      <c r="H1181" t="s">
        <v>11</v>
      </c>
      <c r="I1181" t="str">
        <f t="shared" si="18"/>
        <v>Média</v>
      </c>
    </row>
    <row r="1182" spans="1:9">
      <c r="A1182" t="s">
        <v>243</v>
      </c>
      <c r="B1182">
        <v>2025</v>
      </c>
      <c r="C1182">
        <v>1</v>
      </c>
      <c r="D1182" t="s">
        <v>9</v>
      </c>
      <c r="E1182" t="s">
        <v>14</v>
      </c>
      <c r="F1182">
        <v>9.6</v>
      </c>
      <c r="G1182">
        <v>81.099999999999994</v>
      </c>
      <c r="H1182" t="s">
        <v>11</v>
      </c>
      <c r="I1182" t="str">
        <f t="shared" si="18"/>
        <v>Alta</v>
      </c>
    </row>
    <row r="1183" spans="1:9">
      <c r="A1183" t="s">
        <v>277</v>
      </c>
      <c r="B1183">
        <v>2025</v>
      </c>
      <c r="C1183">
        <v>1</v>
      </c>
      <c r="D1183" t="s">
        <v>75</v>
      </c>
      <c r="E1183" t="s">
        <v>77</v>
      </c>
      <c r="F1183">
        <v>9.6</v>
      </c>
      <c r="G1183">
        <v>87.5</v>
      </c>
      <c r="H1183" t="s">
        <v>11</v>
      </c>
      <c r="I1183" t="str">
        <f t="shared" si="18"/>
        <v>Alta</v>
      </c>
    </row>
    <row r="1184" spans="1:9">
      <c r="A1184" t="s">
        <v>301</v>
      </c>
      <c r="B1184">
        <v>2025</v>
      </c>
      <c r="C1184">
        <v>1</v>
      </c>
      <c r="D1184" t="s">
        <v>75</v>
      </c>
      <c r="E1184" t="s">
        <v>76</v>
      </c>
      <c r="F1184">
        <v>9.6</v>
      </c>
      <c r="G1184">
        <v>68</v>
      </c>
      <c r="H1184" t="s">
        <v>11</v>
      </c>
      <c r="I1184" t="str">
        <f t="shared" si="18"/>
        <v>Média</v>
      </c>
    </row>
    <row r="1185" spans="1:9">
      <c r="A1185" t="s">
        <v>304</v>
      </c>
      <c r="B1185">
        <v>2025</v>
      </c>
      <c r="C1185">
        <v>1</v>
      </c>
      <c r="D1185" t="s">
        <v>75</v>
      </c>
      <c r="E1185" t="s">
        <v>76</v>
      </c>
      <c r="F1185">
        <v>9.6</v>
      </c>
      <c r="G1185">
        <v>86.7</v>
      </c>
      <c r="H1185" t="s">
        <v>11</v>
      </c>
      <c r="I1185" t="str">
        <f t="shared" si="18"/>
        <v>Alta</v>
      </c>
    </row>
    <row r="1186" spans="1:9">
      <c r="A1186" t="s">
        <v>308</v>
      </c>
      <c r="B1186">
        <v>2025</v>
      </c>
      <c r="C1186">
        <v>1</v>
      </c>
      <c r="D1186" t="s">
        <v>75</v>
      </c>
      <c r="E1186" t="s">
        <v>76</v>
      </c>
      <c r="F1186">
        <v>9.6</v>
      </c>
      <c r="G1186">
        <v>92.1</v>
      </c>
      <c r="H1186" t="s">
        <v>11</v>
      </c>
      <c r="I1186" t="str">
        <f t="shared" si="18"/>
        <v>Alta</v>
      </c>
    </row>
    <row r="1187" spans="1:9">
      <c r="A1187" t="s">
        <v>310</v>
      </c>
      <c r="B1187">
        <v>2025</v>
      </c>
      <c r="C1187">
        <v>1</v>
      </c>
      <c r="D1187" t="s">
        <v>75</v>
      </c>
      <c r="E1187" t="s">
        <v>78</v>
      </c>
      <c r="F1187">
        <v>9.6</v>
      </c>
      <c r="G1187">
        <v>65.7</v>
      </c>
      <c r="H1187" t="s">
        <v>11</v>
      </c>
      <c r="I1187" t="str">
        <f t="shared" si="18"/>
        <v>Média</v>
      </c>
    </row>
    <row r="1188" spans="1:9">
      <c r="A1188" t="s">
        <v>318</v>
      </c>
      <c r="B1188">
        <v>2025</v>
      </c>
      <c r="C1188">
        <v>1</v>
      </c>
      <c r="D1188" t="s">
        <v>75</v>
      </c>
      <c r="E1188" t="s">
        <v>78</v>
      </c>
      <c r="F1188">
        <v>9.6</v>
      </c>
      <c r="G1188">
        <v>63.9</v>
      </c>
      <c r="H1188" t="s">
        <v>11</v>
      </c>
      <c r="I1188" t="str">
        <f t="shared" si="18"/>
        <v>Média</v>
      </c>
    </row>
    <row r="1189" spans="1:9">
      <c r="A1189" t="s">
        <v>321</v>
      </c>
      <c r="B1189">
        <v>2025</v>
      </c>
      <c r="C1189">
        <v>1</v>
      </c>
      <c r="D1189" t="s">
        <v>139</v>
      </c>
      <c r="E1189" t="s">
        <v>10</v>
      </c>
      <c r="F1189">
        <v>9.6</v>
      </c>
      <c r="G1189">
        <v>58.8</v>
      </c>
      <c r="H1189" t="s">
        <v>11</v>
      </c>
      <c r="I1189" t="str">
        <f t="shared" si="18"/>
        <v>Média</v>
      </c>
    </row>
    <row r="1190" spans="1:9">
      <c r="A1190" t="s">
        <v>207</v>
      </c>
      <c r="B1190">
        <v>2025</v>
      </c>
      <c r="C1190">
        <v>2</v>
      </c>
      <c r="D1190" t="s">
        <v>9</v>
      </c>
      <c r="E1190" t="s">
        <v>12</v>
      </c>
      <c r="F1190">
        <v>9.6</v>
      </c>
      <c r="G1190">
        <v>81.5</v>
      </c>
      <c r="H1190" t="s">
        <v>11</v>
      </c>
      <c r="I1190" t="str">
        <f t="shared" si="18"/>
        <v>Alta</v>
      </c>
    </row>
    <row r="1191" spans="1:9">
      <c r="A1191" t="s">
        <v>320</v>
      </c>
      <c r="B1191">
        <v>2025</v>
      </c>
      <c r="C1191">
        <v>2</v>
      </c>
      <c r="D1191" t="s">
        <v>75</v>
      </c>
      <c r="E1191" t="s">
        <v>78</v>
      </c>
      <c r="F1191">
        <v>9.6</v>
      </c>
      <c r="G1191">
        <v>76.5</v>
      </c>
      <c r="H1191" t="s">
        <v>11</v>
      </c>
      <c r="I1191" t="str">
        <f t="shared" si="18"/>
        <v>Alta</v>
      </c>
    </row>
    <row r="1192" spans="1:9">
      <c r="A1192" t="s">
        <v>323</v>
      </c>
      <c r="B1192">
        <v>2025</v>
      </c>
      <c r="C1192">
        <v>2</v>
      </c>
      <c r="D1192" t="s">
        <v>139</v>
      </c>
      <c r="E1192" t="s">
        <v>140</v>
      </c>
      <c r="F1192">
        <v>9.6</v>
      </c>
      <c r="G1192">
        <v>72.2</v>
      </c>
      <c r="H1192" t="s">
        <v>11</v>
      </c>
      <c r="I1192" t="str">
        <f t="shared" si="18"/>
        <v>Média</v>
      </c>
    </row>
    <row r="1193" spans="1:9">
      <c r="A1193" t="s">
        <v>332</v>
      </c>
      <c r="B1193">
        <v>2025</v>
      </c>
      <c r="C1193">
        <v>2</v>
      </c>
      <c r="D1193" t="s">
        <v>139</v>
      </c>
      <c r="E1193" t="s">
        <v>141</v>
      </c>
      <c r="F1193">
        <v>9.6</v>
      </c>
      <c r="G1193">
        <v>61.2</v>
      </c>
      <c r="H1193" t="s">
        <v>11</v>
      </c>
      <c r="I1193" t="str">
        <f t="shared" si="18"/>
        <v>Média</v>
      </c>
    </row>
    <row r="1194" spans="1:9">
      <c r="A1194" t="s">
        <v>333</v>
      </c>
      <c r="B1194">
        <v>2025</v>
      </c>
      <c r="C1194">
        <v>2</v>
      </c>
      <c r="D1194" t="s">
        <v>139</v>
      </c>
      <c r="E1194" t="s">
        <v>140</v>
      </c>
      <c r="F1194">
        <v>9.6</v>
      </c>
      <c r="G1194">
        <v>86.8</v>
      </c>
      <c r="H1194" t="s">
        <v>11</v>
      </c>
      <c r="I1194" t="str">
        <f t="shared" si="18"/>
        <v>Alta</v>
      </c>
    </row>
    <row r="1195" spans="1:9">
      <c r="A1195" t="s">
        <v>353</v>
      </c>
      <c r="B1195">
        <v>2025</v>
      </c>
      <c r="C1195">
        <v>2</v>
      </c>
      <c r="D1195" t="s">
        <v>139</v>
      </c>
      <c r="E1195" t="s">
        <v>10</v>
      </c>
      <c r="F1195">
        <v>9.6</v>
      </c>
      <c r="G1195">
        <v>88.5</v>
      </c>
      <c r="H1195" t="s">
        <v>11</v>
      </c>
      <c r="I1195" t="str">
        <f t="shared" si="18"/>
        <v>Alta</v>
      </c>
    </row>
    <row r="1196" spans="1:9">
      <c r="A1196" t="s">
        <v>475</v>
      </c>
      <c r="B1196">
        <v>2026</v>
      </c>
      <c r="C1196">
        <v>1</v>
      </c>
      <c r="D1196" t="s">
        <v>75</v>
      </c>
      <c r="E1196" t="s">
        <v>76</v>
      </c>
      <c r="F1196">
        <v>9.6</v>
      </c>
      <c r="G1196">
        <v>61.2</v>
      </c>
      <c r="H1196" t="s">
        <v>11</v>
      </c>
      <c r="I1196" t="str">
        <f t="shared" si="18"/>
        <v>Média</v>
      </c>
    </row>
    <row r="1197" spans="1:9">
      <c r="A1197" t="s">
        <v>495</v>
      </c>
      <c r="B1197">
        <v>2026</v>
      </c>
      <c r="C1197">
        <v>1</v>
      </c>
      <c r="D1197" t="s">
        <v>75</v>
      </c>
      <c r="E1197" t="s">
        <v>78</v>
      </c>
      <c r="F1197">
        <v>9.6</v>
      </c>
      <c r="G1197">
        <v>58.3</v>
      </c>
      <c r="H1197" t="s">
        <v>11</v>
      </c>
      <c r="I1197" t="str">
        <f t="shared" si="18"/>
        <v>Média</v>
      </c>
    </row>
    <row r="1198" spans="1:9">
      <c r="A1198" t="s">
        <v>551</v>
      </c>
      <c r="B1198">
        <v>2026</v>
      </c>
      <c r="C1198">
        <v>1</v>
      </c>
      <c r="D1198" t="s">
        <v>139</v>
      </c>
      <c r="E1198" t="s">
        <v>140</v>
      </c>
      <c r="F1198">
        <v>9.6</v>
      </c>
      <c r="G1198">
        <v>84.4</v>
      </c>
      <c r="H1198" t="s">
        <v>11</v>
      </c>
      <c r="I1198" t="str">
        <f t="shared" si="18"/>
        <v>Alta</v>
      </c>
    </row>
    <row r="1199" spans="1:9">
      <c r="A1199" t="s">
        <v>424</v>
      </c>
      <c r="B1199">
        <v>2026</v>
      </c>
      <c r="C1199">
        <v>2</v>
      </c>
      <c r="D1199" t="s">
        <v>9</v>
      </c>
      <c r="E1199" t="s">
        <v>12</v>
      </c>
      <c r="F1199">
        <v>9.6</v>
      </c>
      <c r="G1199">
        <v>49.7</v>
      </c>
      <c r="H1199" t="s">
        <v>11</v>
      </c>
      <c r="I1199" t="str">
        <f t="shared" si="18"/>
        <v>Baixa</v>
      </c>
    </row>
    <row r="1200" spans="1:9">
      <c r="A1200" t="s">
        <v>457</v>
      </c>
      <c r="B1200">
        <v>2026</v>
      </c>
      <c r="C1200">
        <v>2</v>
      </c>
      <c r="D1200" t="s">
        <v>75</v>
      </c>
      <c r="E1200" t="s">
        <v>78</v>
      </c>
      <c r="F1200">
        <v>9.6</v>
      </c>
      <c r="G1200">
        <v>74</v>
      </c>
      <c r="H1200" t="s">
        <v>11</v>
      </c>
      <c r="I1200" t="str">
        <f t="shared" si="18"/>
        <v>Média</v>
      </c>
    </row>
    <row r="1201" spans="1:9">
      <c r="A1201" t="s">
        <v>467</v>
      </c>
      <c r="B1201">
        <v>2026</v>
      </c>
      <c r="C1201">
        <v>2</v>
      </c>
      <c r="D1201" t="s">
        <v>75</v>
      </c>
      <c r="E1201" t="s">
        <v>76</v>
      </c>
      <c r="F1201">
        <v>9.6</v>
      </c>
      <c r="G1201">
        <v>63.8</v>
      </c>
      <c r="H1201" t="s">
        <v>11</v>
      </c>
      <c r="I1201" t="str">
        <f t="shared" si="18"/>
        <v>Média</v>
      </c>
    </row>
    <row r="1202" spans="1:9">
      <c r="A1202" t="s">
        <v>484</v>
      </c>
      <c r="B1202">
        <v>2026</v>
      </c>
      <c r="C1202">
        <v>2</v>
      </c>
      <c r="D1202" t="s">
        <v>75</v>
      </c>
      <c r="E1202" t="s">
        <v>76</v>
      </c>
      <c r="F1202">
        <v>9.6</v>
      </c>
      <c r="G1202">
        <v>77.400000000000006</v>
      </c>
      <c r="H1202" t="s">
        <v>11</v>
      </c>
      <c r="I1202" t="str">
        <f t="shared" si="18"/>
        <v>Alta</v>
      </c>
    </row>
    <row r="1203" spans="1:9">
      <c r="A1203" t="s">
        <v>490</v>
      </c>
      <c r="B1203">
        <v>2026</v>
      </c>
      <c r="C1203">
        <v>2</v>
      </c>
      <c r="D1203" t="s">
        <v>75</v>
      </c>
      <c r="E1203" t="s">
        <v>78</v>
      </c>
      <c r="F1203">
        <v>9.6</v>
      </c>
      <c r="G1203">
        <v>56.8</v>
      </c>
      <c r="H1203" t="s">
        <v>11</v>
      </c>
      <c r="I1203" t="str">
        <f t="shared" si="18"/>
        <v>Média</v>
      </c>
    </row>
    <row r="1204" spans="1:9">
      <c r="A1204" t="s">
        <v>543</v>
      </c>
      <c r="B1204">
        <v>2026</v>
      </c>
      <c r="C1204">
        <v>2</v>
      </c>
      <c r="D1204" t="s">
        <v>139</v>
      </c>
      <c r="E1204" t="s">
        <v>10</v>
      </c>
      <c r="F1204">
        <v>9.6</v>
      </c>
      <c r="G1204">
        <v>68.599999999999994</v>
      </c>
      <c r="H1204" t="s">
        <v>11</v>
      </c>
      <c r="I1204" t="str">
        <f t="shared" si="18"/>
        <v>Média</v>
      </c>
    </row>
    <row r="1205" spans="1:9">
      <c r="A1205" t="s">
        <v>547</v>
      </c>
      <c r="B1205">
        <v>2026</v>
      </c>
      <c r="C1205">
        <v>2</v>
      </c>
      <c r="D1205" t="s">
        <v>139</v>
      </c>
      <c r="E1205" t="s">
        <v>10</v>
      </c>
      <c r="F1205">
        <v>9.6</v>
      </c>
      <c r="G1205">
        <v>83.2</v>
      </c>
      <c r="H1205" t="s">
        <v>11</v>
      </c>
      <c r="I1205" t="str">
        <f t="shared" si="18"/>
        <v>Alta</v>
      </c>
    </row>
    <row r="1206" spans="1:9">
      <c r="A1206" t="s">
        <v>555</v>
      </c>
      <c r="B1206">
        <v>2026</v>
      </c>
      <c r="C1206">
        <v>2</v>
      </c>
      <c r="D1206" t="s">
        <v>139</v>
      </c>
      <c r="E1206" t="s">
        <v>10</v>
      </c>
      <c r="F1206">
        <v>9.6</v>
      </c>
      <c r="G1206">
        <v>72.3</v>
      </c>
      <c r="H1206" t="s">
        <v>11</v>
      </c>
      <c r="I1206" t="str">
        <f t="shared" si="18"/>
        <v>Média</v>
      </c>
    </row>
    <row r="1207" spans="1:9">
      <c r="A1207" t="s">
        <v>45</v>
      </c>
      <c r="B1207">
        <v>2024</v>
      </c>
      <c r="C1207">
        <v>1</v>
      </c>
      <c r="D1207" t="s">
        <v>9</v>
      </c>
      <c r="E1207" t="s">
        <v>14</v>
      </c>
      <c r="F1207">
        <v>9.6999999999999993</v>
      </c>
      <c r="G1207">
        <v>57.9</v>
      </c>
      <c r="H1207" t="s">
        <v>11</v>
      </c>
      <c r="I1207" t="str">
        <f t="shared" si="18"/>
        <v>Média</v>
      </c>
    </row>
    <row r="1208" spans="1:9">
      <c r="A1208" t="s">
        <v>100</v>
      </c>
      <c r="B1208">
        <v>2024</v>
      </c>
      <c r="C1208">
        <v>1</v>
      </c>
      <c r="D1208" t="s">
        <v>75</v>
      </c>
      <c r="E1208" t="s">
        <v>78</v>
      </c>
      <c r="F1208">
        <v>9.6999999999999993</v>
      </c>
      <c r="G1208">
        <v>97.3</v>
      </c>
      <c r="H1208" t="s">
        <v>11</v>
      </c>
      <c r="I1208" t="str">
        <f t="shared" si="18"/>
        <v>Alta</v>
      </c>
    </row>
    <row r="1209" spans="1:9">
      <c r="A1209" t="s">
        <v>122</v>
      </c>
      <c r="B1209">
        <v>2024</v>
      </c>
      <c r="C1209">
        <v>1</v>
      </c>
      <c r="D1209" t="s">
        <v>75</v>
      </c>
      <c r="E1209" t="s">
        <v>76</v>
      </c>
      <c r="F1209">
        <v>9.6999999999999993</v>
      </c>
      <c r="G1209">
        <v>97.3</v>
      </c>
      <c r="H1209" t="s">
        <v>11</v>
      </c>
      <c r="I1209" t="str">
        <f t="shared" si="18"/>
        <v>Alta</v>
      </c>
    </row>
    <row r="1210" spans="1:9">
      <c r="A1210" t="s">
        <v>155</v>
      </c>
      <c r="B1210">
        <v>2024</v>
      </c>
      <c r="C1210">
        <v>1</v>
      </c>
      <c r="D1210" t="s">
        <v>139</v>
      </c>
      <c r="E1210" t="s">
        <v>141</v>
      </c>
      <c r="F1210">
        <v>9.6999999999999993</v>
      </c>
      <c r="G1210">
        <v>65.099999999999994</v>
      </c>
      <c r="H1210" t="s">
        <v>11</v>
      </c>
      <c r="I1210" t="str">
        <f t="shared" si="18"/>
        <v>Média</v>
      </c>
    </row>
    <row r="1211" spans="1:9">
      <c r="A1211" t="s">
        <v>50</v>
      </c>
      <c r="B1211">
        <v>2024</v>
      </c>
      <c r="C1211">
        <v>2</v>
      </c>
      <c r="D1211" t="s">
        <v>9</v>
      </c>
      <c r="E1211" t="s">
        <v>10</v>
      </c>
      <c r="F1211">
        <v>9.6999999999999993</v>
      </c>
      <c r="G1211">
        <v>85.5</v>
      </c>
      <c r="H1211" t="s">
        <v>11</v>
      </c>
      <c r="I1211" t="str">
        <f t="shared" si="18"/>
        <v>Alta</v>
      </c>
    </row>
    <row r="1212" spans="1:9">
      <c r="A1212" t="s">
        <v>53</v>
      </c>
      <c r="B1212">
        <v>2024</v>
      </c>
      <c r="C1212">
        <v>2</v>
      </c>
      <c r="D1212" t="s">
        <v>9</v>
      </c>
      <c r="E1212" t="s">
        <v>12</v>
      </c>
      <c r="F1212">
        <v>9.6999999999999993</v>
      </c>
      <c r="G1212">
        <v>89.6</v>
      </c>
      <c r="H1212" t="s">
        <v>11</v>
      </c>
      <c r="I1212" t="str">
        <f t="shared" si="18"/>
        <v>Alta</v>
      </c>
    </row>
    <row r="1213" spans="1:9">
      <c r="A1213" t="s">
        <v>109</v>
      </c>
      <c r="B1213">
        <v>2024</v>
      </c>
      <c r="C1213">
        <v>2</v>
      </c>
      <c r="D1213" t="s">
        <v>75</v>
      </c>
      <c r="E1213" t="s">
        <v>78</v>
      </c>
      <c r="F1213">
        <v>9.6999999999999993</v>
      </c>
      <c r="G1213">
        <v>87.5</v>
      </c>
      <c r="H1213" t="s">
        <v>11</v>
      </c>
      <c r="I1213" t="str">
        <f t="shared" si="18"/>
        <v>Alta</v>
      </c>
    </row>
    <row r="1214" spans="1:9">
      <c r="A1214" t="s">
        <v>135</v>
      </c>
      <c r="B1214">
        <v>2024</v>
      </c>
      <c r="C1214">
        <v>2</v>
      </c>
      <c r="D1214" t="s">
        <v>75</v>
      </c>
      <c r="E1214" t="s">
        <v>76</v>
      </c>
      <c r="F1214">
        <v>9.6999999999999993</v>
      </c>
      <c r="G1214">
        <v>78.5</v>
      </c>
      <c r="H1214" t="s">
        <v>11</v>
      </c>
      <c r="I1214" t="str">
        <f t="shared" si="18"/>
        <v>Alta</v>
      </c>
    </row>
    <row r="1215" spans="1:9">
      <c r="A1215" t="s">
        <v>230</v>
      </c>
      <c r="B1215">
        <v>2025</v>
      </c>
      <c r="C1215">
        <v>1</v>
      </c>
      <c r="D1215" t="s">
        <v>9</v>
      </c>
      <c r="E1215" t="s">
        <v>10</v>
      </c>
      <c r="F1215">
        <v>9.6999999999999993</v>
      </c>
      <c r="G1215">
        <v>54.8</v>
      </c>
      <c r="H1215" t="s">
        <v>11</v>
      </c>
      <c r="I1215" t="str">
        <f t="shared" si="18"/>
        <v>Média</v>
      </c>
    </row>
    <row r="1216" spans="1:9">
      <c r="A1216" t="s">
        <v>236</v>
      </c>
      <c r="B1216">
        <v>2025</v>
      </c>
      <c r="C1216">
        <v>1</v>
      </c>
      <c r="D1216" t="s">
        <v>9</v>
      </c>
      <c r="E1216" t="s">
        <v>14</v>
      </c>
      <c r="F1216">
        <v>9.6999999999999993</v>
      </c>
      <c r="G1216">
        <v>66.400000000000006</v>
      </c>
      <c r="H1216" t="s">
        <v>11</v>
      </c>
      <c r="I1216" t="str">
        <f t="shared" si="18"/>
        <v>Média</v>
      </c>
    </row>
    <row r="1217" spans="1:9">
      <c r="A1217" t="s">
        <v>260</v>
      </c>
      <c r="B1217">
        <v>2025</v>
      </c>
      <c r="C1217">
        <v>1</v>
      </c>
      <c r="D1217" t="s">
        <v>9</v>
      </c>
      <c r="E1217" t="s">
        <v>14</v>
      </c>
      <c r="F1217">
        <v>9.6999999999999993</v>
      </c>
      <c r="G1217">
        <v>76.099999999999994</v>
      </c>
      <c r="H1217" t="s">
        <v>11</v>
      </c>
      <c r="I1217" t="str">
        <f t="shared" si="18"/>
        <v>Alta</v>
      </c>
    </row>
    <row r="1218" spans="1:9">
      <c r="A1218" t="s">
        <v>295</v>
      </c>
      <c r="B1218">
        <v>2025</v>
      </c>
      <c r="C1218">
        <v>1</v>
      </c>
      <c r="D1218" t="s">
        <v>75</v>
      </c>
      <c r="E1218" t="s">
        <v>77</v>
      </c>
      <c r="F1218">
        <v>9.6999999999999993</v>
      </c>
      <c r="G1218">
        <v>53.1</v>
      </c>
      <c r="H1218" t="s">
        <v>11</v>
      </c>
      <c r="I1218" t="str">
        <f t="shared" ref="I1218:I1281" si="19">IF(G1218&lt;50,"Baixa",IF(G1218&lt;75,"Média","Alta"))</f>
        <v>Média</v>
      </c>
    </row>
    <row r="1219" spans="1:9">
      <c r="A1219" t="s">
        <v>343</v>
      </c>
      <c r="B1219">
        <v>2025</v>
      </c>
      <c r="C1219">
        <v>1</v>
      </c>
      <c r="D1219" t="s">
        <v>139</v>
      </c>
      <c r="E1219" t="s">
        <v>140</v>
      </c>
      <c r="F1219">
        <v>9.6999999999999993</v>
      </c>
      <c r="G1219">
        <v>82.7</v>
      </c>
      <c r="H1219" t="s">
        <v>11</v>
      </c>
      <c r="I1219" t="str">
        <f t="shared" si="19"/>
        <v>Alta</v>
      </c>
    </row>
    <row r="1220" spans="1:9">
      <c r="A1220" t="s">
        <v>348</v>
      </c>
      <c r="B1220">
        <v>2025</v>
      </c>
      <c r="C1220">
        <v>1</v>
      </c>
      <c r="D1220" t="s">
        <v>139</v>
      </c>
      <c r="E1220" t="s">
        <v>10</v>
      </c>
      <c r="F1220">
        <v>9.6999999999999993</v>
      </c>
      <c r="G1220">
        <v>88.6</v>
      </c>
      <c r="H1220" t="s">
        <v>11</v>
      </c>
      <c r="I1220" t="str">
        <f t="shared" si="19"/>
        <v>Alta</v>
      </c>
    </row>
    <row r="1221" spans="1:9">
      <c r="A1221" t="s">
        <v>361</v>
      </c>
      <c r="B1221">
        <v>2025</v>
      </c>
      <c r="C1221">
        <v>1</v>
      </c>
      <c r="D1221" t="s">
        <v>139</v>
      </c>
      <c r="E1221" t="s">
        <v>140</v>
      </c>
      <c r="F1221">
        <v>9.6999999999999993</v>
      </c>
      <c r="G1221">
        <v>64</v>
      </c>
      <c r="H1221" t="s">
        <v>11</v>
      </c>
      <c r="I1221" t="str">
        <f t="shared" si="19"/>
        <v>Média</v>
      </c>
    </row>
    <row r="1222" spans="1:9">
      <c r="A1222" t="s">
        <v>379</v>
      </c>
      <c r="B1222">
        <v>2025</v>
      </c>
      <c r="C1222">
        <v>1</v>
      </c>
      <c r="D1222" t="s">
        <v>139</v>
      </c>
      <c r="E1222" t="s">
        <v>10</v>
      </c>
      <c r="F1222">
        <v>9.6999999999999993</v>
      </c>
      <c r="G1222">
        <v>68.400000000000006</v>
      </c>
      <c r="H1222" t="s">
        <v>11</v>
      </c>
      <c r="I1222" t="str">
        <f t="shared" si="19"/>
        <v>Média</v>
      </c>
    </row>
    <row r="1223" spans="1:9">
      <c r="A1223" t="s">
        <v>214</v>
      </c>
      <c r="B1223">
        <v>2025</v>
      </c>
      <c r="C1223">
        <v>2</v>
      </c>
      <c r="D1223" t="s">
        <v>9</v>
      </c>
      <c r="E1223" t="s">
        <v>10</v>
      </c>
      <c r="F1223">
        <v>9.6999999999999993</v>
      </c>
      <c r="G1223">
        <v>53.4</v>
      </c>
      <c r="H1223" t="s">
        <v>11</v>
      </c>
      <c r="I1223" t="str">
        <f t="shared" si="19"/>
        <v>Média</v>
      </c>
    </row>
    <row r="1224" spans="1:9">
      <c r="A1224" t="s">
        <v>329</v>
      </c>
      <c r="B1224">
        <v>2025</v>
      </c>
      <c r="C1224">
        <v>2</v>
      </c>
      <c r="D1224" t="s">
        <v>139</v>
      </c>
      <c r="E1224" t="s">
        <v>141</v>
      </c>
      <c r="F1224">
        <v>9.6999999999999993</v>
      </c>
      <c r="G1224">
        <v>69.2</v>
      </c>
      <c r="H1224" t="s">
        <v>11</v>
      </c>
      <c r="I1224" t="str">
        <f t="shared" si="19"/>
        <v>Média</v>
      </c>
    </row>
    <row r="1225" spans="1:9">
      <c r="A1225" t="s">
        <v>334</v>
      </c>
      <c r="B1225">
        <v>2025</v>
      </c>
      <c r="C1225">
        <v>2</v>
      </c>
      <c r="D1225" t="s">
        <v>139</v>
      </c>
      <c r="E1225" t="s">
        <v>10</v>
      </c>
      <c r="F1225">
        <v>9.6999999999999993</v>
      </c>
      <c r="G1225">
        <v>90.2</v>
      </c>
      <c r="H1225" t="s">
        <v>11</v>
      </c>
      <c r="I1225" t="str">
        <f t="shared" si="19"/>
        <v>Alta</v>
      </c>
    </row>
    <row r="1226" spans="1:9">
      <c r="A1226" t="s">
        <v>387</v>
      </c>
      <c r="B1226">
        <v>2026</v>
      </c>
      <c r="C1226">
        <v>1</v>
      </c>
      <c r="D1226" t="s">
        <v>9</v>
      </c>
      <c r="E1226" t="s">
        <v>14</v>
      </c>
      <c r="F1226">
        <v>9.6999999999999993</v>
      </c>
      <c r="G1226">
        <v>49.6</v>
      </c>
      <c r="H1226" t="s">
        <v>11</v>
      </c>
      <c r="I1226" t="str">
        <f t="shared" si="19"/>
        <v>Baixa</v>
      </c>
    </row>
    <row r="1227" spans="1:9">
      <c r="A1227" t="s">
        <v>428</v>
      </c>
      <c r="B1227">
        <v>2026</v>
      </c>
      <c r="C1227">
        <v>1</v>
      </c>
      <c r="D1227" t="s">
        <v>9</v>
      </c>
      <c r="E1227" t="s">
        <v>10</v>
      </c>
      <c r="F1227">
        <v>9.6999999999999993</v>
      </c>
      <c r="G1227">
        <v>61.4</v>
      </c>
      <c r="H1227" t="s">
        <v>11</v>
      </c>
      <c r="I1227" t="str">
        <f t="shared" si="19"/>
        <v>Média</v>
      </c>
    </row>
    <row r="1228" spans="1:9">
      <c r="A1228" t="s">
        <v>488</v>
      </c>
      <c r="B1228">
        <v>2026</v>
      </c>
      <c r="C1228">
        <v>1</v>
      </c>
      <c r="D1228" t="s">
        <v>75</v>
      </c>
      <c r="E1228" t="s">
        <v>76</v>
      </c>
      <c r="F1228">
        <v>9.6999999999999993</v>
      </c>
      <c r="G1228">
        <v>96.5</v>
      </c>
      <c r="H1228" t="s">
        <v>11</v>
      </c>
      <c r="I1228" t="str">
        <f t="shared" si="19"/>
        <v>Alta</v>
      </c>
    </row>
    <row r="1229" spans="1:9">
      <c r="A1229" t="s">
        <v>488</v>
      </c>
      <c r="B1229">
        <v>2026</v>
      </c>
      <c r="C1229">
        <v>1</v>
      </c>
      <c r="D1229" t="s">
        <v>75</v>
      </c>
      <c r="E1229" t="s">
        <v>77</v>
      </c>
      <c r="F1229">
        <v>9.6999999999999993</v>
      </c>
      <c r="G1229">
        <v>72.599999999999994</v>
      </c>
      <c r="H1229" t="s">
        <v>11</v>
      </c>
      <c r="I1229" t="str">
        <f t="shared" si="19"/>
        <v>Média</v>
      </c>
    </row>
    <row r="1230" spans="1:9">
      <c r="A1230" t="s">
        <v>504</v>
      </c>
      <c r="B1230">
        <v>2026</v>
      </c>
      <c r="C1230">
        <v>1</v>
      </c>
      <c r="D1230" t="s">
        <v>139</v>
      </c>
      <c r="E1230" t="s">
        <v>10</v>
      </c>
      <c r="F1230">
        <v>9.6999999999999993</v>
      </c>
      <c r="G1230">
        <v>75.3</v>
      </c>
      <c r="H1230" t="s">
        <v>11</v>
      </c>
      <c r="I1230" t="str">
        <f t="shared" si="19"/>
        <v>Alta</v>
      </c>
    </row>
    <row r="1231" spans="1:9">
      <c r="A1231" t="s">
        <v>520</v>
      </c>
      <c r="B1231">
        <v>2026</v>
      </c>
      <c r="C1231">
        <v>1</v>
      </c>
      <c r="D1231" t="s">
        <v>139</v>
      </c>
      <c r="E1231" t="s">
        <v>140</v>
      </c>
      <c r="F1231">
        <v>9.6999999999999993</v>
      </c>
      <c r="G1231">
        <v>51.1</v>
      </c>
      <c r="H1231" t="s">
        <v>11</v>
      </c>
      <c r="I1231" t="str">
        <f t="shared" si="19"/>
        <v>Média</v>
      </c>
    </row>
    <row r="1232" spans="1:9">
      <c r="A1232" t="s">
        <v>384</v>
      </c>
      <c r="B1232">
        <v>2026</v>
      </c>
      <c r="C1232">
        <v>2</v>
      </c>
      <c r="D1232" t="s">
        <v>9</v>
      </c>
      <c r="E1232" t="s">
        <v>14</v>
      </c>
      <c r="F1232">
        <v>9.6999999999999993</v>
      </c>
      <c r="G1232">
        <v>73.7</v>
      </c>
      <c r="H1232" t="s">
        <v>11</v>
      </c>
      <c r="I1232" t="str">
        <f t="shared" si="19"/>
        <v>Média</v>
      </c>
    </row>
    <row r="1233" spans="1:9">
      <c r="A1233" t="s">
        <v>386</v>
      </c>
      <c r="B1233">
        <v>2026</v>
      </c>
      <c r="C1233">
        <v>2</v>
      </c>
      <c r="D1233" t="s">
        <v>9</v>
      </c>
      <c r="E1233" t="s">
        <v>14</v>
      </c>
      <c r="F1233">
        <v>9.6999999999999993</v>
      </c>
      <c r="G1233">
        <v>84.4</v>
      </c>
      <c r="H1233" t="s">
        <v>11</v>
      </c>
      <c r="I1233" t="str">
        <f t="shared" si="19"/>
        <v>Alta</v>
      </c>
    </row>
    <row r="1234" spans="1:9">
      <c r="A1234" t="s">
        <v>404</v>
      </c>
      <c r="B1234">
        <v>2026</v>
      </c>
      <c r="C1234">
        <v>2</v>
      </c>
      <c r="D1234" t="s">
        <v>9</v>
      </c>
      <c r="E1234" t="s">
        <v>12</v>
      </c>
      <c r="F1234">
        <v>9.6999999999999993</v>
      </c>
      <c r="G1234">
        <v>54.9</v>
      </c>
      <c r="H1234" t="s">
        <v>11</v>
      </c>
      <c r="I1234" t="str">
        <f t="shared" si="19"/>
        <v>Média</v>
      </c>
    </row>
    <row r="1235" spans="1:9">
      <c r="A1235" t="s">
        <v>411</v>
      </c>
      <c r="B1235">
        <v>2026</v>
      </c>
      <c r="C1235">
        <v>2</v>
      </c>
      <c r="D1235" t="s">
        <v>9</v>
      </c>
      <c r="E1235" t="s">
        <v>12</v>
      </c>
      <c r="F1235">
        <v>9.6999999999999993</v>
      </c>
      <c r="G1235">
        <v>59.6</v>
      </c>
      <c r="H1235" t="s">
        <v>11</v>
      </c>
      <c r="I1235" t="str">
        <f t="shared" si="19"/>
        <v>Média</v>
      </c>
    </row>
    <row r="1236" spans="1:9">
      <c r="A1236" t="s">
        <v>414</v>
      </c>
      <c r="B1236">
        <v>2026</v>
      </c>
      <c r="C1236">
        <v>2</v>
      </c>
      <c r="D1236" t="s">
        <v>9</v>
      </c>
      <c r="E1236" t="s">
        <v>12</v>
      </c>
      <c r="F1236">
        <v>9.6999999999999993</v>
      </c>
      <c r="G1236">
        <v>71.8</v>
      </c>
      <c r="H1236" t="s">
        <v>11</v>
      </c>
      <c r="I1236" t="str">
        <f t="shared" si="19"/>
        <v>Média</v>
      </c>
    </row>
    <row r="1237" spans="1:9">
      <c r="A1237" t="s">
        <v>481</v>
      </c>
      <c r="B1237">
        <v>2026</v>
      </c>
      <c r="C1237">
        <v>2</v>
      </c>
      <c r="D1237" t="s">
        <v>75</v>
      </c>
      <c r="E1237" t="s">
        <v>76</v>
      </c>
      <c r="F1237">
        <v>9.6999999999999993</v>
      </c>
      <c r="G1237">
        <v>67.900000000000006</v>
      </c>
      <c r="H1237" t="s">
        <v>11</v>
      </c>
      <c r="I1237" t="str">
        <f t="shared" si="19"/>
        <v>Média</v>
      </c>
    </row>
    <row r="1238" spans="1:9">
      <c r="A1238" t="s">
        <v>522</v>
      </c>
      <c r="B1238">
        <v>2026</v>
      </c>
      <c r="C1238">
        <v>2</v>
      </c>
      <c r="D1238" t="s">
        <v>139</v>
      </c>
      <c r="E1238" t="s">
        <v>10</v>
      </c>
      <c r="F1238">
        <v>9.6999999999999993</v>
      </c>
      <c r="G1238">
        <v>59</v>
      </c>
      <c r="H1238" t="s">
        <v>11</v>
      </c>
      <c r="I1238" t="str">
        <f t="shared" si="19"/>
        <v>Média</v>
      </c>
    </row>
    <row r="1239" spans="1:9">
      <c r="A1239" t="s">
        <v>524</v>
      </c>
      <c r="B1239">
        <v>2026</v>
      </c>
      <c r="C1239">
        <v>2</v>
      </c>
      <c r="D1239" t="s">
        <v>139</v>
      </c>
      <c r="E1239" t="s">
        <v>141</v>
      </c>
      <c r="F1239">
        <v>9.6999999999999993</v>
      </c>
      <c r="G1239">
        <v>96.7</v>
      </c>
      <c r="H1239" t="s">
        <v>11</v>
      </c>
      <c r="I1239" t="str">
        <f t="shared" si="19"/>
        <v>Alta</v>
      </c>
    </row>
    <row r="1240" spans="1:9">
      <c r="A1240" t="s">
        <v>541</v>
      </c>
      <c r="B1240">
        <v>2026</v>
      </c>
      <c r="C1240">
        <v>2</v>
      </c>
      <c r="D1240" t="s">
        <v>139</v>
      </c>
      <c r="E1240" t="s">
        <v>141</v>
      </c>
      <c r="F1240">
        <v>9.6999999999999993</v>
      </c>
      <c r="G1240">
        <v>61.9</v>
      </c>
      <c r="H1240" t="s">
        <v>11</v>
      </c>
      <c r="I1240" t="str">
        <f t="shared" si="19"/>
        <v>Média</v>
      </c>
    </row>
    <row r="1241" spans="1:9">
      <c r="A1241" t="s">
        <v>67</v>
      </c>
      <c r="B1241">
        <v>2024</v>
      </c>
      <c r="C1241">
        <v>2</v>
      </c>
      <c r="D1241" t="s">
        <v>9</v>
      </c>
      <c r="E1241" t="s">
        <v>10</v>
      </c>
      <c r="F1241">
        <v>9.8000000000000007</v>
      </c>
      <c r="G1241">
        <v>93.3</v>
      </c>
      <c r="H1241" t="s">
        <v>11</v>
      </c>
      <c r="I1241" t="str">
        <f t="shared" si="19"/>
        <v>Alta</v>
      </c>
    </row>
    <row r="1242" spans="1:9">
      <c r="A1242" t="s">
        <v>71</v>
      </c>
      <c r="B1242">
        <v>2024</v>
      </c>
      <c r="C1242">
        <v>2</v>
      </c>
      <c r="D1242" t="s">
        <v>9</v>
      </c>
      <c r="E1242" t="s">
        <v>10</v>
      </c>
      <c r="F1242">
        <v>9.8000000000000007</v>
      </c>
      <c r="G1242">
        <v>58.4</v>
      </c>
      <c r="H1242" t="s">
        <v>11</v>
      </c>
      <c r="I1242" t="str">
        <f t="shared" si="19"/>
        <v>Média</v>
      </c>
    </row>
    <row r="1243" spans="1:9">
      <c r="A1243" t="s">
        <v>83</v>
      </c>
      <c r="B1243">
        <v>2024</v>
      </c>
      <c r="C1243">
        <v>2</v>
      </c>
      <c r="D1243" t="s">
        <v>75</v>
      </c>
      <c r="E1243" t="s">
        <v>76</v>
      </c>
      <c r="F1243">
        <v>9.8000000000000007</v>
      </c>
      <c r="G1243">
        <v>67.099999999999994</v>
      </c>
      <c r="H1243" t="s">
        <v>11</v>
      </c>
      <c r="I1243" t="str">
        <f t="shared" si="19"/>
        <v>Média</v>
      </c>
    </row>
    <row r="1244" spans="1:9">
      <c r="A1244" t="s">
        <v>101</v>
      </c>
      <c r="B1244">
        <v>2024</v>
      </c>
      <c r="C1244">
        <v>2</v>
      </c>
      <c r="D1244" t="s">
        <v>75</v>
      </c>
      <c r="E1244" t="s">
        <v>76</v>
      </c>
      <c r="F1244">
        <v>9.8000000000000007</v>
      </c>
      <c r="G1244">
        <v>77.8</v>
      </c>
      <c r="H1244" t="s">
        <v>11</v>
      </c>
      <c r="I1244" t="str">
        <f t="shared" si="19"/>
        <v>Alta</v>
      </c>
    </row>
    <row r="1245" spans="1:9">
      <c r="A1245" t="s">
        <v>112</v>
      </c>
      <c r="B1245">
        <v>2024</v>
      </c>
      <c r="C1245">
        <v>2</v>
      </c>
      <c r="D1245" t="s">
        <v>75</v>
      </c>
      <c r="E1245" t="s">
        <v>77</v>
      </c>
      <c r="F1245">
        <v>9.8000000000000007</v>
      </c>
      <c r="G1245">
        <v>61.9</v>
      </c>
      <c r="H1245" t="s">
        <v>11</v>
      </c>
      <c r="I1245" t="str">
        <f t="shared" si="19"/>
        <v>Média</v>
      </c>
    </row>
    <row r="1246" spans="1:9">
      <c r="A1246" t="s">
        <v>134</v>
      </c>
      <c r="B1246">
        <v>2024</v>
      </c>
      <c r="C1246">
        <v>2</v>
      </c>
      <c r="D1246" t="s">
        <v>75</v>
      </c>
      <c r="E1246" t="s">
        <v>76</v>
      </c>
      <c r="F1246">
        <v>9.8000000000000007</v>
      </c>
      <c r="G1246">
        <v>75.3</v>
      </c>
      <c r="H1246" t="s">
        <v>11</v>
      </c>
      <c r="I1246" t="str">
        <f t="shared" si="19"/>
        <v>Alta</v>
      </c>
    </row>
    <row r="1247" spans="1:9">
      <c r="A1247" t="s">
        <v>137</v>
      </c>
      <c r="B1247">
        <v>2024</v>
      </c>
      <c r="C1247">
        <v>2</v>
      </c>
      <c r="D1247" t="s">
        <v>75</v>
      </c>
      <c r="E1247" t="s">
        <v>77</v>
      </c>
      <c r="F1247">
        <v>9.8000000000000007</v>
      </c>
      <c r="G1247">
        <v>67.8</v>
      </c>
      <c r="H1247" t="s">
        <v>11</v>
      </c>
      <c r="I1247" t="str">
        <f t="shared" si="19"/>
        <v>Média</v>
      </c>
    </row>
    <row r="1248" spans="1:9">
      <c r="A1248" t="s">
        <v>206</v>
      </c>
      <c r="B1248">
        <v>2025</v>
      </c>
      <c r="C1248">
        <v>1</v>
      </c>
      <c r="D1248" t="s">
        <v>9</v>
      </c>
      <c r="E1248" t="s">
        <v>10</v>
      </c>
      <c r="F1248">
        <v>9.8000000000000007</v>
      </c>
      <c r="G1248">
        <v>49</v>
      </c>
      <c r="H1248" t="s">
        <v>11</v>
      </c>
      <c r="I1248" t="str">
        <f t="shared" si="19"/>
        <v>Baixa</v>
      </c>
    </row>
    <row r="1249" spans="1:9">
      <c r="A1249" t="s">
        <v>223</v>
      </c>
      <c r="B1249">
        <v>2025</v>
      </c>
      <c r="C1249">
        <v>1</v>
      </c>
      <c r="D1249" t="s">
        <v>9</v>
      </c>
      <c r="E1249" t="s">
        <v>14</v>
      </c>
      <c r="F1249">
        <v>9.8000000000000007</v>
      </c>
      <c r="G1249">
        <v>45.1</v>
      </c>
      <c r="H1249" t="s">
        <v>11</v>
      </c>
      <c r="I1249" t="str">
        <f t="shared" si="19"/>
        <v>Baixa</v>
      </c>
    </row>
    <row r="1250" spans="1:9">
      <c r="A1250" t="s">
        <v>231</v>
      </c>
      <c r="B1250">
        <v>2025</v>
      </c>
      <c r="C1250">
        <v>1</v>
      </c>
      <c r="D1250" t="s">
        <v>9</v>
      </c>
      <c r="E1250" t="s">
        <v>12</v>
      </c>
      <c r="F1250">
        <v>9.8000000000000007</v>
      </c>
      <c r="G1250">
        <v>91.9</v>
      </c>
      <c r="H1250" t="s">
        <v>11</v>
      </c>
      <c r="I1250" t="str">
        <f t="shared" si="19"/>
        <v>Alta</v>
      </c>
    </row>
    <row r="1251" spans="1:9">
      <c r="A1251" t="s">
        <v>289</v>
      </c>
      <c r="B1251">
        <v>2025</v>
      </c>
      <c r="C1251">
        <v>1</v>
      </c>
      <c r="D1251" t="s">
        <v>75</v>
      </c>
      <c r="E1251" t="s">
        <v>78</v>
      </c>
      <c r="F1251">
        <v>9.8000000000000007</v>
      </c>
      <c r="G1251">
        <v>61.5</v>
      </c>
      <c r="H1251" t="s">
        <v>11</v>
      </c>
      <c r="I1251" t="str">
        <f t="shared" si="19"/>
        <v>Média</v>
      </c>
    </row>
    <row r="1252" spans="1:9">
      <c r="A1252" t="s">
        <v>372</v>
      </c>
      <c r="B1252">
        <v>2025</v>
      </c>
      <c r="C1252">
        <v>1</v>
      </c>
      <c r="D1252" t="s">
        <v>139</v>
      </c>
      <c r="E1252" t="s">
        <v>140</v>
      </c>
      <c r="F1252">
        <v>9.8000000000000007</v>
      </c>
      <c r="G1252">
        <v>83.2</v>
      </c>
      <c r="H1252" t="s">
        <v>11</v>
      </c>
      <c r="I1252" t="str">
        <f t="shared" si="19"/>
        <v>Alta</v>
      </c>
    </row>
    <row r="1253" spans="1:9">
      <c r="A1253" t="s">
        <v>201</v>
      </c>
      <c r="B1253">
        <v>2025</v>
      </c>
      <c r="C1253">
        <v>2</v>
      </c>
      <c r="D1253" t="s">
        <v>9</v>
      </c>
      <c r="E1253" t="s">
        <v>14</v>
      </c>
      <c r="F1253">
        <v>9.8000000000000007</v>
      </c>
      <c r="G1253">
        <v>74.400000000000006</v>
      </c>
      <c r="H1253" t="s">
        <v>11</v>
      </c>
      <c r="I1253" t="str">
        <f t="shared" si="19"/>
        <v>Média</v>
      </c>
    </row>
    <row r="1254" spans="1:9">
      <c r="A1254" t="s">
        <v>402</v>
      </c>
      <c r="B1254">
        <v>2026</v>
      </c>
      <c r="C1254">
        <v>1</v>
      </c>
      <c r="D1254" t="s">
        <v>9</v>
      </c>
      <c r="E1254" t="s">
        <v>12</v>
      </c>
      <c r="F1254">
        <v>9.8000000000000007</v>
      </c>
      <c r="G1254">
        <v>68.599999999999994</v>
      </c>
      <c r="H1254" t="s">
        <v>11</v>
      </c>
      <c r="I1254" t="str">
        <f t="shared" si="19"/>
        <v>Média</v>
      </c>
    </row>
    <row r="1255" spans="1:9">
      <c r="A1255" t="s">
        <v>436</v>
      </c>
      <c r="B1255">
        <v>2026</v>
      </c>
      <c r="C1255">
        <v>1</v>
      </c>
      <c r="D1255" t="s">
        <v>9</v>
      </c>
      <c r="E1255" t="s">
        <v>12</v>
      </c>
      <c r="F1255">
        <v>9.8000000000000007</v>
      </c>
      <c r="G1255">
        <v>63.5</v>
      </c>
      <c r="H1255" t="s">
        <v>11</v>
      </c>
      <c r="I1255" t="str">
        <f t="shared" si="19"/>
        <v>Média</v>
      </c>
    </row>
    <row r="1256" spans="1:9">
      <c r="A1256" t="s">
        <v>440</v>
      </c>
      <c r="B1256">
        <v>2026</v>
      </c>
      <c r="C1256">
        <v>1</v>
      </c>
      <c r="D1256" t="s">
        <v>9</v>
      </c>
      <c r="E1256" t="s">
        <v>14</v>
      </c>
      <c r="F1256">
        <v>9.8000000000000007</v>
      </c>
      <c r="G1256">
        <v>56</v>
      </c>
      <c r="H1256" t="s">
        <v>11</v>
      </c>
      <c r="I1256" t="str">
        <f t="shared" si="19"/>
        <v>Média</v>
      </c>
    </row>
    <row r="1257" spans="1:9">
      <c r="A1257" t="s">
        <v>441</v>
      </c>
      <c r="B1257">
        <v>2026</v>
      </c>
      <c r="C1257">
        <v>1</v>
      </c>
      <c r="D1257" t="s">
        <v>75</v>
      </c>
      <c r="E1257" t="s">
        <v>78</v>
      </c>
      <c r="F1257">
        <v>9.8000000000000007</v>
      </c>
      <c r="G1257">
        <v>61.8</v>
      </c>
      <c r="H1257" t="s">
        <v>11</v>
      </c>
      <c r="I1257" t="str">
        <f t="shared" si="19"/>
        <v>Média</v>
      </c>
    </row>
    <row r="1258" spans="1:9">
      <c r="A1258" t="s">
        <v>461</v>
      </c>
      <c r="B1258">
        <v>2026</v>
      </c>
      <c r="C1258">
        <v>1</v>
      </c>
      <c r="D1258" t="s">
        <v>75</v>
      </c>
      <c r="E1258" t="s">
        <v>76</v>
      </c>
      <c r="F1258">
        <v>9.8000000000000007</v>
      </c>
      <c r="G1258">
        <v>59</v>
      </c>
      <c r="H1258" t="s">
        <v>11</v>
      </c>
      <c r="I1258" t="str">
        <f t="shared" si="19"/>
        <v>Média</v>
      </c>
    </row>
    <row r="1259" spans="1:9">
      <c r="A1259" t="s">
        <v>464</v>
      </c>
      <c r="B1259">
        <v>2026</v>
      </c>
      <c r="C1259">
        <v>1</v>
      </c>
      <c r="D1259" t="s">
        <v>75</v>
      </c>
      <c r="E1259" t="s">
        <v>77</v>
      </c>
      <c r="F1259">
        <v>9.8000000000000007</v>
      </c>
      <c r="G1259">
        <v>49.4</v>
      </c>
      <c r="H1259" t="s">
        <v>11</v>
      </c>
      <c r="I1259" t="str">
        <f t="shared" si="19"/>
        <v>Baixa</v>
      </c>
    </row>
    <row r="1260" spans="1:9">
      <c r="A1260" t="s">
        <v>478</v>
      </c>
      <c r="B1260">
        <v>2026</v>
      </c>
      <c r="C1260">
        <v>1</v>
      </c>
      <c r="D1260" t="s">
        <v>75</v>
      </c>
      <c r="E1260" t="s">
        <v>77</v>
      </c>
      <c r="F1260">
        <v>9.8000000000000007</v>
      </c>
      <c r="G1260">
        <v>61</v>
      </c>
      <c r="H1260" t="s">
        <v>11</v>
      </c>
      <c r="I1260" t="str">
        <f t="shared" si="19"/>
        <v>Média</v>
      </c>
    </row>
    <row r="1261" spans="1:9">
      <c r="A1261" t="s">
        <v>494</v>
      </c>
      <c r="B1261">
        <v>2026</v>
      </c>
      <c r="C1261">
        <v>1</v>
      </c>
      <c r="D1261" t="s">
        <v>75</v>
      </c>
      <c r="E1261" t="s">
        <v>78</v>
      </c>
      <c r="F1261">
        <v>9.8000000000000007</v>
      </c>
      <c r="G1261">
        <v>77.3</v>
      </c>
      <c r="H1261" t="s">
        <v>11</v>
      </c>
      <c r="I1261" t="str">
        <f t="shared" si="19"/>
        <v>Alta</v>
      </c>
    </row>
    <row r="1262" spans="1:9">
      <c r="A1262" t="s">
        <v>510</v>
      </c>
      <c r="B1262">
        <v>2026</v>
      </c>
      <c r="C1262">
        <v>1</v>
      </c>
      <c r="D1262" t="s">
        <v>139</v>
      </c>
      <c r="E1262" t="s">
        <v>10</v>
      </c>
      <c r="F1262">
        <v>9.8000000000000007</v>
      </c>
      <c r="G1262">
        <v>55.1</v>
      </c>
      <c r="H1262" t="s">
        <v>11</v>
      </c>
      <c r="I1262" t="str">
        <f t="shared" si="19"/>
        <v>Média</v>
      </c>
    </row>
    <row r="1263" spans="1:9">
      <c r="A1263" t="s">
        <v>526</v>
      </c>
      <c r="B1263">
        <v>2026</v>
      </c>
      <c r="C1263">
        <v>1</v>
      </c>
      <c r="D1263" t="s">
        <v>139</v>
      </c>
      <c r="E1263" t="s">
        <v>140</v>
      </c>
      <c r="F1263">
        <v>9.8000000000000007</v>
      </c>
      <c r="G1263">
        <v>55.2</v>
      </c>
      <c r="H1263" t="s">
        <v>11</v>
      </c>
      <c r="I1263" t="str">
        <f t="shared" si="19"/>
        <v>Média</v>
      </c>
    </row>
    <row r="1264" spans="1:9">
      <c r="A1264" t="s">
        <v>391</v>
      </c>
      <c r="B1264">
        <v>2026</v>
      </c>
      <c r="C1264">
        <v>2</v>
      </c>
      <c r="D1264" t="s">
        <v>9</v>
      </c>
      <c r="E1264" t="s">
        <v>12</v>
      </c>
      <c r="F1264">
        <v>9.8000000000000007</v>
      </c>
      <c r="G1264">
        <v>61.9</v>
      </c>
      <c r="H1264" t="s">
        <v>11</v>
      </c>
      <c r="I1264" t="str">
        <f t="shared" si="19"/>
        <v>Média</v>
      </c>
    </row>
    <row r="1265" spans="1:9">
      <c r="A1265" t="s">
        <v>401</v>
      </c>
      <c r="B1265">
        <v>2026</v>
      </c>
      <c r="C1265">
        <v>2</v>
      </c>
      <c r="D1265" t="s">
        <v>9</v>
      </c>
      <c r="E1265" t="s">
        <v>10</v>
      </c>
      <c r="F1265">
        <v>9.8000000000000007</v>
      </c>
      <c r="G1265">
        <v>63.6</v>
      </c>
      <c r="H1265" t="s">
        <v>11</v>
      </c>
      <c r="I1265" t="str">
        <f t="shared" si="19"/>
        <v>Média</v>
      </c>
    </row>
    <row r="1266" spans="1:9">
      <c r="A1266" t="s">
        <v>409</v>
      </c>
      <c r="B1266">
        <v>2026</v>
      </c>
      <c r="C1266">
        <v>2</v>
      </c>
      <c r="D1266" t="s">
        <v>9</v>
      </c>
      <c r="E1266" t="s">
        <v>14</v>
      </c>
      <c r="F1266">
        <v>9.8000000000000007</v>
      </c>
      <c r="G1266">
        <v>98.5</v>
      </c>
      <c r="H1266" t="s">
        <v>11</v>
      </c>
      <c r="I1266" t="str">
        <f t="shared" si="19"/>
        <v>Alta</v>
      </c>
    </row>
    <row r="1267" spans="1:9">
      <c r="A1267" t="s">
        <v>424</v>
      </c>
      <c r="B1267">
        <v>2026</v>
      </c>
      <c r="C1267">
        <v>2</v>
      </c>
      <c r="D1267" t="s">
        <v>9</v>
      </c>
      <c r="E1267" t="s">
        <v>10</v>
      </c>
      <c r="F1267">
        <v>9.8000000000000007</v>
      </c>
      <c r="G1267">
        <v>57.1</v>
      </c>
      <c r="H1267" t="s">
        <v>11</v>
      </c>
      <c r="I1267" t="str">
        <f t="shared" si="19"/>
        <v>Média</v>
      </c>
    </row>
    <row r="1268" spans="1:9">
      <c r="A1268" t="s">
        <v>510</v>
      </c>
      <c r="B1268">
        <v>2026</v>
      </c>
      <c r="C1268">
        <v>2</v>
      </c>
      <c r="D1268" t="s">
        <v>139</v>
      </c>
      <c r="E1268" t="s">
        <v>141</v>
      </c>
      <c r="F1268">
        <v>9.8000000000000007</v>
      </c>
      <c r="G1268">
        <v>72.7</v>
      </c>
      <c r="H1268" t="s">
        <v>11</v>
      </c>
      <c r="I1268" t="str">
        <f t="shared" si="19"/>
        <v>Média</v>
      </c>
    </row>
    <row r="1269" spans="1:9">
      <c r="A1269" t="s">
        <v>518</v>
      </c>
      <c r="B1269">
        <v>2026</v>
      </c>
      <c r="C1269">
        <v>2</v>
      </c>
      <c r="D1269" t="s">
        <v>139</v>
      </c>
      <c r="E1269" t="s">
        <v>141</v>
      </c>
      <c r="F1269">
        <v>9.8000000000000007</v>
      </c>
      <c r="G1269">
        <v>71.900000000000006</v>
      </c>
      <c r="H1269" t="s">
        <v>11</v>
      </c>
      <c r="I1269" t="str">
        <f t="shared" si="19"/>
        <v>Média</v>
      </c>
    </row>
    <row r="1270" spans="1:9">
      <c r="A1270" t="s">
        <v>556</v>
      </c>
      <c r="B1270">
        <v>2026</v>
      </c>
      <c r="C1270">
        <v>2</v>
      </c>
      <c r="D1270" t="s">
        <v>139</v>
      </c>
      <c r="E1270" t="s">
        <v>140</v>
      </c>
      <c r="F1270">
        <v>9.8000000000000007</v>
      </c>
      <c r="G1270">
        <v>91.1</v>
      </c>
      <c r="H1270" t="s">
        <v>11</v>
      </c>
      <c r="I1270" t="str">
        <f t="shared" si="19"/>
        <v>Alta</v>
      </c>
    </row>
    <row r="1271" spans="1:9">
      <c r="A1271" t="s">
        <v>560</v>
      </c>
      <c r="B1271">
        <v>2026</v>
      </c>
      <c r="C1271">
        <v>2</v>
      </c>
      <c r="D1271" t="s">
        <v>139</v>
      </c>
      <c r="E1271" t="s">
        <v>141</v>
      </c>
      <c r="F1271">
        <v>9.8000000000000007</v>
      </c>
      <c r="G1271">
        <v>91.7</v>
      </c>
      <c r="H1271" t="s">
        <v>11</v>
      </c>
      <c r="I1271" t="str">
        <f t="shared" si="19"/>
        <v>Alta</v>
      </c>
    </row>
    <row r="1272" spans="1:9">
      <c r="A1272" t="s">
        <v>60</v>
      </c>
      <c r="B1272">
        <v>2024</v>
      </c>
      <c r="C1272">
        <v>1</v>
      </c>
      <c r="D1272" t="s">
        <v>9</v>
      </c>
      <c r="E1272" t="s">
        <v>10</v>
      </c>
      <c r="F1272">
        <v>9.9</v>
      </c>
      <c r="G1272">
        <v>58.3</v>
      </c>
      <c r="H1272" t="s">
        <v>11</v>
      </c>
      <c r="I1272" t="str">
        <f t="shared" si="19"/>
        <v>Média</v>
      </c>
    </row>
    <row r="1273" spans="1:9">
      <c r="A1273" t="s">
        <v>89</v>
      </c>
      <c r="B1273">
        <v>2024</v>
      </c>
      <c r="C1273">
        <v>1</v>
      </c>
      <c r="D1273" t="s">
        <v>75</v>
      </c>
      <c r="E1273" t="s">
        <v>78</v>
      </c>
      <c r="F1273">
        <v>9.9</v>
      </c>
      <c r="G1273">
        <v>53.4</v>
      </c>
      <c r="H1273" t="s">
        <v>11</v>
      </c>
      <c r="I1273" t="str">
        <f t="shared" si="19"/>
        <v>Média</v>
      </c>
    </row>
    <row r="1274" spans="1:9">
      <c r="A1274" t="s">
        <v>98</v>
      </c>
      <c r="B1274">
        <v>2024</v>
      </c>
      <c r="C1274">
        <v>1</v>
      </c>
      <c r="D1274" t="s">
        <v>75</v>
      </c>
      <c r="E1274" t="s">
        <v>76</v>
      </c>
      <c r="F1274">
        <v>9.9</v>
      </c>
      <c r="G1274">
        <v>84</v>
      </c>
      <c r="H1274" t="s">
        <v>11</v>
      </c>
      <c r="I1274" t="str">
        <f t="shared" si="19"/>
        <v>Alta</v>
      </c>
    </row>
    <row r="1275" spans="1:9">
      <c r="A1275" t="s">
        <v>105</v>
      </c>
      <c r="B1275">
        <v>2024</v>
      </c>
      <c r="C1275">
        <v>1</v>
      </c>
      <c r="D1275" t="s">
        <v>75</v>
      </c>
      <c r="E1275" t="s">
        <v>77</v>
      </c>
      <c r="F1275">
        <v>9.9</v>
      </c>
      <c r="G1275">
        <v>77.2</v>
      </c>
      <c r="H1275" t="s">
        <v>11</v>
      </c>
      <c r="I1275" t="str">
        <f t="shared" si="19"/>
        <v>Alta</v>
      </c>
    </row>
    <row r="1276" spans="1:9">
      <c r="A1276" t="s">
        <v>113</v>
      </c>
      <c r="B1276">
        <v>2024</v>
      </c>
      <c r="C1276">
        <v>1</v>
      </c>
      <c r="D1276" t="s">
        <v>75</v>
      </c>
      <c r="E1276" t="s">
        <v>78</v>
      </c>
      <c r="F1276">
        <v>9.9</v>
      </c>
      <c r="G1276">
        <v>58.4</v>
      </c>
      <c r="H1276" t="s">
        <v>11</v>
      </c>
      <c r="I1276" t="str">
        <f t="shared" si="19"/>
        <v>Média</v>
      </c>
    </row>
    <row r="1277" spans="1:9">
      <c r="A1277" t="s">
        <v>133</v>
      </c>
      <c r="B1277">
        <v>2024</v>
      </c>
      <c r="C1277">
        <v>1</v>
      </c>
      <c r="D1277" t="s">
        <v>75</v>
      </c>
      <c r="E1277" t="s">
        <v>77</v>
      </c>
      <c r="F1277">
        <v>9.9</v>
      </c>
      <c r="G1277">
        <v>96</v>
      </c>
      <c r="H1277" t="s">
        <v>11</v>
      </c>
      <c r="I1277" t="str">
        <f t="shared" si="19"/>
        <v>Alta</v>
      </c>
    </row>
    <row r="1278" spans="1:9">
      <c r="A1278" t="s">
        <v>151</v>
      </c>
      <c r="B1278">
        <v>2024</v>
      </c>
      <c r="C1278">
        <v>1</v>
      </c>
      <c r="D1278" t="s">
        <v>139</v>
      </c>
      <c r="E1278" t="s">
        <v>140</v>
      </c>
      <c r="F1278">
        <v>9.9</v>
      </c>
      <c r="G1278">
        <v>74.3</v>
      </c>
      <c r="H1278" t="s">
        <v>11</v>
      </c>
      <c r="I1278" t="str">
        <f t="shared" si="19"/>
        <v>Média</v>
      </c>
    </row>
    <row r="1279" spans="1:9">
      <c r="A1279" t="s">
        <v>159</v>
      </c>
      <c r="B1279">
        <v>2024</v>
      </c>
      <c r="C1279">
        <v>1</v>
      </c>
      <c r="D1279" t="s">
        <v>139</v>
      </c>
      <c r="E1279" t="s">
        <v>141</v>
      </c>
      <c r="F1279">
        <v>9.9</v>
      </c>
      <c r="G1279">
        <v>49</v>
      </c>
      <c r="H1279" t="s">
        <v>11</v>
      </c>
      <c r="I1279" t="str">
        <f t="shared" si="19"/>
        <v>Baixa</v>
      </c>
    </row>
    <row r="1280" spans="1:9">
      <c r="A1280" t="s">
        <v>191</v>
      </c>
      <c r="B1280">
        <v>2024</v>
      </c>
      <c r="C1280">
        <v>1</v>
      </c>
      <c r="D1280" t="s">
        <v>139</v>
      </c>
      <c r="E1280" t="s">
        <v>10</v>
      </c>
      <c r="F1280">
        <v>9.9</v>
      </c>
      <c r="G1280">
        <v>85.5</v>
      </c>
      <c r="H1280" t="s">
        <v>11</v>
      </c>
      <c r="I1280" t="str">
        <f t="shared" si="19"/>
        <v>Alta</v>
      </c>
    </row>
    <row r="1281" spans="1:9">
      <c r="A1281" t="s">
        <v>30</v>
      </c>
      <c r="B1281">
        <v>2024</v>
      </c>
      <c r="C1281">
        <v>2</v>
      </c>
      <c r="D1281" t="s">
        <v>9</v>
      </c>
      <c r="E1281" t="s">
        <v>12</v>
      </c>
      <c r="F1281">
        <v>9.9</v>
      </c>
      <c r="G1281">
        <v>59.7</v>
      </c>
      <c r="H1281" t="s">
        <v>11</v>
      </c>
      <c r="I1281" t="str">
        <f t="shared" si="19"/>
        <v>Média</v>
      </c>
    </row>
    <row r="1282" spans="1:9">
      <c r="A1282" t="s">
        <v>36</v>
      </c>
      <c r="B1282">
        <v>2024</v>
      </c>
      <c r="C1282">
        <v>2</v>
      </c>
      <c r="D1282" t="s">
        <v>9</v>
      </c>
      <c r="E1282" t="s">
        <v>12</v>
      </c>
      <c r="F1282">
        <v>9.9</v>
      </c>
      <c r="G1282">
        <v>98.7</v>
      </c>
      <c r="H1282" t="s">
        <v>11</v>
      </c>
      <c r="I1282" t="str">
        <f t="shared" ref="I1282:I1345" si="20">IF(G1282&lt;50,"Baixa",IF(G1282&lt;75,"Média","Alta"))</f>
        <v>Alta</v>
      </c>
    </row>
    <row r="1283" spans="1:9">
      <c r="A1283" t="s">
        <v>41</v>
      </c>
      <c r="B1283">
        <v>2024</v>
      </c>
      <c r="C1283">
        <v>2</v>
      </c>
      <c r="D1283" t="s">
        <v>9</v>
      </c>
      <c r="E1283" t="s">
        <v>14</v>
      </c>
      <c r="F1283">
        <v>9.9</v>
      </c>
      <c r="G1283">
        <v>47.6</v>
      </c>
      <c r="H1283" t="s">
        <v>11</v>
      </c>
      <c r="I1283" t="str">
        <f t="shared" si="20"/>
        <v>Baixa</v>
      </c>
    </row>
    <row r="1284" spans="1:9">
      <c r="A1284" t="s">
        <v>134</v>
      </c>
      <c r="B1284">
        <v>2024</v>
      </c>
      <c r="C1284">
        <v>2</v>
      </c>
      <c r="D1284" t="s">
        <v>75</v>
      </c>
      <c r="E1284" t="s">
        <v>78</v>
      </c>
      <c r="F1284">
        <v>9.9</v>
      </c>
      <c r="G1284">
        <v>56</v>
      </c>
      <c r="H1284" t="s">
        <v>11</v>
      </c>
      <c r="I1284" t="str">
        <f t="shared" si="20"/>
        <v>Média</v>
      </c>
    </row>
    <row r="1285" spans="1:9">
      <c r="A1285" t="s">
        <v>178</v>
      </c>
      <c r="B1285">
        <v>2024</v>
      </c>
      <c r="C1285">
        <v>2</v>
      </c>
      <c r="D1285" t="s">
        <v>139</v>
      </c>
      <c r="E1285" t="s">
        <v>141</v>
      </c>
      <c r="F1285">
        <v>9.9</v>
      </c>
      <c r="G1285">
        <v>45.5</v>
      </c>
      <c r="H1285" t="s">
        <v>11</v>
      </c>
      <c r="I1285" t="str">
        <f t="shared" si="20"/>
        <v>Baixa</v>
      </c>
    </row>
    <row r="1286" spans="1:9">
      <c r="A1286" t="s">
        <v>181</v>
      </c>
      <c r="B1286">
        <v>2024</v>
      </c>
      <c r="C1286">
        <v>2</v>
      </c>
      <c r="D1286" t="s">
        <v>139</v>
      </c>
      <c r="E1286" t="s">
        <v>10</v>
      </c>
      <c r="F1286">
        <v>9.9</v>
      </c>
      <c r="G1286">
        <v>89.9</v>
      </c>
      <c r="H1286" t="s">
        <v>11</v>
      </c>
      <c r="I1286" t="str">
        <f t="shared" si="20"/>
        <v>Alta</v>
      </c>
    </row>
    <row r="1287" spans="1:9">
      <c r="A1287" t="s">
        <v>194</v>
      </c>
      <c r="B1287">
        <v>2024</v>
      </c>
      <c r="C1287">
        <v>2</v>
      </c>
      <c r="D1287" t="s">
        <v>139</v>
      </c>
      <c r="E1287" t="s">
        <v>10</v>
      </c>
      <c r="F1287">
        <v>9.9</v>
      </c>
      <c r="G1287">
        <v>71.900000000000006</v>
      </c>
      <c r="H1287" t="s">
        <v>11</v>
      </c>
      <c r="I1287" t="str">
        <f t="shared" si="20"/>
        <v>Média</v>
      </c>
    </row>
    <row r="1288" spans="1:9">
      <c r="A1288" t="s">
        <v>224</v>
      </c>
      <c r="B1288">
        <v>2025</v>
      </c>
      <c r="C1288">
        <v>1</v>
      </c>
      <c r="D1288" t="s">
        <v>9</v>
      </c>
      <c r="E1288" t="s">
        <v>12</v>
      </c>
      <c r="F1288">
        <v>9.9</v>
      </c>
      <c r="G1288">
        <v>56.7</v>
      </c>
      <c r="H1288" t="s">
        <v>11</v>
      </c>
      <c r="I1288" t="str">
        <f t="shared" si="20"/>
        <v>Média</v>
      </c>
    </row>
    <row r="1289" spans="1:9">
      <c r="A1289" t="s">
        <v>231</v>
      </c>
      <c r="B1289">
        <v>2025</v>
      </c>
      <c r="C1289">
        <v>1</v>
      </c>
      <c r="D1289" t="s">
        <v>9</v>
      </c>
      <c r="E1289" t="s">
        <v>14</v>
      </c>
      <c r="F1289">
        <v>9.9</v>
      </c>
      <c r="G1289">
        <v>60.3</v>
      </c>
      <c r="H1289" t="s">
        <v>11</v>
      </c>
      <c r="I1289" t="str">
        <f t="shared" si="20"/>
        <v>Média</v>
      </c>
    </row>
    <row r="1290" spans="1:9">
      <c r="A1290" t="s">
        <v>232</v>
      </c>
      <c r="B1290">
        <v>2025</v>
      </c>
      <c r="C1290">
        <v>1</v>
      </c>
      <c r="D1290" t="s">
        <v>9</v>
      </c>
      <c r="E1290" t="s">
        <v>14</v>
      </c>
      <c r="F1290">
        <v>9.9</v>
      </c>
      <c r="G1290">
        <v>90.2</v>
      </c>
      <c r="H1290" t="s">
        <v>11</v>
      </c>
      <c r="I1290" t="str">
        <f t="shared" si="20"/>
        <v>Alta</v>
      </c>
    </row>
    <row r="1291" spans="1:9">
      <c r="A1291" t="s">
        <v>259</v>
      </c>
      <c r="B1291">
        <v>2025</v>
      </c>
      <c r="C1291">
        <v>1</v>
      </c>
      <c r="D1291" t="s">
        <v>9</v>
      </c>
      <c r="E1291" t="s">
        <v>14</v>
      </c>
      <c r="F1291">
        <v>9.9</v>
      </c>
      <c r="G1291">
        <v>77.7</v>
      </c>
      <c r="H1291" t="s">
        <v>11</v>
      </c>
      <c r="I1291" t="str">
        <f t="shared" si="20"/>
        <v>Alta</v>
      </c>
    </row>
    <row r="1292" spans="1:9">
      <c r="A1292" t="s">
        <v>299</v>
      </c>
      <c r="B1292">
        <v>2025</v>
      </c>
      <c r="C1292">
        <v>1</v>
      </c>
      <c r="D1292" t="s">
        <v>75</v>
      </c>
      <c r="E1292" t="s">
        <v>76</v>
      </c>
      <c r="F1292">
        <v>9.9</v>
      </c>
      <c r="G1292">
        <v>96.8</v>
      </c>
      <c r="H1292" t="s">
        <v>11</v>
      </c>
      <c r="I1292" t="str">
        <f t="shared" si="20"/>
        <v>Alta</v>
      </c>
    </row>
    <row r="1293" spans="1:9">
      <c r="A1293" t="s">
        <v>335</v>
      </c>
      <c r="B1293">
        <v>2025</v>
      </c>
      <c r="C1293">
        <v>1</v>
      </c>
      <c r="D1293" t="s">
        <v>139</v>
      </c>
      <c r="E1293" t="s">
        <v>10</v>
      </c>
      <c r="F1293">
        <v>9.9</v>
      </c>
      <c r="G1293">
        <v>66.5</v>
      </c>
      <c r="H1293" t="s">
        <v>11</v>
      </c>
      <c r="I1293" t="str">
        <f t="shared" si="20"/>
        <v>Média</v>
      </c>
    </row>
    <row r="1294" spans="1:9">
      <c r="A1294" t="s">
        <v>206</v>
      </c>
      <c r="B1294">
        <v>2025</v>
      </c>
      <c r="C1294">
        <v>2</v>
      </c>
      <c r="D1294" t="s">
        <v>9</v>
      </c>
      <c r="E1294" t="s">
        <v>12</v>
      </c>
      <c r="F1294">
        <v>9.9</v>
      </c>
      <c r="G1294">
        <v>82.9</v>
      </c>
      <c r="H1294" t="s">
        <v>11</v>
      </c>
      <c r="I1294" t="str">
        <f t="shared" si="20"/>
        <v>Alta</v>
      </c>
    </row>
    <row r="1295" spans="1:9">
      <c r="A1295" t="s">
        <v>268</v>
      </c>
      <c r="B1295">
        <v>2025</v>
      </c>
      <c r="C1295">
        <v>2</v>
      </c>
      <c r="D1295" t="s">
        <v>75</v>
      </c>
      <c r="E1295" t="s">
        <v>77</v>
      </c>
      <c r="F1295">
        <v>9.9</v>
      </c>
      <c r="G1295">
        <v>48.9</v>
      </c>
      <c r="H1295" t="s">
        <v>11</v>
      </c>
      <c r="I1295" t="str">
        <f t="shared" si="20"/>
        <v>Baixa</v>
      </c>
    </row>
    <row r="1296" spans="1:9">
      <c r="A1296" t="s">
        <v>269</v>
      </c>
      <c r="B1296">
        <v>2025</v>
      </c>
      <c r="C1296">
        <v>2</v>
      </c>
      <c r="D1296" t="s">
        <v>75</v>
      </c>
      <c r="E1296" t="s">
        <v>76</v>
      </c>
      <c r="F1296">
        <v>9.9</v>
      </c>
      <c r="G1296">
        <v>63</v>
      </c>
      <c r="H1296" t="s">
        <v>11</v>
      </c>
      <c r="I1296" t="str">
        <f t="shared" si="20"/>
        <v>Média</v>
      </c>
    </row>
    <row r="1297" spans="1:9">
      <c r="A1297" t="s">
        <v>325</v>
      </c>
      <c r="B1297">
        <v>2025</v>
      </c>
      <c r="C1297">
        <v>2</v>
      </c>
      <c r="D1297" t="s">
        <v>139</v>
      </c>
      <c r="E1297" t="s">
        <v>10</v>
      </c>
      <c r="F1297">
        <v>9.9</v>
      </c>
      <c r="G1297">
        <v>56.9</v>
      </c>
      <c r="H1297" t="s">
        <v>11</v>
      </c>
      <c r="I1297" t="str">
        <f t="shared" si="20"/>
        <v>Média</v>
      </c>
    </row>
    <row r="1298" spans="1:9">
      <c r="A1298" t="s">
        <v>329</v>
      </c>
      <c r="B1298">
        <v>2025</v>
      </c>
      <c r="C1298">
        <v>2</v>
      </c>
      <c r="D1298" t="s">
        <v>139</v>
      </c>
      <c r="E1298" t="s">
        <v>10</v>
      </c>
      <c r="F1298">
        <v>9.9</v>
      </c>
      <c r="G1298">
        <v>95.3</v>
      </c>
      <c r="H1298" t="s">
        <v>11</v>
      </c>
      <c r="I1298" t="str">
        <f t="shared" si="20"/>
        <v>Alta</v>
      </c>
    </row>
    <row r="1299" spans="1:9">
      <c r="A1299" t="s">
        <v>349</v>
      </c>
      <c r="B1299">
        <v>2025</v>
      </c>
      <c r="C1299">
        <v>2</v>
      </c>
      <c r="D1299" t="s">
        <v>139</v>
      </c>
      <c r="E1299" t="s">
        <v>141</v>
      </c>
      <c r="F1299">
        <v>9.9</v>
      </c>
      <c r="G1299">
        <v>96.8</v>
      </c>
      <c r="H1299" t="s">
        <v>11</v>
      </c>
      <c r="I1299" t="str">
        <f t="shared" si="20"/>
        <v>Alta</v>
      </c>
    </row>
    <row r="1300" spans="1:9">
      <c r="A1300" t="s">
        <v>384</v>
      </c>
      <c r="B1300">
        <v>2026</v>
      </c>
      <c r="C1300">
        <v>1</v>
      </c>
      <c r="D1300" t="s">
        <v>9</v>
      </c>
      <c r="E1300" t="s">
        <v>12</v>
      </c>
      <c r="F1300">
        <v>9.9</v>
      </c>
      <c r="G1300">
        <v>76.599999999999994</v>
      </c>
      <c r="H1300" t="s">
        <v>11</v>
      </c>
      <c r="I1300" t="str">
        <f t="shared" si="20"/>
        <v>Alta</v>
      </c>
    </row>
    <row r="1301" spans="1:9">
      <c r="A1301" t="s">
        <v>405</v>
      </c>
      <c r="B1301">
        <v>2026</v>
      </c>
      <c r="C1301">
        <v>1</v>
      </c>
      <c r="D1301" t="s">
        <v>9</v>
      </c>
      <c r="E1301" t="s">
        <v>10</v>
      </c>
      <c r="F1301">
        <v>9.9</v>
      </c>
      <c r="G1301">
        <v>56.2</v>
      </c>
      <c r="H1301" t="s">
        <v>11</v>
      </c>
      <c r="I1301" t="str">
        <f t="shared" si="20"/>
        <v>Média</v>
      </c>
    </row>
    <row r="1302" spans="1:9">
      <c r="A1302" t="s">
        <v>415</v>
      </c>
      <c r="B1302">
        <v>2026</v>
      </c>
      <c r="C1302">
        <v>1</v>
      </c>
      <c r="D1302" t="s">
        <v>9</v>
      </c>
      <c r="E1302" t="s">
        <v>12</v>
      </c>
      <c r="F1302">
        <v>9.9</v>
      </c>
      <c r="G1302">
        <v>73.900000000000006</v>
      </c>
      <c r="H1302" t="s">
        <v>11</v>
      </c>
      <c r="I1302" t="str">
        <f t="shared" si="20"/>
        <v>Média</v>
      </c>
    </row>
    <row r="1303" spans="1:9">
      <c r="A1303" t="s">
        <v>420</v>
      </c>
      <c r="B1303">
        <v>2026</v>
      </c>
      <c r="C1303">
        <v>1</v>
      </c>
      <c r="D1303" t="s">
        <v>9</v>
      </c>
      <c r="E1303" t="s">
        <v>14</v>
      </c>
      <c r="F1303">
        <v>9.9</v>
      </c>
      <c r="G1303">
        <v>68.7</v>
      </c>
      <c r="H1303" t="s">
        <v>11</v>
      </c>
      <c r="I1303" t="str">
        <f t="shared" si="20"/>
        <v>Média</v>
      </c>
    </row>
    <row r="1304" spans="1:9">
      <c r="A1304" t="s">
        <v>434</v>
      </c>
      <c r="B1304">
        <v>2026</v>
      </c>
      <c r="C1304">
        <v>1</v>
      </c>
      <c r="D1304" t="s">
        <v>9</v>
      </c>
      <c r="E1304" t="s">
        <v>14</v>
      </c>
      <c r="F1304">
        <v>9.9</v>
      </c>
      <c r="G1304">
        <v>58.2</v>
      </c>
      <c r="H1304" t="s">
        <v>11</v>
      </c>
      <c r="I1304" t="str">
        <f t="shared" si="20"/>
        <v>Média</v>
      </c>
    </row>
    <row r="1305" spans="1:9">
      <c r="A1305" t="s">
        <v>454</v>
      </c>
      <c r="B1305">
        <v>2026</v>
      </c>
      <c r="C1305">
        <v>1</v>
      </c>
      <c r="D1305" t="s">
        <v>75</v>
      </c>
      <c r="E1305" t="s">
        <v>77</v>
      </c>
      <c r="F1305">
        <v>9.9</v>
      </c>
      <c r="G1305">
        <v>47.2</v>
      </c>
      <c r="H1305" t="s">
        <v>11</v>
      </c>
      <c r="I1305" t="str">
        <f t="shared" si="20"/>
        <v>Baixa</v>
      </c>
    </row>
    <row r="1306" spans="1:9">
      <c r="A1306" t="s">
        <v>477</v>
      </c>
      <c r="B1306">
        <v>2026</v>
      </c>
      <c r="C1306">
        <v>1</v>
      </c>
      <c r="D1306" t="s">
        <v>75</v>
      </c>
      <c r="E1306" t="s">
        <v>78</v>
      </c>
      <c r="F1306">
        <v>9.9</v>
      </c>
      <c r="G1306">
        <v>46.3</v>
      </c>
      <c r="H1306" t="s">
        <v>11</v>
      </c>
      <c r="I1306" t="str">
        <f t="shared" si="20"/>
        <v>Baixa</v>
      </c>
    </row>
    <row r="1307" spans="1:9">
      <c r="A1307" t="s">
        <v>522</v>
      </c>
      <c r="B1307">
        <v>2026</v>
      </c>
      <c r="C1307">
        <v>1</v>
      </c>
      <c r="D1307" t="s">
        <v>139</v>
      </c>
      <c r="E1307" t="s">
        <v>140</v>
      </c>
      <c r="F1307">
        <v>9.9</v>
      </c>
      <c r="G1307">
        <v>58.9</v>
      </c>
      <c r="H1307" t="s">
        <v>11</v>
      </c>
      <c r="I1307" t="str">
        <f t="shared" si="20"/>
        <v>Média</v>
      </c>
    </row>
    <row r="1308" spans="1:9">
      <c r="A1308" t="s">
        <v>537</v>
      </c>
      <c r="B1308">
        <v>2026</v>
      </c>
      <c r="C1308">
        <v>1</v>
      </c>
      <c r="D1308" t="s">
        <v>139</v>
      </c>
      <c r="E1308" t="s">
        <v>141</v>
      </c>
      <c r="F1308">
        <v>9.9</v>
      </c>
      <c r="G1308">
        <v>92.7</v>
      </c>
      <c r="H1308" t="s">
        <v>11</v>
      </c>
      <c r="I1308" t="str">
        <f t="shared" si="20"/>
        <v>Alta</v>
      </c>
    </row>
    <row r="1309" spans="1:9">
      <c r="A1309" t="s">
        <v>538</v>
      </c>
      <c r="B1309">
        <v>2026</v>
      </c>
      <c r="C1309">
        <v>1</v>
      </c>
      <c r="D1309" t="s">
        <v>139</v>
      </c>
      <c r="E1309" t="s">
        <v>140</v>
      </c>
      <c r="F1309">
        <v>9.9</v>
      </c>
      <c r="G1309">
        <v>54.6</v>
      </c>
      <c r="H1309" t="s">
        <v>11</v>
      </c>
      <c r="I1309" t="str">
        <f t="shared" si="20"/>
        <v>Média</v>
      </c>
    </row>
    <row r="1310" spans="1:9">
      <c r="A1310" t="s">
        <v>560</v>
      </c>
      <c r="B1310">
        <v>2026</v>
      </c>
      <c r="C1310">
        <v>1</v>
      </c>
      <c r="D1310" t="s">
        <v>139</v>
      </c>
      <c r="E1310" t="s">
        <v>141</v>
      </c>
      <c r="F1310">
        <v>9.9</v>
      </c>
      <c r="G1310">
        <v>78.2</v>
      </c>
      <c r="H1310" t="s">
        <v>11</v>
      </c>
      <c r="I1310" t="str">
        <f t="shared" si="20"/>
        <v>Alta</v>
      </c>
    </row>
    <row r="1311" spans="1:9">
      <c r="A1311" t="s">
        <v>415</v>
      </c>
      <c r="B1311">
        <v>2026</v>
      </c>
      <c r="C1311">
        <v>2</v>
      </c>
      <c r="D1311" t="s">
        <v>9</v>
      </c>
      <c r="E1311" t="s">
        <v>10</v>
      </c>
      <c r="F1311">
        <v>9.9</v>
      </c>
      <c r="G1311">
        <v>76.8</v>
      </c>
      <c r="H1311" t="s">
        <v>11</v>
      </c>
      <c r="I1311" t="str">
        <f t="shared" si="20"/>
        <v>Alta</v>
      </c>
    </row>
    <row r="1312" spans="1:9">
      <c r="A1312" t="s">
        <v>436</v>
      </c>
      <c r="B1312">
        <v>2026</v>
      </c>
      <c r="C1312">
        <v>2</v>
      </c>
      <c r="D1312" t="s">
        <v>9</v>
      </c>
      <c r="E1312" t="s">
        <v>12</v>
      </c>
      <c r="F1312">
        <v>9.9</v>
      </c>
      <c r="G1312">
        <v>98.8</v>
      </c>
      <c r="H1312" t="s">
        <v>11</v>
      </c>
      <c r="I1312" t="str">
        <f t="shared" si="20"/>
        <v>Alta</v>
      </c>
    </row>
    <row r="1313" spans="1:9">
      <c r="A1313" t="s">
        <v>462</v>
      </c>
      <c r="B1313">
        <v>2026</v>
      </c>
      <c r="C1313">
        <v>2</v>
      </c>
      <c r="D1313" t="s">
        <v>75</v>
      </c>
      <c r="E1313" t="s">
        <v>77</v>
      </c>
      <c r="F1313">
        <v>9.9</v>
      </c>
      <c r="G1313">
        <v>62.7</v>
      </c>
      <c r="H1313" t="s">
        <v>11</v>
      </c>
      <c r="I1313" t="str">
        <f t="shared" si="20"/>
        <v>Média</v>
      </c>
    </row>
    <row r="1314" spans="1:9">
      <c r="A1314" t="s">
        <v>501</v>
      </c>
      <c r="B1314">
        <v>2026</v>
      </c>
      <c r="C1314">
        <v>2</v>
      </c>
      <c r="D1314" t="s">
        <v>139</v>
      </c>
      <c r="E1314" t="s">
        <v>141</v>
      </c>
      <c r="F1314">
        <v>9.9</v>
      </c>
      <c r="G1314">
        <v>45.9</v>
      </c>
      <c r="H1314" t="s">
        <v>11</v>
      </c>
      <c r="I1314" t="str">
        <f t="shared" si="20"/>
        <v>Baixa</v>
      </c>
    </row>
    <row r="1315" spans="1:9">
      <c r="A1315" t="s">
        <v>523</v>
      </c>
      <c r="B1315">
        <v>2026</v>
      </c>
      <c r="C1315">
        <v>2</v>
      </c>
      <c r="D1315" t="s">
        <v>139</v>
      </c>
      <c r="E1315" t="s">
        <v>141</v>
      </c>
      <c r="F1315">
        <v>9.9</v>
      </c>
      <c r="G1315">
        <v>74.900000000000006</v>
      </c>
      <c r="H1315" t="s">
        <v>11</v>
      </c>
      <c r="I1315" t="str">
        <f t="shared" si="20"/>
        <v>Média</v>
      </c>
    </row>
    <row r="1316" spans="1:9">
      <c r="A1316" t="s">
        <v>533</v>
      </c>
      <c r="B1316">
        <v>2026</v>
      </c>
      <c r="C1316">
        <v>2</v>
      </c>
      <c r="D1316" t="s">
        <v>139</v>
      </c>
      <c r="E1316" t="s">
        <v>140</v>
      </c>
      <c r="F1316">
        <v>9.9</v>
      </c>
      <c r="G1316">
        <v>48.9</v>
      </c>
      <c r="H1316" t="s">
        <v>11</v>
      </c>
      <c r="I1316" t="str">
        <f t="shared" si="20"/>
        <v>Baixa</v>
      </c>
    </row>
    <row r="1317" spans="1:9">
      <c r="A1317" t="s">
        <v>538</v>
      </c>
      <c r="B1317">
        <v>2026</v>
      </c>
      <c r="C1317">
        <v>2</v>
      </c>
      <c r="D1317" t="s">
        <v>139</v>
      </c>
      <c r="E1317" t="s">
        <v>141</v>
      </c>
      <c r="F1317">
        <v>9.9</v>
      </c>
      <c r="G1317">
        <v>85.9</v>
      </c>
      <c r="H1317" t="s">
        <v>11</v>
      </c>
      <c r="I1317" t="str">
        <f t="shared" si="20"/>
        <v>Alta</v>
      </c>
    </row>
    <row r="1318" spans="1:9">
      <c r="A1318" t="s">
        <v>66</v>
      </c>
      <c r="B1318">
        <v>2024</v>
      </c>
      <c r="C1318">
        <v>1</v>
      </c>
      <c r="D1318" t="s">
        <v>9</v>
      </c>
      <c r="E1318" t="s">
        <v>14</v>
      </c>
      <c r="F1318">
        <v>10</v>
      </c>
      <c r="G1318">
        <v>86.8</v>
      </c>
      <c r="H1318" t="s">
        <v>13</v>
      </c>
      <c r="I1318" t="str">
        <f t="shared" si="20"/>
        <v>Alta</v>
      </c>
    </row>
    <row r="1319" spans="1:9">
      <c r="A1319" t="s">
        <v>83</v>
      </c>
      <c r="B1319">
        <v>2024</v>
      </c>
      <c r="C1319">
        <v>1</v>
      </c>
      <c r="D1319" t="s">
        <v>75</v>
      </c>
      <c r="E1319" t="s">
        <v>76</v>
      </c>
      <c r="F1319">
        <v>10</v>
      </c>
      <c r="G1319">
        <v>79.900000000000006</v>
      </c>
      <c r="H1319" t="s">
        <v>13</v>
      </c>
      <c r="I1319" t="str">
        <f t="shared" si="20"/>
        <v>Alta</v>
      </c>
    </row>
    <row r="1320" spans="1:9">
      <c r="A1320" t="s">
        <v>85</v>
      </c>
      <c r="B1320">
        <v>2024</v>
      </c>
      <c r="C1320">
        <v>1</v>
      </c>
      <c r="D1320" t="s">
        <v>75</v>
      </c>
      <c r="E1320" t="s">
        <v>76</v>
      </c>
      <c r="F1320">
        <v>10</v>
      </c>
      <c r="G1320">
        <v>48.6</v>
      </c>
      <c r="H1320" t="s">
        <v>13</v>
      </c>
      <c r="I1320" t="str">
        <f t="shared" si="20"/>
        <v>Baixa</v>
      </c>
    </row>
    <row r="1321" spans="1:9">
      <c r="A1321" t="s">
        <v>94</v>
      </c>
      <c r="B1321">
        <v>2024</v>
      </c>
      <c r="C1321">
        <v>1</v>
      </c>
      <c r="D1321" t="s">
        <v>75</v>
      </c>
      <c r="E1321" t="s">
        <v>78</v>
      </c>
      <c r="F1321">
        <v>10</v>
      </c>
      <c r="G1321">
        <v>74.7</v>
      </c>
      <c r="H1321" t="s">
        <v>13</v>
      </c>
      <c r="I1321" t="str">
        <f t="shared" si="20"/>
        <v>Média</v>
      </c>
    </row>
    <row r="1322" spans="1:9">
      <c r="A1322" t="s">
        <v>97</v>
      </c>
      <c r="B1322">
        <v>2024</v>
      </c>
      <c r="C1322">
        <v>1</v>
      </c>
      <c r="D1322" t="s">
        <v>75</v>
      </c>
      <c r="E1322" t="s">
        <v>77</v>
      </c>
      <c r="F1322">
        <v>10</v>
      </c>
      <c r="G1322">
        <v>68.7</v>
      </c>
      <c r="H1322" t="s">
        <v>13</v>
      </c>
      <c r="I1322" t="str">
        <f t="shared" si="20"/>
        <v>Média</v>
      </c>
    </row>
    <row r="1323" spans="1:9">
      <c r="A1323" t="s">
        <v>102</v>
      </c>
      <c r="B1323">
        <v>2024</v>
      </c>
      <c r="C1323">
        <v>1</v>
      </c>
      <c r="D1323" t="s">
        <v>75</v>
      </c>
      <c r="E1323" t="s">
        <v>76</v>
      </c>
      <c r="F1323">
        <v>10</v>
      </c>
      <c r="G1323">
        <v>67.8</v>
      </c>
      <c r="H1323" t="s">
        <v>13</v>
      </c>
      <c r="I1323" t="str">
        <f t="shared" si="20"/>
        <v>Média</v>
      </c>
    </row>
    <row r="1324" spans="1:9">
      <c r="A1324" t="s">
        <v>114</v>
      </c>
      <c r="B1324">
        <v>2024</v>
      </c>
      <c r="C1324">
        <v>1</v>
      </c>
      <c r="D1324" t="s">
        <v>75</v>
      </c>
      <c r="E1324" t="s">
        <v>78</v>
      </c>
      <c r="F1324">
        <v>10</v>
      </c>
      <c r="G1324">
        <v>68.7</v>
      </c>
      <c r="H1324" t="s">
        <v>13</v>
      </c>
      <c r="I1324" t="str">
        <f t="shared" si="20"/>
        <v>Média</v>
      </c>
    </row>
    <row r="1325" spans="1:9">
      <c r="A1325" t="s">
        <v>131</v>
      </c>
      <c r="B1325">
        <v>2024</v>
      </c>
      <c r="C1325">
        <v>1</v>
      </c>
      <c r="D1325" t="s">
        <v>75</v>
      </c>
      <c r="E1325" t="s">
        <v>78</v>
      </c>
      <c r="F1325">
        <v>10</v>
      </c>
      <c r="G1325">
        <v>76.2</v>
      </c>
      <c r="H1325" t="s">
        <v>13</v>
      </c>
      <c r="I1325" t="str">
        <f t="shared" si="20"/>
        <v>Alta</v>
      </c>
    </row>
    <row r="1326" spans="1:9">
      <c r="A1326" t="s">
        <v>68</v>
      </c>
      <c r="B1326">
        <v>2024</v>
      </c>
      <c r="C1326">
        <v>2</v>
      </c>
      <c r="D1326" t="s">
        <v>9</v>
      </c>
      <c r="E1326" t="s">
        <v>14</v>
      </c>
      <c r="F1326">
        <v>10</v>
      </c>
      <c r="G1326">
        <v>94.5</v>
      </c>
      <c r="H1326" t="s">
        <v>13</v>
      </c>
      <c r="I1326" t="str">
        <f t="shared" si="20"/>
        <v>Alta</v>
      </c>
    </row>
    <row r="1327" spans="1:9">
      <c r="A1327" t="s">
        <v>95</v>
      </c>
      <c r="B1327">
        <v>2024</v>
      </c>
      <c r="C1327">
        <v>2</v>
      </c>
      <c r="D1327" t="s">
        <v>75</v>
      </c>
      <c r="E1327" t="s">
        <v>77</v>
      </c>
      <c r="F1327">
        <v>10</v>
      </c>
      <c r="G1327">
        <v>54.2</v>
      </c>
      <c r="H1327" t="s">
        <v>13</v>
      </c>
      <c r="I1327" t="str">
        <f t="shared" si="20"/>
        <v>Média</v>
      </c>
    </row>
    <row r="1328" spans="1:9">
      <c r="A1328" t="s">
        <v>103</v>
      </c>
      <c r="B1328">
        <v>2024</v>
      </c>
      <c r="C1328">
        <v>2</v>
      </c>
      <c r="D1328" t="s">
        <v>75</v>
      </c>
      <c r="E1328" t="s">
        <v>78</v>
      </c>
      <c r="F1328">
        <v>10</v>
      </c>
      <c r="G1328">
        <v>66.8</v>
      </c>
      <c r="H1328" t="s">
        <v>13</v>
      </c>
      <c r="I1328" t="str">
        <f t="shared" si="20"/>
        <v>Média</v>
      </c>
    </row>
    <row r="1329" spans="1:9">
      <c r="A1329" t="s">
        <v>118</v>
      </c>
      <c r="B1329">
        <v>2024</v>
      </c>
      <c r="C1329">
        <v>2</v>
      </c>
      <c r="D1329" t="s">
        <v>75</v>
      </c>
      <c r="E1329" t="s">
        <v>78</v>
      </c>
      <c r="F1329">
        <v>10</v>
      </c>
      <c r="G1329">
        <v>92.6</v>
      </c>
      <c r="H1329" t="s">
        <v>13</v>
      </c>
      <c r="I1329" t="str">
        <f t="shared" si="20"/>
        <v>Alta</v>
      </c>
    </row>
    <row r="1330" spans="1:9">
      <c r="A1330" t="s">
        <v>121</v>
      </c>
      <c r="B1330">
        <v>2024</v>
      </c>
      <c r="C1330">
        <v>2</v>
      </c>
      <c r="D1330" t="s">
        <v>75</v>
      </c>
      <c r="E1330" t="s">
        <v>77</v>
      </c>
      <c r="F1330">
        <v>10</v>
      </c>
      <c r="G1330">
        <v>69.2</v>
      </c>
      <c r="H1330" t="s">
        <v>13</v>
      </c>
      <c r="I1330" t="str">
        <f t="shared" si="20"/>
        <v>Média</v>
      </c>
    </row>
    <row r="1331" spans="1:9">
      <c r="A1331" t="s">
        <v>190</v>
      </c>
      <c r="B1331">
        <v>2024</v>
      </c>
      <c r="C1331">
        <v>2</v>
      </c>
      <c r="D1331" t="s">
        <v>139</v>
      </c>
      <c r="E1331" t="s">
        <v>10</v>
      </c>
      <c r="F1331">
        <v>10</v>
      </c>
      <c r="G1331">
        <v>72.2</v>
      </c>
      <c r="H1331" t="s">
        <v>13</v>
      </c>
      <c r="I1331" t="str">
        <f t="shared" si="20"/>
        <v>Média</v>
      </c>
    </row>
    <row r="1332" spans="1:9">
      <c r="A1332" t="s">
        <v>211</v>
      </c>
      <c r="B1332">
        <v>2025</v>
      </c>
      <c r="C1332">
        <v>1</v>
      </c>
      <c r="D1332" t="s">
        <v>9</v>
      </c>
      <c r="E1332" t="s">
        <v>10</v>
      </c>
      <c r="F1332">
        <v>10</v>
      </c>
      <c r="G1332">
        <v>45.2</v>
      </c>
      <c r="H1332" t="s">
        <v>13</v>
      </c>
      <c r="I1332" t="str">
        <f t="shared" si="20"/>
        <v>Baixa</v>
      </c>
    </row>
    <row r="1333" spans="1:9">
      <c r="A1333" t="s">
        <v>230</v>
      </c>
      <c r="B1333">
        <v>2025</v>
      </c>
      <c r="C1333">
        <v>1</v>
      </c>
      <c r="D1333" t="s">
        <v>9</v>
      </c>
      <c r="E1333" t="s">
        <v>14</v>
      </c>
      <c r="F1333">
        <v>10</v>
      </c>
      <c r="G1333">
        <v>55.8</v>
      </c>
      <c r="H1333" t="s">
        <v>13</v>
      </c>
      <c r="I1333" t="str">
        <f t="shared" si="20"/>
        <v>Média</v>
      </c>
    </row>
    <row r="1334" spans="1:9">
      <c r="A1334" t="s">
        <v>289</v>
      </c>
      <c r="B1334">
        <v>2025</v>
      </c>
      <c r="C1334">
        <v>1</v>
      </c>
      <c r="D1334" t="s">
        <v>75</v>
      </c>
      <c r="E1334" t="s">
        <v>76</v>
      </c>
      <c r="F1334">
        <v>10</v>
      </c>
      <c r="G1334">
        <v>81</v>
      </c>
      <c r="H1334" t="s">
        <v>13</v>
      </c>
      <c r="I1334" t="str">
        <f t="shared" si="20"/>
        <v>Alta</v>
      </c>
    </row>
    <row r="1335" spans="1:9">
      <c r="A1335" t="s">
        <v>295</v>
      </c>
      <c r="B1335">
        <v>2025</v>
      </c>
      <c r="C1335">
        <v>1</v>
      </c>
      <c r="D1335" t="s">
        <v>75</v>
      </c>
      <c r="E1335" t="s">
        <v>76</v>
      </c>
      <c r="F1335">
        <v>10</v>
      </c>
      <c r="G1335">
        <v>67.400000000000006</v>
      </c>
      <c r="H1335" t="s">
        <v>13</v>
      </c>
      <c r="I1335" t="str">
        <f t="shared" si="20"/>
        <v>Média</v>
      </c>
    </row>
    <row r="1336" spans="1:9">
      <c r="A1336" t="s">
        <v>343</v>
      </c>
      <c r="B1336">
        <v>2025</v>
      </c>
      <c r="C1336">
        <v>1</v>
      </c>
      <c r="D1336" t="s">
        <v>139</v>
      </c>
      <c r="E1336" t="s">
        <v>10</v>
      </c>
      <c r="F1336">
        <v>10</v>
      </c>
      <c r="G1336">
        <v>58.2</v>
      </c>
      <c r="H1336" t="s">
        <v>13</v>
      </c>
      <c r="I1336" t="str">
        <f t="shared" si="20"/>
        <v>Média</v>
      </c>
    </row>
    <row r="1337" spans="1:9">
      <c r="A1337" t="s">
        <v>350</v>
      </c>
      <c r="B1337">
        <v>2025</v>
      </c>
      <c r="C1337">
        <v>1</v>
      </c>
      <c r="D1337" t="s">
        <v>139</v>
      </c>
      <c r="E1337" t="s">
        <v>141</v>
      </c>
      <c r="F1337">
        <v>10</v>
      </c>
      <c r="G1337">
        <v>53.8</v>
      </c>
      <c r="H1337" t="s">
        <v>13</v>
      </c>
      <c r="I1337" t="str">
        <f t="shared" si="20"/>
        <v>Média</v>
      </c>
    </row>
    <row r="1338" spans="1:9">
      <c r="A1338" t="s">
        <v>357</v>
      </c>
      <c r="B1338">
        <v>2025</v>
      </c>
      <c r="C1338">
        <v>1</v>
      </c>
      <c r="D1338" t="s">
        <v>139</v>
      </c>
      <c r="E1338" t="s">
        <v>141</v>
      </c>
      <c r="F1338">
        <v>10</v>
      </c>
      <c r="G1338">
        <v>50.1</v>
      </c>
      <c r="H1338" t="s">
        <v>13</v>
      </c>
      <c r="I1338" t="str">
        <f t="shared" si="20"/>
        <v>Média</v>
      </c>
    </row>
    <row r="1339" spans="1:9">
      <c r="A1339" t="s">
        <v>258</v>
      </c>
      <c r="B1339">
        <v>2025</v>
      </c>
      <c r="C1339">
        <v>2</v>
      </c>
      <c r="D1339" t="s">
        <v>9</v>
      </c>
      <c r="E1339" t="s">
        <v>12</v>
      </c>
      <c r="F1339">
        <v>10</v>
      </c>
      <c r="G1339">
        <v>92.8</v>
      </c>
      <c r="H1339" t="s">
        <v>13</v>
      </c>
      <c r="I1339" t="str">
        <f t="shared" si="20"/>
        <v>Alta</v>
      </c>
    </row>
    <row r="1340" spans="1:9">
      <c r="A1340" t="s">
        <v>282</v>
      </c>
      <c r="B1340">
        <v>2025</v>
      </c>
      <c r="C1340">
        <v>2</v>
      </c>
      <c r="D1340" t="s">
        <v>75</v>
      </c>
      <c r="E1340" t="s">
        <v>76</v>
      </c>
      <c r="F1340">
        <v>10</v>
      </c>
      <c r="G1340">
        <v>59.2</v>
      </c>
      <c r="H1340" t="s">
        <v>13</v>
      </c>
      <c r="I1340" t="str">
        <f t="shared" si="20"/>
        <v>Média</v>
      </c>
    </row>
    <row r="1341" spans="1:9">
      <c r="A1341" t="s">
        <v>319</v>
      </c>
      <c r="B1341">
        <v>2025</v>
      </c>
      <c r="C1341">
        <v>2</v>
      </c>
      <c r="D1341" t="s">
        <v>75</v>
      </c>
      <c r="E1341" t="s">
        <v>77</v>
      </c>
      <c r="F1341">
        <v>10</v>
      </c>
      <c r="G1341">
        <v>91.7</v>
      </c>
      <c r="H1341" t="s">
        <v>13</v>
      </c>
      <c r="I1341" t="str">
        <f t="shared" si="20"/>
        <v>Alta</v>
      </c>
    </row>
    <row r="1342" spans="1:9">
      <c r="A1342" t="s">
        <v>357</v>
      </c>
      <c r="B1342">
        <v>2025</v>
      </c>
      <c r="C1342">
        <v>2</v>
      </c>
      <c r="D1342" t="s">
        <v>139</v>
      </c>
      <c r="E1342" t="s">
        <v>10</v>
      </c>
      <c r="F1342">
        <v>10</v>
      </c>
      <c r="G1342">
        <v>80.7</v>
      </c>
      <c r="H1342" t="s">
        <v>13</v>
      </c>
      <c r="I1342" t="str">
        <f t="shared" si="20"/>
        <v>Alta</v>
      </c>
    </row>
    <row r="1343" spans="1:9">
      <c r="A1343" t="s">
        <v>410</v>
      </c>
      <c r="B1343">
        <v>2026</v>
      </c>
      <c r="C1343">
        <v>1</v>
      </c>
      <c r="D1343" t="s">
        <v>9</v>
      </c>
      <c r="E1343" t="s">
        <v>14</v>
      </c>
      <c r="F1343">
        <v>10</v>
      </c>
      <c r="G1343">
        <v>82.9</v>
      </c>
      <c r="H1343" t="s">
        <v>13</v>
      </c>
      <c r="I1343" t="str">
        <f t="shared" si="20"/>
        <v>Alta</v>
      </c>
    </row>
    <row r="1344" spans="1:9">
      <c r="A1344" t="s">
        <v>418</v>
      </c>
      <c r="B1344">
        <v>2026</v>
      </c>
      <c r="C1344">
        <v>1</v>
      </c>
      <c r="D1344" t="s">
        <v>9</v>
      </c>
      <c r="E1344" t="s">
        <v>12</v>
      </c>
      <c r="F1344">
        <v>10</v>
      </c>
      <c r="G1344">
        <v>83</v>
      </c>
      <c r="H1344" t="s">
        <v>13</v>
      </c>
      <c r="I1344" t="str">
        <f t="shared" si="20"/>
        <v>Alta</v>
      </c>
    </row>
    <row r="1345" spans="1:9">
      <c r="A1345" t="s">
        <v>420</v>
      </c>
      <c r="B1345">
        <v>2026</v>
      </c>
      <c r="C1345">
        <v>1</v>
      </c>
      <c r="D1345" t="s">
        <v>9</v>
      </c>
      <c r="E1345" t="s">
        <v>12</v>
      </c>
      <c r="F1345">
        <v>10</v>
      </c>
      <c r="G1345">
        <v>59.9</v>
      </c>
      <c r="H1345" t="s">
        <v>13</v>
      </c>
      <c r="I1345" t="str">
        <f t="shared" si="20"/>
        <v>Média</v>
      </c>
    </row>
    <row r="1346" spans="1:9">
      <c r="A1346" t="s">
        <v>524</v>
      </c>
      <c r="B1346">
        <v>2026</v>
      </c>
      <c r="C1346">
        <v>1</v>
      </c>
      <c r="D1346" t="s">
        <v>139</v>
      </c>
      <c r="E1346" t="s">
        <v>140</v>
      </c>
      <c r="F1346">
        <v>10</v>
      </c>
      <c r="G1346">
        <v>87.7</v>
      </c>
      <c r="H1346" t="s">
        <v>13</v>
      </c>
      <c r="I1346" t="str">
        <f t="shared" ref="I1346:I1409" si="21">IF(G1346&lt;50,"Baixa",IF(G1346&lt;75,"Média","Alta"))</f>
        <v>Alta</v>
      </c>
    </row>
    <row r="1347" spans="1:9">
      <c r="A1347" t="s">
        <v>560</v>
      </c>
      <c r="B1347">
        <v>2026</v>
      </c>
      <c r="C1347">
        <v>1</v>
      </c>
      <c r="D1347" t="s">
        <v>139</v>
      </c>
      <c r="E1347" t="s">
        <v>140</v>
      </c>
      <c r="F1347">
        <v>10</v>
      </c>
      <c r="G1347">
        <v>85.3</v>
      </c>
      <c r="H1347" t="s">
        <v>13</v>
      </c>
      <c r="I1347" t="str">
        <f t="shared" si="21"/>
        <v>Alta</v>
      </c>
    </row>
    <row r="1348" spans="1:9">
      <c r="A1348" t="s">
        <v>398</v>
      </c>
      <c r="B1348">
        <v>2026</v>
      </c>
      <c r="C1348">
        <v>2</v>
      </c>
      <c r="D1348" t="s">
        <v>9</v>
      </c>
      <c r="E1348" t="s">
        <v>12</v>
      </c>
      <c r="F1348">
        <v>10</v>
      </c>
      <c r="G1348">
        <v>90.2</v>
      </c>
      <c r="H1348" t="s">
        <v>13</v>
      </c>
      <c r="I1348" t="str">
        <f t="shared" si="21"/>
        <v>Alta</v>
      </c>
    </row>
    <row r="1349" spans="1:9">
      <c r="A1349" t="s">
        <v>493</v>
      </c>
      <c r="B1349">
        <v>2026</v>
      </c>
      <c r="C1349">
        <v>2</v>
      </c>
      <c r="D1349" t="s">
        <v>75</v>
      </c>
      <c r="E1349" t="s">
        <v>78</v>
      </c>
      <c r="F1349">
        <v>10</v>
      </c>
      <c r="G1349">
        <v>60.4</v>
      </c>
      <c r="H1349" t="s">
        <v>13</v>
      </c>
      <c r="I1349" t="str">
        <f t="shared" si="21"/>
        <v>Média</v>
      </c>
    </row>
    <row r="1350" spans="1:9">
      <c r="A1350" t="s">
        <v>545</v>
      </c>
      <c r="B1350">
        <v>2026</v>
      </c>
      <c r="C1350">
        <v>2</v>
      </c>
      <c r="D1350" t="s">
        <v>139</v>
      </c>
      <c r="E1350" t="s">
        <v>10</v>
      </c>
      <c r="F1350">
        <v>10</v>
      </c>
      <c r="G1350">
        <v>46</v>
      </c>
      <c r="H1350" t="s">
        <v>13</v>
      </c>
      <c r="I1350" t="str">
        <f t="shared" si="21"/>
        <v>Baixa</v>
      </c>
    </row>
    <row r="1351" spans="1:9">
      <c r="A1351" t="s">
        <v>47</v>
      </c>
      <c r="B1351">
        <v>2024</v>
      </c>
      <c r="C1351">
        <v>1</v>
      </c>
      <c r="D1351" t="s">
        <v>9</v>
      </c>
      <c r="E1351" t="s">
        <v>14</v>
      </c>
      <c r="F1351">
        <v>10.1</v>
      </c>
      <c r="G1351">
        <v>84.3</v>
      </c>
      <c r="H1351" t="s">
        <v>13</v>
      </c>
      <c r="I1351" t="str">
        <f t="shared" si="21"/>
        <v>Alta</v>
      </c>
    </row>
    <row r="1352" spans="1:9">
      <c r="A1352" t="s">
        <v>52</v>
      </c>
      <c r="B1352">
        <v>2024</v>
      </c>
      <c r="C1352">
        <v>1</v>
      </c>
      <c r="D1352" t="s">
        <v>9</v>
      </c>
      <c r="E1352" t="s">
        <v>12</v>
      </c>
      <c r="F1352">
        <v>10.1</v>
      </c>
      <c r="G1352">
        <v>79.3</v>
      </c>
      <c r="H1352" t="s">
        <v>13</v>
      </c>
      <c r="I1352" t="str">
        <f t="shared" si="21"/>
        <v>Alta</v>
      </c>
    </row>
    <row r="1353" spans="1:9">
      <c r="A1353" t="s">
        <v>130</v>
      </c>
      <c r="B1353">
        <v>2024</v>
      </c>
      <c r="C1353">
        <v>1</v>
      </c>
      <c r="D1353" t="s">
        <v>75</v>
      </c>
      <c r="E1353" t="s">
        <v>77</v>
      </c>
      <c r="F1353">
        <v>10.1</v>
      </c>
      <c r="G1353">
        <v>83.6</v>
      </c>
      <c r="H1353" t="s">
        <v>13</v>
      </c>
      <c r="I1353" t="str">
        <f t="shared" si="21"/>
        <v>Alta</v>
      </c>
    </row>
    <row r="1354" spans="1:9">
      <c r="A1354" t="s">
        <v>162</v>
      </c>
      <c r="B1354">
        <v>2024</v>
      </c>
      <c r="C1354">
        <v>1</v>
      </c>
      <c r="D1354" t="s">
        <v>139</v>
      </c>
      <c r="E1354" t="s">
        <v>140</v>
      </c>
      <c r="F1354">
        <v>10.1</v>
      </c>
      <c r="G1354">
        <v>73.599999999999994</v>
      </c>
      <c r="H1354" t="s">
        <v>13</v>
      </c>
      <c r="I1354" t="str">
        <f t="shared" si="21"/>
        <v>Média</v>
      </c>
    </row>
    <row r="1355" spans="1:9">
      <c r="A1355" t="s">
        <v>175</v>
      </c>
      <c r="B1355">
        <v>2024</v>
      </c>
      <c r="C1355">
        <v>1</v>
      </c>
      <c r="D1355" t="s">
        <v>139</v>
      </c>
      <c r="E1355" t="s">
        <v>10</v>
      </c>
      <c r="F1355">
        <v>10.1</v>
      </c>
      <c r="G1355">
        <v>77.5</v>
      </c>
      <c r="H1355" t="s">
        <v>13</v>
      </c>
      <c r="I1355" t="str">
        <f t="shared" si="21"/>
        <v>Alta</v>
      </c>
    </row>
    <row r="1356" spans="1:9">
      <c r="A1356" t="s">
        <v>61</v>
      </c>
      <c r="B1356">
        <v>2024</v>
      </c>
      <c r="C1356">
        <v>2</v>
      </c>
      <c r="D1356" t="s">
        <v>9</v>
      </c>
      <c r="E1356" t="s">
        <v>12</v>
      </c>
      <c r="F1356">
        <v>10.1</v>
      </c>
      <c r="G1356">
        <v>95.3</v>
      </c>
      <c r="H1356" t="s">
        <v>13</v>
      </c>
      <c r="I1356" t="str">
        <f t="shared" si="21"/>
        <v>Alta</v>
      </c>
    </row>
    <row r="1357" spans="1:9">
      <c r="A1357" t="s">
        <v>132</v>
      </c>
      <c r="B1357">
        <v>2024</v>
      </c>
      <c r="C1357">
        <v>2</v>
      </c>
      <c r="D1357" t="s">
        <v>75</v>
      </c>
      <c r="E1357" t="s">
        <v>76</v>
      </c>
      <c r="F1357">
        <v>10.1</v>
      </c>
      <c r="G1357">
        <v>63.2</v>
      </c>
      <c r="H1357" t="s">
        <v>13</v>
      </c>
      <c r="I1357" t="str">
        <f t="shared" si="21"/>
        <v>Média</v>
      </c>
    </row>
    <row r="1358" spans="1:9">
      <c r="A1358" t="s">
        <v>145</v>
      </c>
      <c r="B1358">
        <v>2024</v>
      </c>
      <c r="C1358">
        <v>2</v>
      </c>
      <c r="D1358" t="s">
        <v>139</v>
      </c>
      <c r="E1358" t="s">
        <v>141</v>
      </c>
      <c r="F1358">
        <v>10.1</v>
      </c>
      <c r="G1358">
        <v>91.9</v>
      </c>
      <c r="H1358" t="s">
        <v>13</v>
      </c>
      <c r="I1358" t="str">
        <f t="shared" si="21"/>
        <v>Alta</v>
      </c>
    </row>
    <row r="1359" spans="1:9">
      <c r="A1359" t="s">
        <v>181</v>
      </c>
      <c r="B1359">
        <v>2024</v>
      </c>
      <c r="C1359">
        <v>2</v>
      </c>
      <c r="D1359" t="s">
        <v>139</v>
      </c>
      <c r="E1359" t="s">
        <v>141</v>
      </c>
      <c r="F1359">
        <v>10.1</v>
      </c>
      <c r="G1359">
        <v>64.900000000000006</v>
      </c>
      <c r="H1359" t="s">
        <v>13</v>
      </c>
      <c r="I1359" t="str">
        <f t="shared" si="21"/>
        <v>Média</v>
      </c>
    </row>
    <row r="1360" spans="1:9">
      <c r="A1360" t="s">
        <v>273</v>
      </c>
      <c r="B1360">
        <v>2025</v>
      </c>
      <c r="C1360">
        <v>1</v>
      </c>
      <c r="D1360" t="s">
        <v>75</v>
      </c>
      <c r="E1360" t="s">
        <v>76</v>
      </c>
      <c r="F1360">
        <v>10.1</v>
      </c>
      <c r="G1360">
        <v>55.3</v>
      </c>
      <c r="H1360" t="s">
        <v>13</v>
      </c>
      <c r="I1360" t="str">
        <f t="shared" si="21"/>
        <v>Média</v>
      </c>
    </row>
    <row r="1361" spans="1:9">
      <c r="A1361" t="s">
        <v>305</v>
      </c>
      <c r="B1361">
        <v>2025</v>
      </c>
      <c r="C1361">
        <v>1</v>
      </c>
      <c r="D1361" t="s">
        <v>75</v>
      </c>
      <c r="E1361" t="s">
        <v>78</v>
      </c>
      <c r="F1361">
        <v>10.1</v>
      </c>
      <c r="G1361">
        <v>73.7</v>
      </c>
      <c r="H1361" t="s">
        <v>13</v>
      </c>
      <c r="I1361" t="str">
        <f t="shared" si="21"/>
        <v>Média</v>
      </c>
    </row>
    <row r="1362" spans="1:9">
      <c r="A1362" t="s">
        <v>362</v>
      </c>
      <c r="B1362">
        <v>2025</v>
      </c>
      <c r="C1362">
        <v>1</v>
      </c>
      <c r="D1362" t="s">
        <v>139</v>
      </c>
      <c r="E1362" t="s">
        <v>141</v>
      </c>
      <c r="F1362">
        <v>10.1</v>
      </c>
      <c r="G1362">
        <v>61</v>
      </c>
      <c r="H1362" t="s">
        <v>13</v>
      </c>
      <c r="I1362" t="str">
        <f t="shared" si="21"/>
        <v>Média</v>
      </c>
    </row>
    <row r="1363" spans="1:9">
      <c r="A1363" t="s">
        <v>215</v>
      </c>
      <c r="B1363">
        <v>2025</v>
      </c>
      <c r="C1363">
        <v>2</v>
      </c>
      <c r="D1363" t="s">
        <v>9</v>
      </c>
      <c r="E1363" t="s">
        <v>12</v>
      </c>
      <c r="F1363">
        <v>10.1</v>
      </c>
      <c r="G1363">
        <v>94.7</v>
      </c>
      <c r="H1363" t="s">
        <v>13</v>
      </c>
      <c r="I1363" t="str">
        <f t="shared" si="21"/>
        <v>Alta</v>
      </c>
    </row>
    <row r="1364" spans="1:9">
      <c r="A1364" t="s">
        <v>222</v>
      </c>
      <c r="B1364">
        <v>2025</v>
      </c>
      <c r="C1364">
        <v>2</v>
      </c>
      <c r="D1364" t="s">
        <v>9</v>
      </c>
      <c r="E1364" t="s">
        <v>10</v>
      </c>
      <c r="F1364">
        <v>10.1</v>
      </c>
      <c r="G1364">
        <v>73.599999999999994</v>
      </c>
      <c r="H1364" t="s">
        <v>13</v>
      </c>
      <c r="I1364" t="str">
        <f t="shared" si="21"/>
        <v>Média</v>
      </c>
    </row>
    <row r="1365" spans="1:9">
      <c r="A1365" t="s">
        <v>257</v>
      </c>
      <c r="B1365">
        <v>2025</v>
      </c>
      <c r="C1365">
        <v>2</v>
      </c>
      <c r="D1365" t="s">
        <v>9</v>
      </c>
      <c r="E1365" t="s">
        <v>12</v>
      </c>
      <c r="F1365">
        <v>10.1</v>
      </c>
      <c r="G1365">
        <v>90.4</v>
      </c>
      <c r="H1365" t="s">
        <v>13</v>
      </c>
      <c r="I1365" t="str">
        <f t="shared" si="21"/>
        <v>Alta</v>
      </c>
    </row>
    <row r="1366" spans="1:9">
      <c r="A1366" t="s">
        <v>261</v>
      </c>
      <c r="B1366">
        <v>2025</v>
      </c>
      <c r="C1366">
        <v>2</v>
      </c>
      <c r="D1366" t="s">
        <v>75</v>
      </c>
      <c r="E1366" t="s">
        <v>78</v>
      </c>
      <c r="F1366">
        <v>10.1</v>
      </c>
      <c r="G1366">
        <v>95.1</v>
      </c>
      <c r="H1366" t="s">
        <v>13</v>
      </c>
      <c r="I1366" t="str">
        <f t="shared" si="21"/>
        <v>Alta</v>
      </c>
    </row>
    <row r="1367" spans="1:9">
      <c r="A1367" t="s">
        <v>354</v>
      </c>
      <c r="B1367">
        <v>2025</v>
      </c>
      <c r="C1367">
        <v>2</v>
      </c>
      <c r="D1367" t="s">
        <v>139</v>
      </c>
      <c r="E1367" t="s">
        <v>140</v>
      </c>
      <c r="F1367">
        <v>10.1</v>
      </c>
      <c r="G1367">
        <v>95.5</v>
      </c>
      <c r="H1367" t="s">
        <v>13</v>
      </c>
      <c r="I1367" t="str">
        <f t="shared" si="21"/>
        <v>Alta</v>
      </c>
    </row>
    <row r="1368" spans="1:9">
      <c r="A1368" t="s">
        <v>412</v>
      </c>
      <c r="B1368">
        <v>2026</v>
      </c>
      <c r="C1368">
        <v>1</v>
      </c>
      <c r="D1368" t="s">
        <v>9</v>
      </c>
      <c r="E1368" t="s">
        <v>10</v>
      </c>
      <c r="F1368">
        <v>10.1</v>
      </c>
      <c r="G1368">
        <v>51.8</v>
      </c>
      <c r="H1368" t="s">
        <v>13</v>
      </c>
      <c r="I1368" t="str">
        <f t="shared" si="21"/>
        <v>Média</v>
      </c>
    </row>
    <row r="1369" spans="1:9">
      <c r="A1369" t="s">
        <v>450</v>
      </c>
      <c r="B1369">
        <v>2026</v>
      </c>
      <c r="C1369">
        <v>1</v>
      </c>
      <c r="D1369" t="s">
        <v>75</v>
      </c>
      <c r="E1369" t="s">
        <v>78</v>
      </c>
      <c r="F1369">
        <v>10.1</v>
      </c>
      <c r="G1369">
        <v>71.7</v>
      </c>
      <c r="H1369" t="s">
        <v>13</v>
      </c>
      <c r="I1369" t="str">
        <f t="shared" si="21"/>
        <v>Média</v>
      </c>
    </row>
    <row r="1370" spans="1:9">
      <c r="A1370" t="s">
        <v>508</v>
      </c>
      <c r="B1370">
        <v>2026</v>
      </c>
      <c r="C1370">
        <v>1</v>
      </c>
      <c r="D1370" t="s">
        <v>139</v>
      </c>
      <c r="E1370" t="s">
        <v>140</v>
      </c>
      <c r="F1370">
        <v>10.1</v>
      </c>
      <c r="G1370">
        <v>61.8</v>
      </c>
      <c r="H1370" t="s">
        <v>13</v>
      </c>
      <c r="I1370" t="str">
        <f t="shared" si="21"/>
        <v>Média</v>
      </c>
    </row>
    <row r="1371" spans="1:9">
      <c r="A1371" t="s">
        <v>523</v>
      </c>
      <c r="B1371">
        <v>2026</v>
      </c>
      <c r="C1371">
        <v>1</v>
      </c>
      <c r="D1371" t="s">
        <v>139</v>
      </c>
      <c r="E1371" t="s">
        <v>10</v>
      </c>
      <c r="F1371">
        <v>10.1</v>
      </c>
      <c r="G1371">
        <v>56.5</v>
      </c>
      <c r="H1371" t="s">
        <v>13</v>
      </c>
      <c r="I1371" t="str">
        <f t="shared" si="21"/>
        <v>Média</v>
      </c>
    </row>
    <row r="1372" spans="1:9">
      <c r="A1372" t="s">
        <v>551</v>
      </c>
      <c r="B1372">
        <v>2026</v>
      </c>
      <c r="C1372">
        <v>1</v>
      </c>
      <c r="D1372" t="s">
        <v>139</v>
      </c>
      <c r="E1372" t="s">
        <v>10</v>
      </c>
      <c r="F1372">
        <v>10.1</v>
      </c>
      <c r="G1372">
        <v>74.2</v>
      </c>
      <c r="H1372" t="s">
        <v>13</v>
      </c>
      <c r="I1372" t="str">
        <f t="shared" si="21"/>
        <v>Média</v>
      </c>
    </row>
    <row r="1373" spans="1:9">
      <c r="A1373" t="s">
        <v>555</v>
      </c>
      <c r="B1373">
        <v>2026</v>
      </c>
      <c r="C1373">
        <v>1</v>
      </c>
      <c r="D1373" t="s">
        <v>139</v>
      </c>
      <c r="E1373" t="s">
        <v>140</v>
      </c>
      <c r="F1373">
        <v>10.1</v>
      </c>
      <c r="G1373">
        <v>69.3</v>
      </c>
      <c r="H1373" t="s">
        <v>13</v>
      </c>
      <c r="I1373" t="str">
        <f t="shared" si="21"/>
        <v>Média</v>
      </c>
    </row>
    <row r="1374" spans="1:9">
      <c r="A1374" t="s">
        <v>413</v>
      </c>
      <c r="B1374">
        <v>2026</v>
      </c>
      <c r="C1374">
        <v>2</v>
      </c>
      <c r="D1374" t="s">
        <v>9</v>
      </c>
      <c r="E1374" t="s">
        <v>10</v>
      </c>
      <c r="F1374">
        <v>10.1</v>
      </c>
      <c r="G1374">
        <v>78.599999999999994</v>
      </c>
      <c r="H1374" t="s">
        <v>13</v>
      </c>
      <c r="I1374" t="str">
        <f t="shared" si="21"/>
        <v>Alta</v>
      </c>
    </row>
    <row r="1375" spans="1:9">
      <c r="A1375" t="s">
        <v>471</v>
      </c>
      <c r="B1375">
        <v>2026</v>
      </c>
      <c r="C1375">
        <v>2</v>
      </c>
      <c r="D1375" t="s">
        <v>75</v>
      </c>
      <c r="E1375" t="s">
        <v>76</v>
      </c>
      <c r="F1375">
        <v>10.1</v>
      </c>
      <c r="G1375">
        <v>75.8</v>
      </c>
      <c r="H1375" t="s">
        <v>13</v>
      </c>
      <c r="I1375" t="str">
        <f t="shared" si="21"/>
        <v>Alta</v>
      </c>
    </row>
    <row r="1376" spans="1:9">
      <c r="A1376" t="s">
        <v>31</v>
      </c>
      <c r="B1376">
        <v>2024</v>
      </c>
      <c r="C1376">
        <v>1</v>
      </c>
      <c r="D1376" t="s">
        <v>9</v>
      </c>
      <c r="E1376" t="s">
        <v>14</v>
      </c>
      <c r="F1376">
        <v>10.199999999999999</v>
      </c>
      <c r="G1376">
        <v>82.1</v>
      </c>
      <c r="H1376" t="s">
        <v>13</v>
      </c>
      <c r="I1376" t="str">
        <f t="shared" si="21"/>
        <v>Alta</v>
      </c>
    </row>
    <row r="1377" spans="1:9">
      <c r="A1377" t="s">
        <v>100</v>
      </c>
      <c r="B1377">
        <v>2024</v>
      </c>
      <c r="C1377">
        <v>1</v>
      </c>
      <c r="D1377" t="s">
        <v>75</v>
      </c>
      <c r="E1377" t="s">
        <v>77</v>
      </c>
      <c r="F1377">
        <v>10.199999999999999</v>
      </c>
      <c r="G1377">
        <v>93.7</v>
      </c>
      <c r="H1377" t="s">
        <v>13</v>
      </c>
      <c r="I1377" t="str">
        <f t="shared" si="21"/>
        <v>Alta</v>
      </c>
    </row>
    <row r="1378" spans="1:9">
      <c r="A1378" t="s">
        <v>112</v>
      </c>
      <c r="B1378">
        <v>2024</v>
      </c>
      <c r="C1378">
        <v>1</v>
      </c>
      <c r="D1378" t="s">
        <v>75</v>
      </c>
      <c r="E1378" t="s">
        <v>76</v>
      </c>
      <c r="F1378">
        <v>10.199999999999999</v>
      </c>
      <c r="G1378">
        <v>84.9</v>
      </c>
      <c r="H1378" t="s">
        <v>13</v>
      </c>
      <c r="I1378" t="str">
        <f t="shared" si="21"/>
        <v>Alta</v>
      </c>
    </row>
    <row r="1379" spans="1:9">
      <c r="A1379" t="s">
        <v>45</v>
      </c>
      <c r="B1379">
        <v>2024</v>
      </c>
      <c r="C1379">
        <v>2</v>
      </c>
      <c r="D1379" t="s">
        <v>9</v>
      </c>
      <c r="E1379" t="s">
        <v>10</v>
      </c>
      <c r="F1379">
        <v>10.199999999999999</v>
      </c>
      <c r="G1379">
        <v>76.900000000000006</v>
      </c>
      <c r="H1379" t="s">
        <v>13</v>
      </c>
      <c r="I1379" t="str">
        <f t="shared" si="21"/>
        <v>Alta</v>
      </c>
    </row>
    <row r="1380" spans="1:9">
      <c r="A1380" t="s">
        <v>138</v>
      </c>
      <c r="B1380">
        <v>2024</v>
      </c>
      <c r="C1380">
        <v>2</v>
      </c>
      <c r="D1380" t="s">
        <v>139</v>
      </c>
      <c r="E1380" t="s">
        <v>141</v>
      </c>
      <c r="F1380">
        <v>10.199999999999999</v>
      </c>
      <c r="G1380">
        <v>94.5</v>
      </c>
      <c r="H1380" t="s">
        <v>13</v>
      </c>
      <c r="I1380" t="str">
        <f t="shared" si="21"/>
        <v>Alta</v>
      </c>
    </row>
    <row r="1381" spans="1:9">
      <c r="A1381" t="s">
        <v>216</v>
      </c>
      <c r="B1381">
        <v>2025</v>
      </c>
      <c r="C1381">
        <v>1</v>
      </c>
      <c r="D1381" t="s">
        <v>9</v>
      </c>
      <c r="E1381" t="s">
        <v>14</v>
      </c>
      <c r="F1381">
        <v>10.199999999999999</v>
      </c>
      <c r="G1381">
        <v>80.099999999999994</v>
      </c>
      <c r="H1381" t="s">
        <v>13</v>
      </c>
      <c r="I1381" t="str">
        <f t="shared" si="21"/>
        <v>Alta</v>
      </c>
    </row>
    <row r="1382" spans="1:9">
      <c r="A1382" t="s">
        <v>226</v>
      </c>
      <c r="B1382">
        <v>2025</v>
      </c>
      <c r="C1382">
        <v>1</v>
      </c>
      <c r="D1382" t="s">
        <v>9</v>
      </c>
      <c r="E1382" t="s">
        <v>12</v>
      </c>
      <c r="F1382">
        <v>10.199999999999999</v>
      </c>
      <c r="G1382">
        <v>79.3</v>
      </c>
      <c r="H1382" t="s">
        <v>13</v>
      </c>
      <c r="I1382" t="str">
        <f t="shared" si="21"/>
        <v>Alta</v>
      </c>
    </row>
    <row r="1383" spans="1:9">
      <c r="A1383" t="s">
        <v>227</v>
      </c>
      <c r="B1383">
        <v>2025</v>
      </c>
      <c r="C1383">
        <v>1</v>
      </c>
      <c r="D1383" t="s">
        <v>9</v>
      </c>
      <c r="E1383" t="s">
        <v>14</v>
      </c>
      <c r="F1383">
        <v>10.199999999999999</v>
      </c>
      <c r="G1383">
        <v>54</v>
      </c>
      <c r="H1383" t="s">
        <v>13</v>
      </c>
      <c r="I1383" t="str">
        <f t="shared" si="21"/>
        <v>Média</v>
      </c>
    </row>
    <row r="1384" spans="1:9">
      <c r="A1384" t="s">
        <v>298</v>
      </c>
      <c r="B1384">
        <v>2025</v>
      </c>
      <c r="C1384">
        <v>1</v>
      </c>
      <c r="D1384" t="s">
        <v>75</v>
      </c>
      <c r="E1384" t="s">
        <v>77</v>
      </c>
      <c r="F1384">
        <v>10.199999999999999</v>
      </c>
      <c r="G1384">
        <v>81.3</v>
      </c>
      <c r="H1384" t="s">
        <v>13</v>
      </c>
      <c r="I1384" t="str">
        <f t="shared" si="21"/>
        <v>Alta</v>
      </c>
    </row>
    <row r="1385" spans="1:9">
      <c r="A1385" t="s">
        <v>299</v>
      </c>
      <c r="B1385">
        <v>2025</v>
      </c>
      <c r="C1385">
        <v>1</v>
      </c>
      <c r="D1385" t="s">
        <v>75</v>
      </c>
      <c r="E1385" t="s">
        <v>78</v>
      </c>
      <c r="F1385">
        <v>10.199999999999999</v>
      </c>
      <c r="G1385">
        <v>87.7</v>
      </c>
      <c r="H1385" t="s">
        <v>13</v>
      </c>
      <c r="I1385" t="str">
        <f t="shared" si="21"/>
        <v>Alta</v>
      </c>
    </row>
    <row r="1386" spans="1:9">
      <c r="A1386" t="s">
        <v>324</v>
      </c>
      <c r="B1386">
        <v>2025</v>
      </c>
      <c r="C1386">
        <v>1</v>
      </c>
      <c r="D1386" t="s">
        <v>139</v>
      </c>
      <c r="E1386" t="s">
        <v>10</v>
      </c>
      <c r="F1386">
        <v>10.199999999999999</v>
      </c>
      <c r="G1386">
        <v>48.8</v>
      </c>
      <c r="H1386" t="s">
        <v>13</v>
      </c>
      <c r="I1386" t="str">
        <f t="shared" si="21"/>
        <v>Baixa</v>
      </c>
    </row>
    <row r="1387" spans="1:9">
      <c r="A1387" t="s">
        <v>358</v>
      </c>
      <c r="B1387">
        <v>2025</v>
      </c>
      <c r="C1387">
        <v>1</v>
      </c>
      <c r="D1387" t="s">
        <v>139</v>
      </c>
      <c r="E1387" t="s">
        <v>141</v>
      </c>
      <c r="F1387">
        <v>10.199999999999999</v>
      </c>
      <c r="G1387">
        <v>72.3</v>
      </c>
      <c r="H1387" t="s">
        <v>13</v>
      </c>
      <c r="I1387" t="str">
        <f t="shared" si="21"/>
        <v>Média</v>
      </c>
    </row>
    <row r="1388" spans="1:9">
      <c r="A1388" t="s">
        <v>214</v>
      </c>
      <c r="B1388">
        <v>2025</v>
      </c>
      <c r="C1388">
        <v>2</v>
      </c>
      <c r="D1388" t="s">
        <v>9</v>
      </c>
      <c r="E1388" t="s">
        <v>14</v>
      </c>
      <c r="F1388">
        <v>10.199999999999999</v>
      </c>
      <c r="G1388">
        <v>73.599999999999994</v>
      </c>
      <c r="H1388" t="s">
        <v>13</v>
      </c>
      <c r="I1388" t="str">
        <f t="shared" si="21"/>
        <v>Média</v>
      </c>
    </row>
    <row r="1389" spans="1:9">
      <c r="A1389" t="s">
        <v>265</v>
      </c>
      <c r="B1389">
        <v>2025</v>
      </c>
      <c r="C1389">
        <v>2</v>
      </c>
      <c r="D1389" t="s">
        <v>75</v>
      </c>
      <c r="E1389" t="s">
        <v>76</v>
      </c>
      <c r="F1389">
        <v>10.199999999999999</v>
      </c>
      <c r="G1389">
        <v>98.1</v>
      </c>
      <c r="H1389" t="s">
        <v>13</v>
      </c>
      <c r="I1389" t="str">
        <f t="shared" si="21"/>
        <v>Alta</v>
      </c>
    </row>
    <row r="1390" spans="1:9">
      <c r="A1390" t="s">
        <v>322</v>
      </c>
      <c r="B1390">
        <v>2025</v>
      </c>
      <c r="C1390">
        <v>2</v>
      </c>
      <c r="D1390" t="s">
        <v>139</v>
      </c>
      <c r="E1390" t="s">
        <v>141</v>
      </c>
      <c r="F1390">
        <v>10.199999999999999</v>
      </c>
      <c r="G1390">
        <v>64</v>
      </c>
      <c r="H1390" t="s">
        <v>13</v>
      </c>
      <c r="I1390" t="str">
        <f t="shared" si="21"/>
        <v>Média</v>
      </c>
    </row>
    <row r="1391" spans="1:9">
      <c r="A1391" t="s">
        <v>334</v>
      </c>
      <c r="B1391">
        <v>2025</v>
      </c>
      <c r="C1391">
        <v>2</v>
      </c>
      <c r="D1391" t="s">
        <v>139</v>
      </c>
      <c r="E1391" t="s">
        <v>140</v>
      </c>
      <c r="F1391">
        <v>10.199999999999999</v>
      </c>
      <c r="G1391">
        <v>49.6</v>
      </c>
      <c r="H1391" t="s">
        <v>13</v>
      </c>
      <c r="I1391" t="str">
        <f t="shared" si="21"/>
        <v>Baixa</v>
      </c>
    </row>
    <row r="1392" spans="1:9">
      <c r="A1392" t="s">
        <v>355</v>
      </c>
      <c r="B1392">
        <v>2025</v>
      </c>
      <c r="C1392">
        <v>2</v>
      </c>
      <c r="D1392" t="s">
        <v>139</v>
      </c>
      <c r="E1392" t="s">
        <v>10</v>
      </c>
      <c r="F1392">
        <v>10.199999999999999</v>
      </c>
      <c r="G1392">
        <v>63.3</v>
      </c>
      <c r="H1392" t="s">
        <v>13</v>
      </c>
      <c r="I1392" t="str">
        <f t="shared" si="21"/>
        <v>Média</v>
      </c>
    </row>
    <row r="1393" spans="1:9">
      <c r="A1393" t="s">
        <v>372</v>
      </c>
      <c r="B1393">
        <v>2025</v>
      </c>
      <c r="C1393">
        <v>2</v>
      </c>
      <c r="D1393" t="s">
        <v>139</v>
      </c>
      <c r="E1393" t="s">
        <v>141</v>
      </c>
      <c r="F1393">
        <v>10.199999999999999</v>
      </c>
      <c r="G1393">
        <v>54.6</v>
      </c>
      <c r="H1393" t="s">
        <v>13</v>
      </c>
      <c r="I1393" t="str">
        <f t="shared" si="21"/>
        <v>Média</v>
      </c>
    </row>
    <row r="1394" spans="1:9">
      <c r="A1394" t="s">
        <v>448</v>
      </c>
      <c r="B1394">
        <v>2026</v>
      </c>
      <c r="C1394">
        <v>1</v>
      </c>
      <c r="D1394" t="s">
        <v>75</v>
      </c>
      <c r="E1394" t="s">
        <v>76</v>
      </c>
      <c r="F1394">
        <v>10.199999999999999</v>
      </c>
      <c r="G1394">
        <v>52</v>
      </c>
      <c r="H1394" t="s">
        <v>13</v>
      </c>
      <c r="I1394" t="str">
        <f t="shared" si="21"/>
        <v>Média</v>
      </c>
    </row>
    <row r="1395" spans="1:9">
      <c r="A1395" t="s">
        <v>494</v>
      </c>
      <c r="B1395">
        <v>2026</v>
      </c>
      <c r="C1395">
        <v>1</v>
      </c>
      <c r="D1395" t="s">
        <v>75</v>
      </c>
      <c r="E1395" t="s">
        <v>76</v>
      </c>
      <c r="F1395">
        <v>10.199999999999999</v>
      </c>
      <c r="G1395">
        <v>62</v>
      </c>
      <c r="H1395" t="s">
        <v>13</v>
      </c>
      <c r="I1395" t="str">
        <f t="shared" si="21"/>
        <v>Média</v>
      </c>
    </row>
    <row r="1396" spans="1:9">
      <c r="A1396" t="s">
        <v>498</v>
      </c>
      <c r="B1396">
        <v>2026</v>
      </c>
      <c r="C1396">
        <v>1</v>
      </c>
      <c r="D1396" t="s">
        <v>75</v>
      </c>
      <c r="E1396" t="s">
        <v>77</v>
      </c>
      <c r="F1396">
        <v>10.199999999999999</v>
      </c>
      <c r="G1396">
        <v>51.1</v>
      </c>
      <c r="H1396" t="s">
        <v>13</v>
      </c>
      <c r="I1396" t="str">
        <f t="shared" si="21"/>
        <v>Média</v>
      </c>
    </row>
    <row r="1397" spans="1:9">
      <c r="A1397" t="s">
        <v>510</v>
      </c>
      <c r="B1397">
        <v>2026</v>
      </c>
      <c r="C1397">
        <v>1</v>
      </c>
      <c r="D1397" t="s">
        <v>139</v>
      </c>
      <c r="E1397" t="s">
        <v>140</v>
      </c>
      <c r="F1397">
        <v>10.199999999999999</v>
      </c>
      <c r="G1397">
        <v>86.5</v>
      </c>
      <c r="H1397" t="s">
        <v>13</v>
      </c>
      <c r="I1397" t="str">
        <f t="shared" si="21"/>
        <v>Alta</v>
      </c>
    </row>
    <row r="1398" spans="1:9">
      <c r="A1398" t="s">
        <v>520</v>
      </c>
      <c r="B1398">
        <v>2026</v>
      </c>
      <c r="C1398">
        <v>1</v>
      </c>
      <c r="D1398" t="s">
        <v>139</v>
      </c>
      <c r="E1398" t="s">
        <v>141</v>
      </c>
      <c r="F1398">
        <v>10.199999999999999</v>
      </c>
      <c r="G1398">
        <v>70</v>
      </c>
      <c r="H1398" t="s">
        <v>13</v>
      </c>
      <c r="I1398" t="str">
        <f t="shared" si="21"/>
        <v>Média</v>
      </c>
    </row>
    <row r="1399" spans="1:9">
      <c r="A1399" t="s">
        <v>461</v>
      </c>
      <c r="B1399">
        <v>2026</v>
      </c>
      <c r="C1399">
        <v>2</v>
      </c>
      <c r="D1399" t="s">
        <v>75</v>
      </c>
      <c r="E1399" t="s">
        <v>77</v>
      </c>
      <c r="F1399">
        <v>10.199999999999999</v>
      </c>
      <c r="G1399">
        <v>72.7</v>
      </c>
      <c r="H1399" t="s">
        <v>13</v>
      </c>
      <c r="I1399" t="str">
        <f t="shared" si="21"/>
        <v>Média</v>
      </c>
    </row>
    <row r="1400" spans="1:9">
      <c r="A1400" t="s">
        <v>482</v>
      </c>
      <c r="B1400">
        <v>2026</v>
      </c>
      <c r="C1400">
        <v>2</v>
      </c>
      <c r="D1400" t="s">
        <v>75</v>
      </c>
      <c r="E1400" t="s">
        <v>76</v>
      </c>
      <c r="F1400">
        <v>10.199999999999999</v>
      </c>
      <c r="G1400">
        <v>82.2</v>
      </c>
      <c r="H1400" t="s">
        <v>13</v>
      </c>
      <c r="I1400" t="str">
        <f t="shared" si="21"/>
        <v>Alta</v>
      </c>
    </row>
    <row r="1401" spans="1:9">
      <c r="A1401" t="s">
        <v>537</v>
      </c>
      <c r="B1401">
        <v>2026</v>
      </c>
      <c r="C1401">
        <v>2</v>
      </c>
      <c r="D1401" t="s">
        <v>139</v>
      </c>
      <c r="E1401" t="s">
        <v>140</v>
      </c>
      <c r="F1401">
        <v>10.199999999999999</v>
      </c>
      <c r="G1401">
        <v>83.7</v>
      </c>
      <c r="H1401" t="s">
        <v>13</v>
      </c>
      <c r="I1401" t="str">
        <f t="shared" si="21"/>
        <v>Alta</v>
      </c>
    </row>
    <row r="1402" spans="1:9">
      <c r="A1402" t="s">
        <v>62</v>
      </c>
      <c r="B1402">
        <v>2024</v>
      </c>
      <c r="C1402">
        <v>1</v>
      </c>
      <c r="D1402" t="s">
        <v>9</v>
      </c>
      <c r="E1402" t="s">
        <v>14</v>
      </c>
      <c r="F1402">
        <v>10.3</v>
      </c>
      <c r="G1402">
        <v>57.4</v>
      </c>
      <c r="H1402" t="s">
        <v>13</v>
      </c>
      <c r="I1402" t="str">
        <f t="shared" si="21"/>
        <v>Média</v>
      </c>
    </row>
    <row r="1403" spans="1:9">
      <c r="A1403" t="s">
        <v>83</v>
      </c>
      <c r="B1403">
        <v>2024</v>
      </c>
      <c r="C1403">
        <v>1</v>
      </c>
      <c r="D1403" t="s">
        <v>75</v>
      </c>
      <c r="E1403" t="s">
        <v>77</v>
      </c>
      <c r="F1403">
        <v>10.3</v>
      </c>
      <c r="G1403">
        <v>70.5</v>
      </c>
      <c r="H1403" t="s">
        <v>13</v>
      </c>
      <c r="I1403" t="str">
        <f t="shared" si="21"/>
        <v>Média</v>
      </c>
    </row>
    <row r="1404" spans="1:9">
      <c r="A1404" t="s">
        <v>119</v>
      </c>
      <c r="B1404">
        <v>2024</v>
      </c>
      <c r="C1404">
        <v>1</v>
      </c>
      <c r="D1404" t="s">
        <v>75</v>
      </c>
      <c r="E1404" t="s">
        <v>77</v>
      </c>
      <c r="F1404">
        <v>10.3</v>
      </c>
      <c r="G1404">
        <v>96.3</v>
      </c>
      <c r="H1404" t="s">
        <v>13</v>
      </c>
      <c r="I1404" t="str">
        <f t="shared" si="21"/>
        <v>Alta</v>
      </c>
    </row>
    <row r="1405" spans="1:9">
      <c r="A1405" t="s">
        <v>161</v>
      </c>
      <c r="B1405">
        <v>2024</v>
      </c>
      <c r="C1405">
        <v>1</v>
      </c>
      <c r="D1405" t="s">
        <v>139</v>
      </c>
      <c r="E1405" t="s">
        <v>140</v>
      </c>
      <c r="F1405">
        <v>10.3</v>
      </c>
      <c r="G1405">
        <v>59.3</v>
      </c>
      <c r="H1405" t="s">
        <v>13</v>
      </c>
      <c r="I1405" t="str">
        <f t="shared" si="21"/>
        <v>Média</v>
      </c>
    </row>
    <row r="1406" spans="1:9">
      <c r="A1406" t="s">
        <v>162</v>
      </c>
      <c r="B1406">
        <v>2024</v>
      </c>
      <c r="C1406">
        <v>1</v>
      </c>
      <c r="D1406" t="s">
        <v>139</v>
      </c>
      <c r="E1406" t="s">
        <v>10</v>
      </c>
      <c r="F1406">
        <v>10.3</v>
      </c>
      <c r="G1406">
        <v>45.6</v>
      </c>
      <c r="H1406" t="s">
        <v>13</v>
      </c>
      <c r="I1406" t="str">
        <f t="shared" si="21"/>
        <v>Baixa</v>
      </c>
    </row>
    <row r="1407" spans="1:9">
      <c r="A1407" t="s">
        <v>183</v>
      </c>
      <c r="B1407">
        <v>2024</v>
      </c>
      <c r="C1407">
        <v>1</v>
      </c>
      <c r="D1407" t="s">
        <v>139</v>
      </c>
      <c r="E1407" t="s">
        <v>140</v>
      </c>
      <c r="F1407">
        <v>10.3</v>
      </c>
      <c r="G1407">
        <v>56.1</v>
      </c>
      <c r="H1407" t="s">
        <v>13</v>
      </c>
      <c r="I1407" t="str">
        <f t="shared" si="21"/>
        <v>Média</v>
      </c>
    </row>
    <row r="1408" spans="1:9">
      <c r="A1408" t="s">
        <v>42</v>
      </c>
      <c r="B1408">
        <v>2024</v>
      </c>
      <c r="C1408">
        <v>2</v>
      </c>
      <c r="D1408" t="s">
        <v>9</v>
      </c>
      <c r="E1408" t="s">
        <v>14</v>
      </c>
      <c r="F1408">
        <v>10.3</v>
      </c>
      <c r="G1408">
        <v>68.5</v>
      </c>
      <c r="H1408" t="s">
        <v>13</v>
      </c>
      <c r="I1408" t="str">
        <f t="shared" si="21"/>
        <v>Média</v>
      </c>
    </row>
    <row r="1409" spans="1:9">
      <c r="A1409" t="s">
        <v>52</v>
      </c>
      <c r="B1409">
        <v>2024</v>
      </c>
      <c r="C1409">
        <v>2</v>
      </c>
      <c r="D1409" t="s">
        <v>9</v>
      </c>
      <c r="E1409" t="s">
        <v>12</v>
      </c>
      <c r="F1409">
        <v>10.3</v>
      </c>
      <c r="G1409">
        <v>88.6</v>
      </c>
      <c r="H1409" t="s">
        <v>13</v>
      </c>
      <c r="I1409" t="str">
        <f t="shared" si="21"/>
        <v>Alta</v>
      </c>
    </row>
    <row r="1410" spans="1:9">
      <c r="A1410" t="s">
        <v>74</v>
      </c>
      <c r="B1410">
        <v>2024</v>
      </c>
      <c r="C1410">
        <v>2</v>
      </c>
      <c r="D1410" t="s">
        <v>75</v>
      </c>
      <c r="E1410" t="s">
        <v>78</v>
      </c>
      <c r="F1410">
        <v>10.3</v>
      </c>
      <c r="G1410">
        <v>79.900000000000006</v>
      </c>
      <c r="H1410" t="s">
        <v>13</v>
      </c>
      <c r="I1410" t="str">
        <f t="shared" ref="I1410:I1473" si="22">IF(G1410&lt;50,"Baixa",IF(G1410&lt;75,"Média","Alta"))</f>
        <v>Alta</v>
      </c>
    </row>
    <row r="1411" spans="1:9">
      <c r="A1411" t="s">
        <v>85</v>
      </c>
      <c r="B1411">
        <v>2024</v>
      </c>
      <c r="C1411">
        <v>2</v>
      </c>
      <c r="D1411" t="s">
        <v>75</v>
      </c>
      <c r="E1411" t="s">
        <v>78</v>
      </c>
      <c r="F1411">
        <v>10.3</v>
      </c>
      <c r="G1411">
        <v>81.400000000000006</v>
      </c>
      <c r="H1411" t="s">
        <v>13</v>
      </c>
      <c r="I1411" t="str">
        <f t="shared" si="22"/>
        <v>Alta</v>
      </c>
    </row>
    <row r="1412" spans="1:9">
      <c r="A1412" t="s">
        <v>170</v>
      </c>
      <c r="B1412">
        <v>2024</v>
      </c>
      <c r="C1412">
        <v>2</v>
      </c>
      <c r="D1412" t="s">
        <v>139</v>
      </c>
      <c r="E1412" t="s">
        <v>140</v>
      </c>
      <c r="F1412">
        <v>10.3</v>
      </c>
      <c r="G1412">
        <v>82.4</v>
      </c>
      <c r="H1412" t="s">
        <v>13</v>
      </c>
      <c r="I1412" t="str">
        <f t="shared" si="22"/>
        <v>Alta</v>
      </c>
    </row>
    <row r="1413" spans="1:9">
      <c r="A1413" t="s">
        <v>222</v>
      </c>
      <c r="B1413">
        <v>2025</v>
      </c>
      <c r="C1413">
        <v>1</v>
      </c>
      <c r="D1413" t="s">
        <v>9</v>
      </c>
      <c r="E1413" t="s">
        <v>12</v>
      </c>
      <c r="F1413">
        <v>10.3</v>
      </c>
      <c r="G1413">
        <v>60.6</v>
      </c>
      <c r="H1413" t="s">
        <v>13</v>
      </c>
      <c r="I1413" t="str">
        <f t="shared" si="22"/>
        <v>Média</v>
      </c>
    </row>
    <row r="1414" spans="1:9">
      <c r="A1414" t="s">
        <v>301</v>
      </c>
      <c r="B1414">
        <v>2025</v>
      </c>
      <c r="C1414">
        <v>1</v>
      </c>
      <c r="D1414" t="s">
        <v>75</v>
      </c>
      <c r="E1414" t="s">
        <v>78</v>
      </c>
      <c r="F1414">
        <v>10.3</v>
      </c>
      <c r="G1414">
        <v>86.3</v>
      </c>
      <c r="H1414" t="s">
        <v>13</v>
      </c>
      <c r="I1414" t="str">
        <f t="shared" si="22"/>
        <v>Alta</v>
      </c>
    </row>
    <row r="1415" spans="1:9">
      <c r="A1415" t="s">
        <v>306</v>
      </c>
      <c r="B1415">
        <v>2025</v>
      </c>
      <c r="C1415">
        <v>1</v>
      </c>
      <c r="D1415" t="s">
        <v>75</v>
      </c>
      <c r="E1415" t="s">
        <v>76</v>
      </c>
      <c r="F1415">
        <v>10.3</v>
      </c>
      <c r="G1415">
        <v>50</v>
      </c>
      <c r="H1415" t="s">
        <v>13</v>
      </c>
      <c r="I1415" t="str">
        <f t="shared" si="22"/>
        <v>Média</v>
      </c>
    </row>
    <row r="1416" spans="1:9">
      <c r="A1416" t="s">
        <v>315</v>
      </c>
      <c r="B1416">
        <v>2025</v>
      </c>
      <c r="C1416">
        <v>1</v>
      </c>
      <c r="D1416" t="s">
        <v>75</v>
      </c>
      <c r="E1416" t="s">
        <v>78</v>
      </c>
      <c r="F1416">
        <v>10.3</v>
      </c>
      <c r="G1416">
        <v>62.6</v>
      </c>
      <c r="H1416" t="s">
        <v>13</v>
      </c>
      <c r="I1416" t="str">
        <f t="shared" si="22"/>
        <v>Média</v>
      </c>
    </row>
    <row r="1417" spans="1:9">
      <c r="A1417" t="s">
        <v>318</v>
      </c>
      <c r="B1417">
        <v>2025</v>
      </c>
      <c r="C1417">
        <v>1</v>
      </c>
      <c r="D1417" t="s">
        <v>75</v>
      </c>
      <c r="E1417" t="s">
        <v>77</v>
      </c>
      <c r="F1417">
        <v>10.3</v>
      </c>
      <c r="G1417">
        <v>75.8</v>
      </c>
      <c r="H1417" t="s">
        <v>13</v>
      </c>
      <c r="I1417" t="str">
        <f t="shared" si="22"/>
        <v>Alta</v>
      </c>
    </row>
    <row r="1418" spans="1:9">
      <c r="A1418" t="s">
        <v>319</v>
      </c>
      <c r="B1418">
        <v>2025</v>
      </c>
      <c r="C1418">
        <v>1</v>
      </c>
      <c r="D1418" t="s">
        <v>75</v>
      </c>
      <c r="E1418" t="s">
        <v>77</v>
      </c>
      <c r="F1418">
        <v>10.3</v>
      </c>
      <c r="G1418">
        <v>72.900000000000006</v>
      </c>
      <c r="H1418" t="s">
        <v>13</v>
      </c>
      <c r="I1418" t="str">
        <f t="shared" si="22"/>
        <v>Média</v>
      </c>
    </row>
    <row r="1419" spans="1:9">
      <c r="A1419" t="s">
        <v>333</v>
      </c>
      <c r="B1419">
        <v>2025</v>
      </c>
      <c r="C1419">
        <v>1</v>
      </c>
      <c r="D1419" t="s">
        <v>139</v>
      </c>
      <c r="E1419" t="s">
        <v>140</v>
      </c>
      <c r="F1419">
        <v>10.3</v>
      </c>
      <c r="G1419">
        <v>72.7</v>
      </c>
      <c r="H1419" t="s">
        <v>13</v>
      </c>
      <c r="I1419" t="str">
        <f t="shared" si="22"/>
        <v>Média</v>
      </c>
    </row>
    <row r="1420" spans="1:9">
      <c r="A1420" t="s">
        <v>341</v>
      </c>
      <c r="B1420">
        <v>2025</v>
      </c>
      <c r="C1420">
        <v>1</v>
      </c>
      <c r="D1420" t="s">
        <v>139</v>
      </c>
      <c r="E1420" t="s">
        <v>141</v>
      </c>
      <c r="F1420">
        <v>10.3</v>
      </c>
      <c r="G1420">
        <v>68.7</v>
      </c>
      <c r="H1420" t="s">
        <v>13</v>
      </c>
      <c r="I1420" t="str">
        <f t="shared" si="22"/>
        <v>Média</v>
      </c>
    </row>
    <row r="1421" spans="1:9">
      <c r="A1421" t="s">
        <v>352</v>
      </c>
      <c r="B1421">
        <v>2025</v>
      </c>
      <c r="C1421">
        <v>1</v>
      </c>
      <c r="D1421" t="s">
        <v>139</v>
      </c>
      <c r="E1421" t="s">
        <v>141</v>
      </c>
      <c r="F1421">
        <v>10.3</v>
      </c>
      <c r="G1421">
        <v>65.099999999999994</v>
      </c>
      <c r="H1421" t="s">
        <v>13</v>
      </c>
      <c r="I1421" t="str">
        <f t="shared" si="22"/>
        <v>Média</v>
      </c>
    </row>
    <row r="1422" spans="1:9">
      <c r="A1422" t="s">
        <v>368</v>
      </c>
      <c r="B1422">
        <v>2025</v>
      </c>
      <c r="C1422">
        <v>1</v>
      </c>
      <c r="D1422" t="s">
        <v>139</v>
      </c>
      <c r="E1422" t="s">
        <v>141</v>
      </c>
      <c r="F1422">
        <v>10.3</v>
      </c>
      <c r="G1422">
        <v>88.5</v>
      </c>
      <c r="H1422" t="s">
        <v>13</v>
      </c>
      <c r="I1422" t="str">
        <f t="shared" si="22"/>
        <v>Alta</v>
      </c>
    </row>
    <row r="1423" spans="1:9">
      <c r="A1423" t="s">
        <v>377</v>
      </c>
      <c r="B1423">
        <v>2025</v>
      </c>
      <c r="C1423">
        <v>1</v>
      </c>
      <c r="D1423" t="s">
        <v>139</v>
      </c>
      <c r="E1423" t="s">
        <v>10</v>
      </c>
      <c r="F1423">
        <v>10.3</v>
      </c>
      <c r="G1423">
        <v>51.2</v>
      </c>
      <c r="H1423" t="s">
        <v>13</v>
      </c>
      <c r="I1423" t="str">
        <f t="shared" si="22"/>
        <v>Média</v>
      </c>
    </row>
    <row r="1424" spans="1:9">
      <c r="A1424" t="s">
        <v>228</v>
      </c>
      <c r="B1424">
        <v>2025</v>
      </c>
      <c r="C1424">
        <v>2</v>
      </c>
      <c r="D1424" t="s">
        <v>9</v>
      </c>
      <c r="E1424" t="s">
        <v>12</v>
      </c>
      <c r="F1424">
        <v>10.3</v>
      </c>
      <c r="G1424">
        <v>93</v>
      </c>
      <c r="H1424" t="s">
        <v>13</v>
      </c>
      <c r="I1424" t="str">
        <f t="shared" si="22"/>
        <v>Alta</v>
      </c>
    </row>
    <row r="1425" spans="1:9">
      <c r="A1425" t="s">
        <v>264</v>
      </c>
      <c r="B1425">
        <v>2025</v>
      </c>
      <c r="C1425">
        <v>2</v>
      </c>
      <c r="D1425" t="s">
        <v>75</v>
      </c>
      <c r="E1425" t="s">
        <v>77</v>
      </c>
      <c r="F1425">
        <v>10.3</v>
      </c>
      <c r="G1425">
        <v>58.1</v>
      </c>
      <c r="H1425" t="s">
        <v>13</v>
      </c>
      <c r="I1425" t="str">
        <f t="shared" si="22"/>
        <v>Média</v>
      </c>
    </row>
    <row r="1426" spans="1:9">
      <c r="A1426" t="s">
        <v>265</v>
      </c>
      <c r="B1426">
        <v>2025</v>
      </c>
      <c r="C1426">
        <v>2</v>
      </c>
      <c r="D1426" t="s">
        <v>75</v>
      </c>
      <c r="E1426" t="s">
        <v>78</v>
      </c>
      <c r="F1426">
        <v>10.3</v>
      </c>
      <c r="G1426">
        <v>65.2</v>
      </c>
      <c r="H1426" t="s">
        <v>13</v>
      </c>
      <c r="I1426" t="str">
        <f t="shared" si="22"/>
        <v>Média</v>
      </c>
    </row>
    <row r="1427" spans="1:9">
      <c r="A1427" t="s">
        <v>292</v>
      </c>
      <c r="B1427">
        <v>2025</v>
      </c>
      <c r="C1427">
        <v>2</v>
      </c>
      <c r="D1427" t="s">
        <v>75</v>
      </c>
      <c r="E1427" t="s">
        <v>78</v>
      </c>
      <c r="F1427">
        <v>10.3</v>
      </c>
      <c r="G1427">
        <v>70</v>
      </c>
      <c r="H1427" t="s">
        <v>13</v>
      </c>
      <c r="I1427" t="str">
        <f t="shared" si="22"/>
        <v>Média</v>
      </c>
    </row>
    <row r="1428" spans="1:9">
      <c r="A1428" t="s">
        <v>294</v>
      </c>
      <c r="B1428">
        <v>2025</v>
      </c>
      <c r="C1428">
        <v>2</v>
      </c>
      <c r="D1428" t="s">
        <v>75</v>
      </c>
      <c r="E1428" t="s">
        <v>77</v>
      </c>
      <c r="F1428">
        <v>10.3</v>
      </c>
      <c r="G1428">
        <v>99</v>
      </c>
      <c r="H1428" t="s">
        <v>13</v>
      </c>
      <c r="I1428" t="str">
        <f t="shared" si="22"/>
        <v>Alta</v>
      </c>
    </row>
    <row r="1429" spans="1:9">
      <c r="A1429" t="s">
        <v>315</v>
      </c>
      <c r="B1429">
        <v>2025</v>
      </c>
      <c r="C1429">
        <v>2</v>
      </c>
      <c r="D1429" t="s">
        <v>75</v>
      </c>
      <c r="E1429" t="s">
        <v>78</v>
      </c>
      <c r="F1429">
        <v>10.3</v>
      </c>
      <c r="G1429">
        <v>78</v>
      </c>
      <c r="H1429" t="s">
        <v>13</v>
      </c>
      <c r="I1429" t="str">
        <f t="shared" si="22"/>
        <v>Alta</v>
      </c>
    </row>
    <row r="1430" spans="1:9">
      <c r="A1430" t="s">
        <v>344</v>
      </c>
      <c r="B1430">
        <v>2025</v>
      </c>
      <c r="C1430">
        <v>2</v>
      </c>
      <c r="D1430" t="s">
        <v>139</v>
      </c>
      <c r="E1430" t="s">
        <v>141</v>
      </c>
      <c r="F1430">
        <v>10.3</v>
      </c>
      <c r="G1430">
        <v>49.2</v>
      </c>
      <c r="H1430" t="s">
        <v>13</v>
      </c>
      <c r="I1430" t="str">
        <f t="shared" si="22"/>
        <v>Baixa</v>
      </c>
    </row>
    <row r="1431" spans="1:9">
      <c r="A1431" t="s">
        <v>356</v>
      </c>
      <c r="B1431">
        <v>2025</v>
      </c>
      <c r="C1431">
        <v>2</v>
      </c>
      <c r="D1431" t="s">
        <v>139</v>
      </c>
      <c r="E1431" t="s">
        <v>141</v>
      </c>
      <c r="F1431">
        <v>10.3</v>
      </c>
      <c r="G1431">
        <v>87.5</v>
      </c>
      <c r="H1431" t="s">
        <v>13</v>
      </c>
      <c r="I1431" t="str">
        <f t="shared" si="22"/>
        <v>Alta</v>
      </c>
    </row>
    <row r="1432" spans="1:9">
      <c r="A1432" t="s">
        <v>363</v>
      </c>
      <c r="B1432">
        <v>2025</v>
      </c>
      <c r="C1432">
        <v>2</v>
      </c>
      <c r="D1432" t="s">
        <v>139</v>
      </c>
      <c r="E1432" t="s">
        <v>10</v>
      </c>
      <c r="F1432">
        <v>10.3</v>
      </c>
      <c r="G1432">
        <v>85</v>
      </c>
      <c r="H1432" t="s">
        <v>13</v>
      </c>
      <c r="I1432" t="str">
        <f t="shared" si="22"/>
        <v>Alta</v>
      </c>
    </row>
    <row r="1433" spans="1:9">
      <c r="A1433" t="s">
        <v>380</v>
      </c>
      <c r="B1433">
        <v>2025</v>
      </c>
      <c r="C1433">
        <v>2</v>
      </c>
      <c r="D1433" t="s">
        <v>139</v>
      </c>
      <c r="E1433" t="s">
        <v>140</v>
      </c>
      <c r="F1433">
        <v>10.3</v>
      </c>
      <c r="G1433">
        <v>75</v>
      </c>
      <c r="H1433" t="s">
        <v>13</v>
      </c>
      <c r="I1433" t="str">
        <f t="shared" si="22"/>
        <v>Alta</v>
      </c>
    </row>
    <row r="1434" spans="1:9">
      <c r="A1434" t="s">
        <v>399</v>
      </c>
      <c r="B1434">
        <v>2026</v>
      </c>
      <c r="C1434">
        <v>1</v>
      </c>
      <c r="D1434" t="s">
        <v>9</v>
      </c>
      <c r="E1434" t="s">
        <v>14</v>
      </c>
      <c r="F1434">
        <v>10.3</v>
      </c>
      <c r="G1434">
        <v>49</v>
      </c>
      <c r="H1434" t="s">
        <v>13</v>
      </c>
      <c r="I1434" t="str">
        <f t="shared" si="22"/>
        <v>Baixa</v>
      </c>
    </row>
    <row r="1435" spans="1:9">
      <c r="A1435" t="s">
        <v>400</v>
      </c>
      <c r="B1435">
        <v>2026</v>
      </c>
      <c r="C1435">
        <v>1</v>
      </c>
      <c r="D1435" t="s">
        <v>9</v>
      </c>
      <c r="E1435" t="s">
        <v>10</v>
      </c>
      <c r="F1435">
        <v>10.3</v>
      </c>
      <c r="G1435">
        <v>62.8</v>
      </c>
      <c r="H1435" t="s">
        <v>13</v>
      </c>
      <c r="I1435" t="str">
        <f t="shared" si="22"/>
        <v>Média</v>
      </c>
    </row>
    <row r="1436" spans="1:9">
      <c r="A1436" t="s">
        <v>499</v>
      </c>
      <c r="B1436">
        <v>2026</v>
      </c>
      <c r="C1436">
        <v>1</v>
      </c>
      <c r="D1436" t="s">
        <v>75</v>
      </c>
      <c r="E1436" t="s">
        <v>76</v>
      </c>
      <c r="F1436">
        <v>10.3</v>
      </c>
      <c r="G1436">
        <v>63</v>
      </c>
      <c r="H1436" t="s">
        <v>13</v>
      </c>
      <c r="I1436" t="str">
        <f t="shared" si="22"/>
        <v>Média</v>
      </c>
    </row>
    <row r="1437" spans="1:9">
      <c r="A1437" t="s">
        <v>516</v>
      </c>
      <c r="B1437">
        <v>2026</v>
      </c>
      <c r="C1437">
        <v>1</v>
      </c>
      <c r="D1437" t="s">
        <v>139</v>
      </c>
      <c r="E1437" t="s">
        <v>10</v>
      </c>
      <c r="F1437">
        <v>10.3</v>
      </c>
      <c r="G1437">
        <v>75.099999999999994</v>
      </c>
      <c r="H1437" t="s">
        <v>13</v>
      </c>
      <c r="I1437" t="str">
        <f t="shared" si="22"/>
        <v>Alta</v>
      </c>
    </row>
    <row r="1438" spans="1:9">
      <c r="A1438" t="s">
        <v>521</v>
      </c>
      <c r="B1438">
        <v>2026</v>
      </c>
      <c r="C1438">
        <v>1</v>
      </c>
      <c r="D1438" t="s">
        <v>139</v>
      </c>
      <c r="E1438" t="s">
        <v>141</v>
      </c>
      <c r="F1438">
        <v>10.3</v>
      </c>
      <c r="G1438">
        <v>98.5</v>
      </c>
      <c r="H1438" t="s">
        <v>13</v>
      </c>
      <c r="I1438" t="str">
        <f t="shared" si="22"/>
        <v>Alta</v>
      </c>
    </row>
    <row r="1439" spans="1:9">
      <c r="A1439" t="s">
        <v>389</v>
      </c>
      <c r="B1439">
        <v>2026</v>
      </c>
      <c r="C1439">
        <v>2</v>
      </c>
      <c r="D1439" t="s">
        <v>9</v>
      </c>
      <c r="E1439" t="s">
        <v>14</v>
      </c>
      <c r="F1439">
        <v>10.3</v>
      </c>
      <c r="G1439">
        <v>80.7</v>
      </c>
      <c r="H1439" t="s">
        <v>13</v>
      </c>
      <c r="I1439" t="str">
        <f t="shared" si="22"/>
        <v>Alta</v>
      </c>
    </row>
    <row r="1440" spans="1:9">
      <c r="A1440" t="s">
        <v>410</v>
      </c>
      <c r="B1440">
        <v>2026</v>
      </c>
      <c r="C1440">
        <v>2</v>
      </c>
      <c r="D1440" t="s">
        <v>9</v>
      </c>
      <c r="E1440" t="s">
        <v>12</v>
      </c>
      <c r="F1440">
        <v>10.3</v>
      </c>
      <c r="G1440">
        <v>58.7</v>
      </c>
      <c r="H1440" t="s">
        <v>13</v>
      </c>
      <c r="I1440" t="str">
        <f t="shared" si="22"/>
        <v>Média</v>
      </c>
    </row>
    <row r="1441" spans="1:9">
      <c r="A1441" t="s">
        <v>483</v>
      </c>
      <c r="B1441">
        <v>2026</v>
      </c>
      <c r="C1441">
        <v>2</v>
      </c>
      <c r="D1441" t="s">
        <v>75</v>
      </c>
      <c r="E1441" t="s">
        <v>76</v>
      </c>
      <c r="F1441">
        <v>10.3</v>
      </c>
      <c r="G1441">
        <v>45.7</v>
      </c>
      <c r="H1441" t="s">
        <v>13</v>
      </c>
      <c r="I1441" t="str">
        <f t="shared" si="22"/>
        <v>Baixa</v>
      </c>
    </row>
    <row r="1442" spans="1:9">
      <c r="A1442" t="s">
        <v>501</v>
      </c>
      <c r="B1442">
        <v>2026</v>
      </c>
      <c r="C1442">
        <v>2</v>
      </c>
      <c r="D1442" t="s">
        <v>139</v>
      </c>
      <c r="E1442" t="s">
        <v>140</v>
      </c>
      <c r="F1442">
        <v>10.3</v>
      </c>
      <c r="G1442">
        <v>60.6</v>
      </c>
      <c r="H1442" t="s">
        <v>13</v>
      </c>
      <c r="I1442" t="str">
        <f t="shared" si="22"/>
        <v>Média</v>
      </c>
    </row>
    <row r="1443" spans="1:9">
      <c r="A1443" t="s">
        <v>553</v>
      </c>
      <c r="B1443">
        <v>2026</v>
      </c>
      <c r="C1443">
        <v>2</v>
      </c>
      <c r="D1443" t="s">
        <v>139</v>
      </c>
      <c r="E1443" t="s">
        <v>140</v>
      </c>
      <c r="F1443">
        <v>10.3</v>
      </c>
      <c r="G1443">
        <v>67.900000000000006</v>
      </c>
      <c r="H1443" t="s">
        <v>13</v>
      </c>
      <c r="I1443" t="str">
        <f t="shared" si="22"/>
        <v>Média</v>
      </c>
    </row>
    <row r="1444" spans="1:9">
      <c r="A1444" t="s">
        <v>16</v>
      </c>
      <c r="B1444">
        <v>2024</v>
      </c>
      <c r="C1444">
        <v>1</v>
      </c>
      <c r="D1444" t="s">
        <v>9</v>
      </c>
      <c r="E1444" t="s">
        <v>14</v>
      </c>
      <c r="F1444">
        <v>10.4</v>
      </c>
      <c r="G1444">
        <v>85.2</v>
      </c>
      <c r="H1444" t="s">
        <v>13</v>
      </c>
      <c r="I1444" t="str">
        <f t="shared" si="22"/>
        <v>Alta</v>
      </c>
    </row>
    <row r="1445" spans="1:9">
      <c r="A1445" t="s">
        <v>32</v>
      </c>
      <c r="B1445">
        <v>2024</v>
      </c>
      <c r="C1445">
        <v>1</v>
      </c>
      <c r="D1445" t="s">
        <v>9</v>
      </c>
      <c r="E1445" t="s">
        <v>14</v>
      </c>
      <c r="F1445">
        <v>10.4</v>
      </c>
      <c r="G1445">
        <v>81.2</v>
      </c>
      <c r="H1445" t="s">
        <v>13</v>
      </c>
      <c r="I1445" t="str">
        <f t="shared" si="22"/>
        <v>Alta</v>
      </c>
    </row>
    <row r="1446" spans="1:9">
      <c r="A1446" t="s">
        <v>99</v>
      </c>
      <c r="B1446">
        <v>2024</v>
      </c>
      <c r="C1446">
        <v>1</v>
      </c>
      <c r="D1446" t="s">
        <v>75</v>
      </c>
      <c r="E1446" t="s">
        <v>78</v>
      </c>
      <c r="F1446">
        <v>10.4</v>
      </c>
      <c r="G1446">
        <v>86.9</v>
      </c>
      <c r="H1446" t="s">
        <v>13</v>
      </c>
      <c r="I1446" t="str">
        <f t="shared" si="22"/>
        <v>Alta</v>
      </c>
    </row>
    <row r="1447" spans="1:9">
      <c r="A1447" t="s">
        <v>159</v>
      </c>
      <c r="B1447">
        <v>2024</v>
      </c>
      <c r="C1447">
        <v>1</v>
      </c>
      <c r="D1447" t="s">
        <v>139</v>
      </c>
      <c r="E1447" t="s">
        <v>140</v>
      </c>
      <c r="F1447">
        <v>10.4</v>
      </c>
      <c r="G1447">
        <v>99.4</v>
      </c>
      <c r="H1447" t="s">
        <v>13</v>
      </c>
      <c r="I1447" t="str">
        <f t="shared" si="22"/>
        <v>Alta</v>
      </c>
    </row>
    <row r="1448" spans="1:9">
      <c r="A1448" t="s">
        <v>177</v>
      </c>
      <c r="B1448">
        <v>2024</v>
      </c>
      <c r="C1448">
        <v>1</v>
      </c>
      <c r="D1448" t="s">
        <v>139</v>
      </c>
      <c r="E1448" t="s">
        <v>141</v>
      </c>
      <c r="F1448">
        <v>10.4</v>
      </c>
      <c r="G1448">
        <v>72.400000000000006</v>
      </c>
      <c r="H1448" t="s">
        <v>13</v>
      </c>
      <c r="I1448" t="str">
        <f t="shared" si="22"/>
        <v>Média</v>
      </c>
    </row>
    <row r="1449" spans="1:9">
      <c r="A1449" t="s">
        <v>22</v>
      </c>
      <c r="B1449">
        <v>2024</v>
      </c>
      <c r="C1449">
        <v>2</v>
      </c>
      <c r="D1449" t="s">
        <v>9</v>
      </c>
      <c r="E1449" t="s">
        <v>14</v>
      </c>
      <c r="F1449">
        <v>10.4</v>
      </c>
      <c r="G1449">
        <v>64.400000000000006</v>
      </c>
      <c r="H1449" t="s">
        <v>13</v>
      </c>
      <c r="I1449" t="str">
        <f t="shared" si="22"/>
        <v>Média</v>
      </c>
    </row>
    <row r="1450" spans="1:9">
      <c r="A1450" t="s">
        <v>48</v>
      </c>
      <c r="B1450">
        <v>2024</v>
      </c>
      <c r="C1450">
        <v>2</v>
      </c>
      <c r="D1450" t="s">
        <v>9</v>
      </c>
      <c r="E1450" t="s">
        <v>10</v>
      </c>
      <c r="F1450">
        <v>10.4</v>
      </c>
      <c r="G1450">
        <v>67.900000000000006</v>
      </c>
      <c r="H1450" t="s">
        <v>13</v>
      </c>
      <c r="I1450" t="str">
        <f t="shared" si="22"/>
        <v>Média</v>
      </c>
    </row>
    <row r="1451" spans="1:9">
      <c r="A1451" t="s">
        <v>49</v>
      </c>
      <c r="B1451">
        <v>2024</v>
      </c>
      <c r="C1451">
        <v>2</v>
      </c>
      <c r="D1451" t="s">
        <v>9</v>
      </c>
      <c r="E1451" t="s">
        <v>12</v>
      </c>
      <c r="F1451">
        <v>10.4</v>
      </c>
      <c r="G1451">
        <v>97.5</v>
      </c>
      <c r="H1451" t="s">
        <v>13</v>
      </c>
      <c r="I1451" t="str">
        <f t="shared" si="22"/>
        <v>Alta</v>
      </c>
    </row>
    <row r="1452" spans="1:9">
      <c r="A1452" t="s">
        <v>96</v>
      </c>
      <c r="B1452">
        <v>2024</v>
      </c>
      <c r="C1452">
        <v>2</v>
      </c>
      <c r="D1452" t="s">
        <v>75</v>
      </c>
      <c r="E1452" t="s">
        <v>76</v>
      </c>
      <c r="F1452">
        <v>10.4</v>
      </c>
      <c r="G1452">
        <v>59.5</v>
      </c>
      <c r="H1452" t="s">
        <v>13</v>
      </c>
      <c r="I1452" t="str">
        <f t="shared" si="22"/>
        <v>Média</v>
      </c>
    </row>
    <row r="1453" spans="1:9">
      <c r="A1453" t="s">
        <v>138</v>
      </c>
      <c r="B1453">
        <v>2024</v>
      </c>
      <c r="C1453">
        <v>2</v>
      </c>
      <c r="D1453" t="s">
        <v>139</v>
      </c>
      <c r="E1453" t="s">
        <v>140</v>
      </c>
      <c r="F1453">
        <v>10.4</v>
      </c>
      <c r="G1453">
        <v>51.4</v>
      </c>
      <c r="H1453" t="s">
        <v>13</v>
      </c>
      <c r="I1453" t="str">
        <f t="shared" si="22"/>
        <v>Média</v>
      </c>
    </row>
    <row r="1454" spans="1:9">
      <c r="A1454" t="s">
        <v>237</v>
      </c>
      <c r="B1454">
        <v>2025</v>
      </c>
      <c r="C1454">
        <v>1</v>
      </c>
      <c r="D1454" t="s">
        <v>9</v>
      </c>
      <c r="E1454" t="s">
        <v>14</v>
      </c>
      <c r="F1454">
        <v>10.4</v>
      </c>
      <c r="G1454">
        <v>45.3</v>
      </c>
      <c r="H1454" t="s">
        <v>13</v>
      </c>
      <c r="I1454" t="str">
        <f t="shared" si="22"/>
        <v>Baixa</v>
      </c>
    </row>
    <row r="1455" spans="1:9">
      <c r="A1455" t="s">
        <v>248</v>
      </c>
      <c r="B1455">
        <v>2025</v>
      </c>
      <c r="C1455">
        <v>1</v>
      </c>
      <c r="D1455" t="s">
        <v>9</v>
      </c>
      <c r="E1455" t="s">
        <v>10</v>
      </c>
      <c r="F1455">
        <v>10.4</v>
      </c>
      <c r="G1455">
        <v>46.2</v>
      </c>
      <c r="H1455" t="s">
        <v>13</v>
      </c>
      <c r="I1455" t="str">
        <f t="shared" si="22"/>
        <v>Baixa</v>
      </c>
    </row>
    <row r="1456" spans="1:9">
      <c r="A1456" t="s">
        <v>290</v>
      </c>
      <c r="B1456">
        <v>2025</v>
      </c>
      <c r="C1456">
        <v>1</v>
      </c>
      <c r="D1456" t="s">
        <v>75</v>
      </c>
      <c r="E1456" t="s">
        <v>77</v>
      </c>
      <c r="F1456">
        <v>10.4</v>
      </c>
      <c r="G1456">
        <v>63.7</v>
      </c>
      <c r="H1456" t="s">
        <v>13</v>
      </c>
      <c r="I1456" t="str">
        <f t="shared" si="22"/>
        <v>Média</v>
      </c>
    </row>
    <row r="1457" spans="1:9">
      <c r="A1457" t="s">
        <v>330</v>
      </c>
      <c r="B1457">
        <v>2025</v>
      </c>
      <c r="C1457">
        <v>1</v>
      </c>
      <c r="D1457" t="s">
        <v>139</v>
      </c>
      <c r="E1457" t="s">
        <v>140</v>
      </c>
      <c r="F1457">
        <v>10.4</v>
      </c>
      <c r="G1457">
        <v>53.2</v>
      </c>
      <c r="H1457" t="s">
        <v>13</v>
      </c>
      <c r="I1457" t="str">
        <f t="shared" si="22"/>
        <v>Média</v>
      </c>
    </row>
    <row r="1458" spans="1:9">
      <c r="A1458" t="s">
        <v>220</v>
      </c>
      <c r="B1458">
        <v>2025</v>
      </c>
      <c r="C1458">
        <v>2</v>
      </c>
      <c r="D1458" t="s">
        <v>9</v>
      </c>
      <c r="E1458" t="s">
        <v>14</v>
      </c>
      <c r="F1458">
        <v>10.4</v>
      </c>
      <c r="G1458">
        <v>65.2</v>
      </c>
      <c r="H1458" t="s">
        <v>13</v>
      </c>
      <c r="I1458" t="str">
        <f t="shared" si="22"/>
        <v>Média</v>
      </c>
    </row>
    <row r="1459" spans="1:9">
      <c r="A1459" t="s">
        <v>236</v>
      </c>
      <c r="B1459">
        <v>2025</v>
      </c>
      <c r="C1459">
        <v>2</v>
      </c>
      <c r="D1459" t="s">
        <v>9</v>
      </c>
      <c r="E1459" t="s">
        <v>14</v>
      </c>
      <c r="F1459">
        <v>10.4</v>
      </c>
      <c r="G1459">
        <v>81.599999999999994</v>
      </c>
      <c r="H1459" t="s">
        <v>13</v>
      </c>
      <c r="I1459" t="str">
        <f t="shared" si="22"/>
        <v>Alta</v>
      </c>
    </row>
    <row r="1460" spans="1:9">
      <c r="A1460" t="s">
        <v>255</v>
      </c>
      <c r="B1460">
        <v>2025</v>
      </c>
      <c r="C1460">
        <v>2</v>
      </c>
      <c r="D1460" t="s">
        <v>9</v>
      </c>
      <c r="E1460" t="s">
        <v>10</v>
      </c>
      <c r="F1460">
        <v>10.4</v>
      </c>
      <c r="G1460">
        <v>82.9</v>
      </c>
      <c r="H1460" t="s">
        <v>13</v>
      </c>
      <c r="I1460" t="str">
        <f t="shared" si="22"/>
        <v>Alta</v>
      </c>
    </row>
    <row r="1461" spans="1:9">
      <c r="A1461" t="s">
        <v>284</v>
      </c>
      <c r="B1461">
        <v>2025</v>
      </c>
      <c r="C1461">
        <v>2</v>
      </c>
      <c r="D1461" t="s">
        <v>75</v>
      </c>
      <c r="E1461" t="s">
        <v>76</v>
      </c>
      <c r="F1461">
        <v>10.4</v>
      </c>
      <c r="G1461">
        <v>52.3</v>
      </c>
      <c r="H1461" t="s">
        <v>13</v>
      </c>
      <c r="I1461" t="str">
        <f t="shared" si="22"/>
        <v>Média</v>
      </c>
    </row>
    <row r="1462" spans="1:9">
      <c r="A1462" t="s">
        <v>352</v>
      </c>
      <c r="B1462">
        <v>2025</v>
      </c>
      <c r="C1462">
        <v>2</v>
      </c>
      <c r="D1462" t="s">
        <v>139</v>
      </c>
      <c r="E1462" t="s">
        <v>10</v>
      </c>
      <c r="F1462">
        <v>10.4</v>
      </c>
      <c r="G1462">
        <v>79.5</v>
      </c>
      <c r="H1462" t="s">
        <v>13</v>
      </c>
      <c r="I1462" t="str">
        <f t="shared" si="22"/>
        <v>Alta</v>
      </c>
    </row>
    <row r="1463" spans="1:9">
      <c r="A1463" t="s">
        <v>367</v>
      </c>
      <c r="B1463">
        <v>2025</v>
      </c>
      <c r="C1463">
        <v>2</v>
      </c>
      <c r="D1463" t="s">
        <v>139</v>
      </c>
      <c r="E1463" t="s">
        <v>140</v>
      </c>
      <c r="F1463">
        <v>10.4</v>
      </c>
      <c r="G1463">
        <v>63.8</v>
      </c>
      <c r="H1463" t="s">
        <v>13</v>
      </c>
      <c r="I1463" t="str">
        <f t="shared" si="22"/>
        <v>Média</v>
      </c>
    </row>
    <row r="1464" spans="1:9">
      <c r="A1464" t="s">
        <v>371</v>
      </c>
      <c r="B1464">
        <v>2025</v>
      </c>
      <c r="C1464">
        <v>2</v>
      </c>
      <c r="D1464" t="s">
        <v>139</v>
      </c>
      <c r="E1464" t="s">
        <v>141</v>
      </c>
      <c r="F1464">
        <v>10.4</v>
      </c>
      <c r="G1464">
        <v>57.1</v>
      </c>
      <c r="H1464" t="s">
        <v>13</v>
      </c>
      <c r="I1464" t="str">
        <f t="shared" si="22"/>
        <v>Média</v>
      </c>
    </row>
    <row r="1465" spans="1:9">
      <c r="A1465" t="s">
        <v>394</v>
      </c>
      <c r="B1465">
        <v>2026</v>
      </c>
      <c r="C1465">
        <v>1</v>
      </c>
      <c r="D1465" t="s">
        <v>9</v>
      </c>
      <c r="E1465" t="s">
        <v>10</v>
      </c>
      <c r="F1465">
        <v>10.4</v>
      </c>
      <c r="G1465">
        <v>64.3</v>
      </c>
      <c r="H1465" t="s">
        <v>13</v>
      </c>
      <c r="I1465" t="str">
        <f t="shared" si="22"/>
        <v>Média</v>
      </c>
    </row>
    <row r="1466" spans="1:9">
      <c r="A1466" t="s">
        <v>413</v>
      </c>
      <c r="B1466">
        <v>2026</v>
      </c>
      <c r="C1466">
        <v>1</v>
      </c>
      <c r="D1466" t="s">
        <v>9</v>
      </c>
      <c r="E1466" t="s">
        <v>14</v>
      </c>
      <c r="F1466">
        <v>10.4</v>
      </c>
      <c r="G1466">
        <v>71.2</v>
      </c>
      <c r="H1466" t="s">
        <v>13</v>
      </c>
      <c r="I1466" t="str">
        <f t="shared" si="22"/>
        <v>Média</v>
      </c>
    </row>
    <row r="1467" spans="1:9">
      <c r="A1467" t="s">
        <v>418</v>
      </c>
      <c r="B1467">
        <v>2026</v>
      </c>
      <c r="C1467">
        <v>1</v>
      </c>
      <c r="D1467" t="s">
        <v>9</v>
      </c>
      <c r="E1467" t="s">
        <v>10</v>
      </c>
      <c r="F1467">
        <v>10.4</v>
      </c>
      <c r="G1467">
        <v>52.6</v>
      </c>
      <c r="H1467" t="s">
        <v>13</v>
      </c>
      <c r="I1467" t="str">
        <f t="shared" si="22"/>
        <v>Média</v>
      </c>
    </row>
    <row r="1468" spans="1:9">
      <c r="A1468" t="s">
        <v>432</v>
      </c>
      <c r="B1468">
        <v>2026</v>
      </c>
      <c r="C1468">
        <v>1</v>
      </c>
      <c r="D1468" t="s">
        <v>9</v>
      </c>
      <c r="E1468" t="s">
        <v>12</v>
      </c>
      <c r="F1468">
        <v>10.4</v>
      </c>
      <c r="G1468">
        <v>88.2</v>
      </c>
      <c r="H1468" t="s">
        <v>13</v>
      </c>
      <c r="I1468" t="str">
        <f t="shared" si="22"/>
        <v>Alta</v>
      </c>
    </row>
    <row r="1469" spans="1:9">
      <c r="A1469" t="s">
        <v>442</v>
      </c>
      <c r="B1469">
        <v>2026</v>
      </c>
      <c r="C1469">
        <v>1</v>
      </c>
      <c r="D1469" t="s">
        <v>75</v>
      </c>
      <c r="E1469" t="s">
        <v>76</v>
      </c>
      <c r="F1469">
        <v>10.4</v>
      </c>
      <c r="G1469">
        <v>54.7</v>
      </c>
      <c r="H1469" t="s">
        <v>13</v>
      </c>
      <c r="I1469" t="str">
        <f t="shared" si="22"/>
        <v>Média</v>
      </c>
    </row>
    <row r="1470" spans="1:9">
      <c r="A1470" t="s">
        <v>554</v>
      </c>
      <c r="B1470">
        <v>2026</v>
      </c>
      <c r="C1470">
        <v>1</v>
      </c>
      <c r="D1470" t="s">
        <v>139</v>
      </c>
      <c r="E1470" t="s">
        <v>141</v>
      </c>
      <c r="F1470">
        <v>10.4</v>
      </c>
      <c r="G1470">
        <v>68.599999999999994</v>
      </c>
      <c r="H1470" t="s">
        <v>13</v>
      </c>
      <c r="I1470" t="str">
        <f t="shared" si="22"/>
        <v>Média</v>
      </c>
    </row>
    <row r="1471" spans="1:9">
      <c r="A1471" t="s">
        <v>419</v>
      </c>
      <c r="B1471">
        <v>2026</v>
      </c>
      <c r="C1471">
        <v>2</v>
      </c>
      <c r="D1471" t="s">
        <v>9</v>
      </c>
      <c r="E1471" t="s">
        <v>12</v>
      </c>
      <c r="F1471">
        <v>10.4</v>
      </c>
      <c r="G1471">
        <v>92.1</v>
      </c>
      <c r="H1471" t="s">
        <v>13</v>
      </c>
      <c r="I1471" t="str">
        <f t="shared" si="22"/>
        <v>Alta</v>
      </c>
    </row>
    <row r="1472" spans="1:9">
      <c r="A1472" t="s">
        <v>528</v>
      </c>
      <c r="B1472">
        <v>2026</v>
      </c>
      <c r="C1472">
        <v>2</v>
      </c>
      <c r="D1472" t="s">
        <v>139</v>
      </c>
      <c r="E1472" t="s">
        <v>10</v>
      </c>
      <c r="F1472">
        <v>10.4</v>
      </c>
      <c r="G1472">
        <v>83.2</v>
      </c>
      <c r="H1472" t="s">
        <v>13</v>
      </c>
      <c r="I1472" t="str">
        <f t="shared" si="22"/>
        <v>Alta</v>
      </c>
    </row>
    <row r="1473" spans="1:9">
      <c r="A1473" t="s">
        <v>546</v>
      </c>
      <c r="B1473">
        <v>2026</v>
      </c>
      <c r="C1473">
        <v>2</v>
      </c>
      <c r="D1473" t="s">
        <v>139</v>
      </c>
      <c r="E1473" t="s">
        <v>10</v>
      </c>
      <c r="F1473">
        <v>10.4</v>
      </c>
      <c r="G1473">
        <v>97.9</v>
      </c>
      <c r="H1473" t="s">
        <v>13</v>
      </c>
      <c r="I1473" t="str">
        <f t="shared" si="22"/>
        <v>Alta</v>
      </c>
    </row>
    <row r="1474" spans="1:9">
      <c r="A1474" t="s">
        <v>22</v>
      </c>
      <c r="B1474">
        <v>2024</v>
      </c>
      <c r="C1474">
        <v>1</v>
      </c>
      <c r="D1474" t="s">
        <v>9</v>
      </c>
      <c r="E1474" t="s">
        <v>14</v>
      </c>
      <c r="F1474">
        <v>10.5</v>
      </c>
      <c r="G1474">
        <v>93.1</v>
      </c>
      <c r="H1474" t="s">
        <v>13</v>
      </c>
      <c r="I1474" t="str">
        <f t="shared" ref="I1474:I1537" si="23">IF(G1474&lt;50,"Baixa",IF(G1474&lt;75,"Média","Alta"))</f>
        <v>Alta</v>
      </c>
    </row>
    <row r="1475" spans="1:9">
      <c r="A1475" t="s">
        <v>82</v>
      </c>
      <c r="B1475">
        <v>2024</v>
      </c>
      <c r="C1475">
        <v>1</v>
      </c>
      <c r="D1475" t="s">
        <v>75</v>
      </c>
      <c r="E1475" t="s">
        <v>76</v>
      </c>
      <c r="F1475">
        <v>10.5</v>
      </c>
      <c r="G1475">
        <v>73</v>
      </c>
      <c r="H1475" t="s">
        <v>13</v>
      </c>
      <c r="I1475" t="str">
        <f t="shared" si="23"/>
        <v>Média</v>
      </c>
    </row>
    <row r="1476" spans="1:9">
      <c r="A1476" t="s">
        <v>90</v>
      </c>
      <c r="B1476">
        <v>2024</v>
      </c>
      <c r="C1476">
        <v>1</v>
      </c>
      <c r="D1476" t="s">
        <v>75</v>
      </c>
      <c r="E1476" t="s">
        <v>77</v>
      </c>
      <c r="F1476">
        <v>10.5</v>
      </c>
      <c r="G1476">
        <v>66.2</v>
      </c>
      <c r="H1476" t="s">
        <v>13</v>
      </c>
      <c r="I1476" t="str">
        <f t="shared" si="23"/>
        <v>Média</v>
      </c>
    </row>
    <row r="1477" spans="1:9">
      <c r="A1477" t="s">
        <v>125</v>
      </c>
      <c r="B1477">
        <v>2024</v>
      </c>
      <c r="C1477">
        <v>1</v>
      </c>
      <c r="D1477" t="s">
        <v>75</v>
      </c>
      <c r="E1477" t="s">
        <v>78</v>
      </c>
      <c r="F1477">
        <v>10.5</v>
      </c>
      <c r="G1477">
        <v>88</v>
      </c>
      <c r="H1477" t="s">
        <v>13</v>
      </c>
      <c r="I1477" t="str">
        <f t="shared" si="23"/>
        <v>Alta</v>
      </c>
    </row>
    <row r="1478" spans="1:9">
      <c r="A1478" t="s">
        <v>128</v>
      </c>
      <c r="B1478">
        <v>2024</v>
      </c>
      <c r="C1478">
        <v>1</v>
      </c>
      <c r="D1478" t="s">
        <v>75</v>
      </c>
      <c r="E1478" t="s">
        <v>77</v>
      </c>
      <c r="F1478">
        <v>10.5</v>
      </c>
      <c r="G1478">
        <v>90.4</v>
      </c>
      <c r="H1478" t="s">
        <v>13</v>
      </c>
      <c r="I1478" t="str">
        <f t="shared" si="23"/>
        <v>Alta</v>
      </c>
    </row>
    <row r="1479" spans="1:9">
      <c r="A1479" t="s">
        <v>152</v>
      </c>
      <c r="B1479">
        <v>2024</v>
      </c>
      <c r="C1479">
        <v>1</v>
      </c>
      <c r="D1479" t="s">
        <v>139</v>
      </c>
      <c r="E1479" t="s">
        <v>140</v>
      </c>
      <c r="F1479">
        <v>10.5</v>
      </c>
      <c r="G1479">
        <v>73.5</v>
      </c>
      <c r="H1479" t="s">
        <v>13</v>
      </c>
      <c r="I1479" t="str">
        <f t="shared" si="23"/>
        <v>Média</v>
      </c>
    </row>
    <row r="1480" spans="1:9">
      <c r="A1480" t="s">
        <v>29</v>
      </c>
      <c r="B1480">
        <v>2024</v>
      </c>
      <c r="C1480">
        <v>2</v>
      </c>
      <c r="D1480" t="s">
        <v>9</v>
      </c>
      <c r="E1480" t="s">
        <v>10</v>
      </c>
      <c r="F1480">
        <v>10.5</v>
      </c>
      <c r="G1480">
        <v>66.8</v>
      </c>
      <c r="H1480" t="s">
        <v>13</v>
      </c>
      <c r="I1480" t="str">
        <f t="shared" si="23"/>
        <v>Média</v>
      </c>
    </row>
    <row r="1481" spans="1:9">
      <c r="A1481" t="s">
        <v>37</v>
      </c>
      <c r="B1481">
        <v>2024</v>
      </c>
      <c r="C1481">
        <v>2</v>
      </c>
      <c r="D1481" t="s">
        <v>9</v>
      </c>
      <c r="E1481" t="s">
        <v>12</v>
      </c>
      <c r="F1481">
        <v>10.5</v>
      </c>
      <c r="G1481">
        <v>81.900000000000006</v>
      </c>
      <c r="H1481" t="s">
        <v>13</v>
      </c>
      <c r="I1481" t="str">
        <f t="shared" si="23"/>
        <v>Alta</v>
      </c>
    </row>
    <row r="1482" spans="1:9">
      <c r="A1482" t="s">
        <v>65</v>
      </c>
      <c r="B1482">
        <v>2024</v>
      </c>
      <c r="C1482">
        <v>2</v>
      </c>
      <c r="D1482" t="s">
        <v>9</v>
      </c>
      <c r="E1482" t="s">
        <v>12</v>
      </c>
      <c r="F1482">
        <v>10.5</v>
      </c>
      <c r="G1482">
        <v>60.3</v>
      </c>
      <c r="H1482" t="s">
        <v>13</v>
      </c>
      <c r="I1482" t="str">
        <f t="shared" si="23"/>
        <v>Média</v>
      </c>
    </row>
    <row r="1483" spans="1:9">
      <c r="A1483" t="s">
        <v>66</v>
      </c>
      <c r="B1483">
        <v>2024</v>
      </c>
      <c r="C1483">
        <v>2</v>
      </c>
      <c r="D1483" t="s">
        <v>9</v>
      </c>
      <c r="E1483" t="s">
        <v>10</v>
      </c>
      <c r="F1483">
        <v>10.5</v>
      </c>
      <c r="G1483">
        <v>55.5</v>
      </c>
      <c r="H1483" t="s">
        <v>13</v>
      </c>
      <c r="I1483" t="str">
        <f t="shared" si="23"/>
        <v>Média</v>
      </c>
    </row>
    <row r="1484" spans="1:9">
      <c r="A1484" t="s">
        <v>71</v>
      </c>
      <c r="B1484">
        <v>2024</v>
      </c>
      <c r="C1484">
        <v>2</v>
      </c>
      <c r="D1484" t="s">
        <v>9</v>
      </c>
      <c r="E1484" t="s">
        <v>14</v>
      </c>
      <c r="F1484">
        <v>10.5</v>
      </c>
      <c r="G1484">
        <v>75.400000000000006</v>
      </c>
      <c r="H1484" t="s">
        <v>13</v>
      </c>
      <c r="I1484" t="str">
        <f t="shared" si="23"/>
        <v>Alta</v>
      </c>
    </row>
    <row r="1485" spans="1:9">
      <c r="A1485" t="s">
        <v>79</v>
      </c>
      <c r="B1485">
        <v>2024</v>
      </c>
      <c r="C1485">
        <v>2</v>
      </c>
      <c r="D1485" t="s">
        <v>75</v>
      </c>
      <c r="E1485" t="s">
        <v>77</v>
      </c>
      <c r="F1485">
        <v>10.5</v>
      </c>
      <c r="G1485">
        <v>79.2</v>
      </c>
      <c r="H1485" t="s">
        <v>13</v>
      </c>
      <c r="I1485" t="str">
        <f t="shared" si="23"/>
        <v>Alta</v>
      </c>
    </row>
    <row r="1486" spans="1:9">
      <c r="A1486" t="s">
        <v>96</v>
      </c>
      <c r="B1486">
        <v>2024</v>
      </c>
      <c r="C1486">
        <v>2</v>
      </c>
      <c r="D1486" t="s">
        <v>75</v>
      </c>
      <c r="E1486" t="s">
        <v>77</v>
      </c>
      <c r="F1486">
        <v>10.5</v>
      </c>
      <c r="G1486">
        <v>76.5</v>
      </c>
      <c r="H1486" t="s">
        <v>13</v>
      </c>
      <c r="I1486" t="str">
        <f t="shared" si="23"/>
        <v>Alta</v>
      </c>
    </row>
    <row r="1487" spans="1:9">
      <c r="A1487" t="s">
        <v>106</v>
      </c>
      <c r="B1487">
        <v>2024</v>
      </c>
      <c r="C1487">
        <v>2</v>
      </c>
      <c r="D1487" t="s">
        <v>75</v>
      </c>
      <c r="E1487" t="s">
        <v>77</v>
      </c>
      <c r="F1487">
        <v>10.5</v>
      </c>
      <c r="G1487">
        <v>99.7</v>
      </c>
      <c r="H1487" t="s">
        <v>13</v>
      </c>
      <c r="I1487" t="str">
        <f t="shared" si="23"/>
        <v>Alta</v>
      </c>
    </row>
    <row r="1488" spans="1:9">
      <c r="A1488" t="s">
        <v>115</v>
      </c>
      <c r="B1488">
        <v>2024</v>
      </c>
      <c r="C1488">
        <v>2</v>
      </c>
      <c r="D1488" t="s">
        <v>75</v>
      </c>
      <c r="E1488" t="s">
        <v>76</v>
      </c>
      <c r="F1488">
        <v>10.5</v>
      </c>
      <c r="G1488">
        <v>56.6</v>
      </c>
      <c r="H1488" t="s">
        <v>13</v>
      </c>
      <c r="I1488" t="str">
        <f t="shared" si="23"/>
        <v>Média</v>
      </c>
    </row>
    <row r="1489" spans="1:9">
      <c r="A1489" t="s">
        <v>126</v>
      </c>
      <c r="B1489">
        <v>2024</v>
      </c>
      <c r="C1489">
        <v>2</v>
      </c>
      <c r="D1489" t="s">
        <v>75</v>
      </c>
      <c r="E1489" t="s">
        <v>76</v>
      </c>
      <c r="F1489">
        <v>10.5</v>
      </c>
      <c r="G1489">
        <v>71</v>
      </c>
      <c r="H1489" t="s">
        <v>13</v>
      </c>
      <c r="I1489" t="str">
        <f t="shared" si="23"/>
        <v>Média</v>
      </c>
    </row>
    <row r="1490" spans="1:9">
      <c r="A1490" t="s">
        <v>147</v>
      </c>
      <c r="B1490">
        <v>2024</v>
      </c>
      <c r="C1490">
        <v>2</v>
      </c>
      <c r="D1490" t="s">
        <v>139</v>
      </c>
      <c r="E1490" t="s">
        <v>140</v>
      </c>
      <c r="F1490">
        <v>10.5</v>
      </c>
      <c r="G1490">
        <v>91.4</v>
      </c>
      <c r="H1490" t="s">
        <v>13</v>
      </c>
      <c r="I1490" t="str">
        <f t="shared" si="23"/>
        <v>Alta</v>
      </c>
    </row>
    <row r="1491" spans="1:9">
      <c r="A1491" t="s">
        <v>211</v>
      </c>
      <c r="B1491">
        <v>2025</v>
      </c>
      <c r="C1491">
        <v>1</v>
      </c>
      <c r="D1491" t="s">
        <v>9</v>
      </c>
      <c r="E1491" t="s">
        <v>14</v>
      </c>
      <c r="F1491">
        <v>10.5</v>
      </c>
      <c r="G1491">
        <v>79.099999999999994</v>
      </c>
      <c r="H1491" t="s">
        <v>13</v>
      </c>
      <c r="I1491" t="str">
        <f t="shared" si="23"/>
        <v>Alta</v>
      </c>
    </row>
    <row r="1492" spans="1:9">
      <c r="A1492" t="s">
        <v>258</v>
      </c>
      <c r="B1492">
        <v>2025</v>
      </c>
      <c r="C1492">
        <v>1</v>
      </c>
      <c r="D1492" t="s">
        <v>9</v>
      </c>
      <c r="E1492" t="s">
        <v>14</v>
      </c>
      <c r="F1492">
        <v>10.5</v>
      </c>
      <c r="G1492">
        <v>56.6</v>
      </c>
      <c r="H1492" t="s">
        <v>13</v>
      </c>
      <c r="I1492" t="str">
        <f t="shared" si="23"/>
        <v>Média</v>
      </c>
    </row>
    <row r="1493" spans="1:9">
      <c r="A1493" t="s">
        <v>259</v>
      </c>
      <c r="B1493">
        <v>2025</v>
      </c>
      <c r="C1493">
        <v>1</v>
      </c>
      <c r="D1493" t="s">
        <v>9</v>
      </c>
      <c r="E1493" t="s">
        <v>10</v>
      </c>
      <c r="F1493">
        <v>10.5</v>
      </c>
      <c r="G1493">
        <v>81.2</v>
      </c>
      <c r="H1493" t="s">
        <v>13</v>
      </c>
      <c r="I1493" t="str">
        <f t="shared" si="23"/>
        <v>Alta</v>
      </c>
    </row>
    <row r="1494" spans="1:9">
      <c r="A1494" t="s">
        <v>279</v>
      </c>
      <c r="B1494">
        <v>2025</v>
      </c>
      <c r="C1494">
        <v>1</v>
      </c>
      <c r="D1494" t="s">
        <v>75</v>
      </c>
      <c r="E1494" t="s">
        <v>76</v>
      </c>
      <c r="F1494">
        <v>10.5</v>
      </c>
      <c r="G1494">
        <v>51.8</v>
      </c>
      <c r="H1494" t="s">
        <v>13</v>
      </c>
      <c r="I1494" t="str">
        <f t="shared" si="23"/>
        <v>Média</v>
      </c>
    </row>
    <row r="1495" spans="1:9">
      <c r="A1495" t="s">
        <v>292</v>
      </c>
      <c r="B1495">
        <v>2025</v>
      </c>
      <c r="C1495">
        <v>1</v>
      </c>
      <c r="D1495" t="s">
        <v>75</v>
      </c>
      <c r="E1495" t="s">
        <v>78</v>
      </c>
      <c r="F1495">
        <v>10.5</v>
      </c>
      <c r="G1495">
        <v>99</v>
      </c>
      <c r="H1495" t="s">
        <v>13</v>
      </c>
      <c r="I1495" t="str">
        <f t="shared" si="23"/>
        <v>Alta</v>
      </c>
    </row>
    <row r="1496" spans="1:9">
      <c r="A1496" t="s">
        <v>296</v>
      </c>
      <c r="B1496">
        <v>2025</v>
      </c>
      <c r="C1496">
        <v>1</v>
      </c>
      <c r="D1496" t="s">
        <v>75</v>
      </c>
      <c r="E1496" t="s">
        <v>78</v>
      </c>
      <c r="F1496">
        <v>10.5</v>
      </c>
      <c r="G1496">
        <v>90.6</v>
      </c>
      <c r="H1496" t="s">
        <v>13</v>
      </c>
      <c r="I1496" t="str">
        <f t="shared" si="23"/>
        <v>Alta</v>
      </c>
    </row>
    <row r="1497" spans="1:9">
      <c r="A1497" t="s">
        <v>303</v>
      </c>
      <c r="B1497">
        <v>2025</v>
      </c>
      <c r="C1497">
        <v>1</v>
      </c>
      <c r="D1497" t="s">
        <v>75</v>
      </c>
      <c r="E1497" t="s">
        <v>78</v>
      </c>
      <c r="F1497">
        <v>10.5</v>
      </c>
      <c r="G1497">
        <v>84.7</v>
      </c>
      <c r="H1497" t="s">
        <v>13</v>
      </c>
      <c r="I1497" t="str">
        <f t="shared" si="23"/>
        <v>Alta</v>
      </c>
    </row>
    <row r="1498" spans="1:9">
      <c r="A1498" t="s">
        <v>326</v>
      </c>
      <c r="B1498">
        <v>2025</v>
      </c>
      <c r="C1498">
        <v>1</v>
      </c>
      <c r="D1498" t="s">
        <v>139</v>
      </c>
      <c r="E1498" t="s">
        <v>141</v>
      </c>
      <c r="F1498">
        <v>10.5</v>
      </c>
      <c r="G1498">
        <v>79.599999999999994</v>
      </c>
      <c r="H1498" t="s">
        <v>13</v>
      </c>
      <c r="I1498" t="str">
        <f t="shared" si="23"/>
        <v>Alta</v>
      </c>
    </row>
    <row r="1499" spans="1:9">
      <c r="A1499" t="s">
        <v>349</v>
      </c>
      <c r="B1499">
        <v>2025</v>
      </c>
      <c r="C1499">
        <v>1</v>
      </c>
      <c r="D1499" t="s">
        <v>139</v>
      </c>
      <c r="E1499" t="s">
        <v>10</v>
      </c>
      <c r="F1499">
        <v>10.5</v>
      </c>
      <c r="G1499">
        <v>88.3</v>
      </c>
      <c r="H1499" t="s">
        <v>13</v>
      </c>
      <c r="I1499" t="str">
        <f t="shared" si="23"/>
        <v>Alta</v>
      </c>
    </row>
    <row r="1500" spans="1:9">
      <c r="A1500" t="s">
        <v>241</v>
      </c>
      <c r="B1500">
        <v>2025</v>
      </c>
      <c r="C1500">
        <v>2</v>
      </c>
      <c r="D1500" t="s">
        <v>9</v>
      </c>
      <c r="E1500" t="s">
        <v>12</v>
      </c>
      <c r="F1500">
        <v>10.5</v>
      </c>
      <c r="G1500">
        <v>63.4</v>
      </c>
      <c r="H1500" t="s">
        <v>13</v>
      </c>
      <c r="I1500" t="str">
        <f t="shared" si="23"/>
        <v>Média</v>
      </c>
    </row>
    <row r="1501" spans="1:9">
      <c r="A1501" t="s">
        <v>262</v>
      </c>
      <c r="B1501">
        <v>2025</v>
      </c>
      <c r="C1501">
        <v>2</v>
      </c>
      <c r="D1501" t="s">
        <v>75</v>
      </c>
      <c r="E1501" t="s">
        <v>78</v>
      </c>
      <c r="F1501">
        <v>10.5</v>
      </c>
      <c r="G1501">
        <v>86.4</v>
      </c>
      <c r="H1501" t="s">
        <v>13</v>
      </c>
      <c r="I1501" t="str">
        <f t="shared" si="23"/>
        <v>Alta</v>
      </c>
    </row>
    <row r="1502" spans="1:9">
      <c r="A1502" t="s">
        <v>339</v>
      </c>
      <c r="B1502">
        <v>2025</v>
      </c>
      <c r="C1502">
        <v>2</v>
      </c>
      <c r="D1502" t="s">
        <v>139</v>
      </c>
      <c r="E1502" t="s">
        <v>10</v>
      </c>
      <c r="F1502">
        <v>10.5</v>
      </c>
      <c r="G1502">
        <v>86.4</v>
      </c>
      <c r="H1502" t="s">
        <v>13</v>
      </c>
      <c r="I1502" t="str">
        <f t="shared" si="23"/>
        <v>Alta</v>
      </c>
    </row>
    <row r="1503" spans="1:9">
      <c r="A1503" t="s">
        <v>375</v>
      </c>
      <c r="B1503">
        <v>2025</v>
      </c>
      <c r="C1503">
        <v>2</v>
      </c>
      <c r="D1503" t="s">
        <v>139</v>
      </c>
      <c r="E1503" t="s">
        <v>141</v>
      </c>
      <c r="F1503">
        <v>10.5</v>
      </c>
      <c r="G1503">
        <v>84.1</v>
      </c>
      <c r="H1503" t="s">
        <v>13</v>
      </c>
      <c r="I1503" t="str">
        <f t="shared" si="23"/>
        <v>Alta</v>
      </c>
    </row>
    <row r="1504" spans="1:9">
      <c r="A1504" t="s">
        <v>392</v>
      </c>
      <c r="B1504">
        <v>2026</v>
      </c>
      <c r="C1504">
        <v>1</v>
      </c>
      <c r="D1504" t="s">
        <v>9</v>
      </c>
      <c r="E1504" t="s">
        <v>14</v>
      </c>
      <c r="F1504">
        <v>10.5</v>
      </c>
      <c r="G1504">
        <v>91.6</v>
      </c>
      <c r="H1504" t="s">
        <v>13</v>
      </c>
      <c r="I1504" t="str">
        <f t="shared" si="23"/>
        <v>Alta</v>
      </c>
    </row>
    <row r="1505" spans="1:9">
      <c r="A1505" t="s">
        <v>486</v>
      </c>
      <c r="B1505">
        <v>2026</v>
      </c>
      <c r="C1505">
        <v>1</v>
      </c>
      <c r="D1505" t="s">
        <v>75</v>
      </c>
      <c r="E1505" t="s">
        <v>77</v>
      </c>
      <c r="F1505">
        <v>10.5</v>
      </c>
      <c r="G1505">
        <v>68.8</v>
      </c>
      <c r="H1505" t="s">
        <v>13</v>
      </c>
      <c r="I1505" t="str">
        <f t="shared" si="23"/>
        <v>Média</v>
      </c>
    </row>
    <row r="1506" spans="1:9">
      <c r="A1506" t="s">
        <v>494</v>
      </c>
      <c r="B1506">
        <v>2026</v>
      </c>
      <c r="C1506">
        <v>1</v>
      </c>
      <c r="D1506" t="s">
        <v>75</v>
      </c>
      <c r="E1506" t="s">
        <v>77</v>
      </c>
      <c r="F1506">
        <v>10.5</v>
      </c>
      <c r="G1506">
        <v>89.4</v>
      </c>
      <c r="H1506" t="s">
        <v>13</v>
      </c>
      <c r="I1506" t="str">
        <f t="shared" si="23"/>
        <v>Alta</v>
      </c>
    </row>
    <row r="1507" spans="1:9">
      <c r="A1507" t="s">
        <v>502</v>
      </c>
      <c r="B1507">
        <v>2026</v>
      </c>
      <c r="C1507">
        <v>1</v>
      </c>
      <c r="D1507" t="s">
        <v>139</v>
      </c>
      <c r="E1507" t="s">
        <v>141</v>
      </c>
      <c r="F1507">
        <v>10.5</v>
      </c>
      <c r="G1507">
        <v>57</v>
      </c>
      <c r="H1507" t="s">
        <v>13</v>
      </c>
      <c r="I1507" t="str">
        <f t="shared" si="23"/>
        <v>Média</v>
      </c>
    </row>
    <row r="1508" spans="1:9">
      <c r="A1508" t="s">
        <v>546</v>
      </c>
      <c r="B1508">
        <v>2026</v>
      </c>
      <c r="C1508">
        <v>1</v>
      </c>
      <c r="D1508" t="s">
        <v>139</v>
      </c>
      <c r="E1508" t="s">
        <v>141</v>
      </c>
      <c r="F1508">
        <v>10.5</v>
      </c>
      <c r="G1508">
        <v>54.2</v>
      </c>
      <c r="H1508" t="s">
        <v>13</v>
      </c>
      <c r="I1508" t="str">
        <f t="shared" si="23"/>
        <v>Média</v>
      </c>
    </row>
    <row r="1509" spans="1:9">
      <c r="A1509" t="s">
        <v>405</v>
      </c>
      <c r="B1509">
        <v>2026</v>
      </c>
      <c r="C1509">
        <v>2</v>
      </c>
      <c r="D1509" t="s">
        <v>9</v>
      </c>
      <c r="E1509" t="s">
        <v>12</v>
      </c>
      <c r="F1509">
        <v>10.5</v>
      </c>
      <c r="G1509">
        <v>83</v>
      </c>
      <c r="H1509" t="s">
        <v>13</v>
      </c>
      <c r="I1509" t="str">
        <f t="shared" si="23"/>
        <v>Alta</v>
      </c>
    </row>
    <row r="1510" spans="1:9">
      <c r="A1510" t="s">
        <v>407</v>
      </c>
      <c r="B1510">
        <v>2026</v>
      </c>
      <c r="C1510">
        <v>2</v>
      </c>
      <c r="D1510" t="s">
        <v>9</v>
      </c>
      <c r="E1510" t="s">
        <v>12</v>
      </c>
      <c r="F1510">
        <v>10.5</v>
      </c>
      <c r="G1510">
        <v>74.599999999999994</v>
      </c>
      <c r="H1510" t="s">
        <v>13</v>
      </c>
      <c r="I1510" t="str">
        <f t="shared" si="23"/>
        <v>Média</v>
      </c>
    </row>
    <row r="1511" spans="1:9">
      <c r="A1511" t="s">
        <v>435</v>
      </c>
      <c r="B1511">
        <v>2026</v>
      </c>
      <c r="C1511">
        <v>2</v>
      </c>
      <c r="D1511" t="s">
        <v>9</v>
      </c>
      <c r="E1511" t="s">
        <v>10</v>
      </c>
      <c r="F1511">
        <v>10.5</v>
      </c>
      <c r="G1511">
        <v>63.2</v>
      </c>
      <c r="H1511" t="s">
        <v>13</v>
      </c>
      <c r="I1511" t="str">
        <f t="shared" si="23"/>
        <v>Média</v>
      </c>
    </row>
    <row r="1512" spans="1:9">
      <c r="A1512" t="s">
        <v>520</v>
      </c>
      <c r="B1512">
        <v>2026</v>
      </c>
      <c r="C1512">
        <v>2</v>
      </c>
      <c r="D1512" t="s">
        <v>139</v>
      </c>
      <c r="E1512" t="s">
        <v>140</v>
      </c>
      <c r="F1512">
        <v>10.5</v>
      </c>
      <c r="G1512">
        <v>75.7</v>
      </c>
      <c r="H1512" t="s">
        <v>13</v>
      </c>
      <c r="I1512" t="str">
        <f t="shared" si="23"/>
        <v>Alta</v>
      </c>
    </row>
    <row r="1513" spans="1:9">
      <c r="A1513" t="s">
        <v>544</v>
      </c>
      <c r="B1513">
        <v>2026</v>
      </c>
      <c r="C1513">
        <v>2</v>
      </c>
      <c r="D1513" t="s">
        <v>139</v>
      </c>
      <c r="E1513" t="s">
        <v>140</v>
      </c>
      <c r="F1513">
        <v>10.5</v>
      </c>
      <c r="G1513">
        <v>73</v>
      </c>
      <c r="H1513" t="s">
        <v>13</v>
      </c>
      <c r="I1513" t="str">
        <f t="shared" si="23"/>
        <v>Média</v>
      </c>
    </row>
    <row r="1514" spans="1:9">
      <c r="A1514" t="s">
        <v>15</v>
      </c>
      <c r="B1514">
        <v>2024</v>
      </c>
      <c r="C1514">
        <v>1</v>
      </c>
      <c r="D1514" t="s">
        <v>9</v>
      </c>
      <c r="E1514" t="s">
        <v>14</v>
      </c>
      <c r="F1514">
        <v>10.6</v>
      </c>
      <c r="G1514">
        <v>64.2</v>
      </c>
      <c r="H1514" t="s">
        <v>13</v>
      </c>
      <c r="I1514" t="str">
        <f t="shared" si="23"/>
        <v>Média</v>
      </c>
    </row>
    <row r="1515" spans="1:9">
      <c r="A1515" t="s">
        <v>45</v>
      </c>
      <c r="B1515">
        <v>2024</v>
      </c>
      <c r="C1515">
        <v>1</v>
      </c>
      <c r="D1515" t="s">
        <v>9</v>
      </c>
      <c r="E1515" t="s">
        <v>10</v>
      </c>
      <c r="F1515">
        <v>10.6</v>
      </c>
      <c r="G1515">
        <v>95</v>
      </c>
      <c r="H1515" t="s">
        <v>13</v>
      </c>
      <c r="I1515" t="str">
        <f t="shared" si="23"/>
        <v>Alta</v>
      </c>
    </row>
    <row r="1516" spans="1:9">
      <c r="A1516" t="s">
        <v>51</v>
      </c>
      <c r="B1516">
        <v>2024</v>
      </c>
      <c r="C1516">
        <v>1</v>
      </c>
      <c r="D1516" t="s">
        <v>9</v>
      </c>
      <c r="E1516" t="s">
        <v>14</v>
      </c>
      <c r="F1516">
        <v>10.6</v>
      </c>
      <c r="G1516">
        <v>48.8</v>
      </c>
      <c r="H1516" t="s">
        <v>13</v>
      </c>
      <c r="I1516" t="str">
        <f t="shared" si="23"/>
        <v>Baixa</v>
      </c>
    </row>
    <row r="1517" spans="1:9">
      <c r="A1517" t="s">
        <v>57</v>
      </c>
      <c r="B1517">
        <v>2024</v>
      </c>
      <c r="C1517">
        <v>1</v>
      </c>
      <c r="D1517" t="s">
        <v>9</v>
      </c>
      <c r="E1517" t="s">
        <v>10</v>
      </c>
      <c r="F1517">
        <v>10.6</v>
      </c>
      <c r="G1517">
        <v>80.599999999999994</v>
      </c>
      <c r="H1517" t="s">
        <v>13</v>
      </c>
      <c r="I1517" t="str">
        <f t="shared" si="23"/>
        <v>Alta</v>
      </c>
    </row>
    <row r="1518" spans="1:9">
      <c r="A1518" t="s">
        <v>64</v>
      </c>
      <c r="B1518">
        <v>2024</v>
      </c>
      <c r="C1518">
        <v>1</v>
      </c>
      <c r="D1518" t="s">
        <v>9</v>
      </c>
      <c r="E1518" t="s">
        <v>14</v>
      </c>
      <c r="F1518">
        <v>10.6</v>
      </c>
      <c r="G1518">
        <v>52.9</v>
      </c>
      <c r="H1518" t="s">
        <v>13</v>
      </c>
      <c r="I1518" t="str">
        <f t="shared" si="23"/>
        <v>Média</v>
      </c>
    </row>
    <row r="1519" spans="1:9">
      <c r="A1519" t="s">
        <v>72</v>
      </c>
      <c r="B1519">
        <v>2024</v>
      </c>
      <c r="C1519">
        <v>1</v>
      </c>
      <c r="D1519" t="s">
        <v>9</v>
      </c>
      <c r="E1519" t="s">
        <v>12</v>
      </c>
      <c r="F1519">
        <v>10.6</v>
      </c>
      <c r="G1519">
        <v>91.7</v>
      </c>
      <c r="H1519" t="s">
        <v>13</v>
      </c>
      <c r="I1519" t="str">
        <f t="shared" si="23"/>
        <v>Alta</v>
      </c>
    </row>
    <row r="1520" spans="1:9">
      <c r="A1520" t="s">
        <v>72</v>
      </c>
      <c r="B1520">
        <v>2024</v>
      </c>
      <c r="C1520">
        <v>1</v>
      </c>
      <c r="D1520" t="s">
        <v>9</v>
      </c>
      <c r="E1520" t="s">
        <v>14</v>
      </c>
      <c r="F1520">
        <v>10.6</v>
      </c>
      <c r="G1520">
        <v>46.5</v>
      </c>
      <c r="H1520" t="s">
        <v>13</v>
      </c>
      <c r="I1520" t="str">
        <f t="shared" si="23"/>
        <v>Baixa</v>
      </c>
    </row>
    <row r="1521" spans="1:9">
      <c r="A1521" t="s">
        <v>178</v>
      </c>
      <c r="B1521">
        <v>2024</v>
      </c>
      <c r="C1521">
        <v>1</v>
      </c>
      <c r="D1521" t="s">
        <v>139</v>
      </c>
      <c r="E1521" t="s">
        <v>10</v>
      </c>
      <c r="F1521">
        <v>10.6</v>
      </c>
      <c r="G1521">
        <v>53</v>
      </c>
      <c r="H1521" t="s">
        <v>13</v>
      </c>
      <c r="I1521" t="str">
        <f t="shared" si="23"/>
        <v>Média</v>
      </c>
    </row>
    <row r="1522" spans="1:9">
      <c r="A1522" t="s">
        <v>187</v>
      </c>
      <c r="B1522">
        <v>2024</v>
      </c>
      <c r="C1522">
        <v>1</v>
      </c>
      <c r="D1522" t="s">
        <v>139</v>
      </c>
      <c r="E1522" t="s">
        <v>140</v>
      </c>
      <c r="F1522">
        <v>10.6</v>
      </c>
      <c r="G1522">
        <v>56.1</v>
      </c>
      <c r="H1522" t="s">
        <v>13</v>
      </c>
      <c r="I1522" t="str">
        <f t="shared" si="23"/>
        <v>Média</v>
      </c>
    </row>
    <row r="1523" spans="1:9">
      <c r="A1523" t="s">
        <v>16</v>
      </c>
      <c r="B1523">
        <v>2024</v>
      </c>
      <c r="C1523">
        <v>2</v>
      </c>
      <c r="D1523" t="s">
        <v>9</v>
      </c>
      <c r="E1523" t="s">
        <v>14</v>
      </c>
      <c r="F1523">
        <v>10.6</v>
      </c>
      <c r="G1523">
        <v>95.3</v>
      </c>
      <c r="H1523" t="s">
        <v>13</v>
      </c>
      <c r="I1523" t="str">
        <f t="shared" si="23"/>
        <v>Alta</v>
      </c>
    </row>
    <row r="1524" spans="1:9">
      <c r="A1524" t="s">
        <v>41</v>
      </c>
      <c r="B1524">
        <v>2024</v>
      </c>
      <c r="C1524">
        <v>2</v>
      </c>
      <c r="D1524" t="s">
        <v>9</v>
      </c>
      <c r="E1524" t="s">
        <v>10</v>
      </c>
      <c r="F1524">
        <v>10.6</v>
      </c>
      <c r="G1524">
        <v>58.8</v>
      </c>
      <c r="H1524" t="s">
        <v>13</v>
      </c>
      <c r="I1524" t="str">
        <f t="shared" si="23"/>
        <v>Média</v>
      </c>
    </row>
    <row r="1525" spans="1:9">
      <c r="A1525" t="s">
        <v>58</v>
      </c>
      <c r="B1525">
        <v>2024</v>
      </c>
      <c r="C1525">
        <v>2</v>
      </c>
      <c r="D1525" t="s">
        <v>9</v>
      </c>
      <c r="E1525" t="s">
        <v>14</v>
      </c>
      <c r="F1525">
        <v>10.6</v>
      </c>
      <c r="G1525">
        <v>57.6</v>
      </c>
      <c r="H1525" t="s">
        <v>13</v>
      </c>
      <c r="I1525" t="str">
        <f t="shared" si="23"/>
        <v>Média</v>
      </c>
    </row>
    <row r="1526" spans="1:9">
      <c r="A1526" t="s">
        <v>59</v>
      </c>
      <c r="B1526">
        <v>2024</v>
      </c>
      <c r="C1526">
        <v>2</v>
      </c>
      <c r="D1526" t="s">
        <v>9</v>
      </c>
      <c r="E1526" t="s">
        <v>12</v>
      </c>
      <c r="F1526">
        <v>10.6</v>
      </c>
      <c r="G1526">
        <v>63.5</v>
      </c>
      <c r="H1526" t="s">
        <v>13</v>
      </c>
      <c r="I1526" t="str">
        <f t="shared" si="23"/>
        <v>Média</v>
      </c>
    </row>
    <row r="1527" spans="1:9">
      <c r="A1527" t="s">
        <v>100</v>
      </c>
      <c r="B1527">
        <v>2024</v>
      </c>
      <c r="C1527">
        <v>2</v>
      </c>
      <c r="D1527" t="s">
        <v>75</v>
      </c>
      <c r="E1527" t="s">
        <v>77</v>
      </c>
      <c r="F1527">
        <v>10.6</v>
      </c>
      <c r="G1527">
        <v>91.4</v>
      </c>
      <c r="H1527" t="s">
        <v>13</v>
      </c>
      <c r="I1527" t="str">
        <f t="shared" si="23"/>
        <v>Alta</v>
      </c>
    </row>
    <row r="1528" spans="1:9">
      <c r="A1528" t="s">
        <v>131</v>
      </c>
      <c r="B1528">
        <v>2024</v>
      </c>
      <c r="C1528">
        <v>2</v>
      </c>
      <c r="D1528" t="s">
        <v>75</v>
      </c>
      <c r="E1528" t="s">
        <v>78</v>
      </c>
      <c r="F1528">
        <v>10.6</v>
      </c>
      <c r="G1528">
        <v>74.5</v>
      </c>
      <c r="H1528" t="s">
        <v>13</v>
      </c>
      <c r="I1528" t="str">
        <f t="shared" si="23"/>
        <v>Média</v>
      </c>
    </row>
    <row r="1529" spans="1:9">
      <c r="A1529" t="s">
        <v>169</v>
      </c>
      <c r="B1529">
        <v>2024</v>
      </c>
      <c r="C1529">
        <v>2</v>
      </c>
      <c r="D1529" t="s">
        <v>139</v>
      </c>
      <c r="E1529" t="s">
        <v>10</v>
      </c>
      <c r="F1529">
        <v>10.6</v>
      </c>
      <c r="G1529">
        <v>50</v>
      </c>
      <c r="H1529" t="s">
        <v>13</v>
      </c>
      <c r="I1529" t="str">
        <f t="shared" si="23"/>
        <v>Média</v>
      </c>
    </row>
    <row r="1530" spans="1:9">
      <c r="A1530" t="s">
        <v>212</v>
      </c>
      <c r="B1530">
        <v>2025</v>
      </c>
      <c r="C1530">
        <v>1</v>
      </c>
      <c r="D1530" t="s">
        <v>9</v>
      </c>
      <c r="E1530" t="s">
        <v>10</v>
      </c>
      <c r="F1530">
        <v>10.6</v>
      </c>
      <c r="G1530">
        <v>91.1</v>
      </c>
      <c r="H1530" t="s">
        <v>13</v>
      </c>
      <c r="I1530" t="str">
        <f t="shared" si="23"/>
        <v>Alta</v>
      </c>
    </row>
    <row r="1531" spans="1:9">
      <c r="A1531" t="s">
        <v>215</v>
      </c>
      <c r="B1531">
        <v>2025</v>
      </c>
      <c r="C1531">
        <v>1</v>
      </c>
      <c r="D1531" t="s">
        <v>9</v>
      </c>
      <c r="E1531" t="s">
        <v>14</v>
      </c>
      <c r="F1531">
        <v>10.6</v>
      </c>
      <c r="G1531">
        <v>89.3</v>
      </c>
      <c r="H1531" t="s">
        <v>13</v>
      </c>
      <c r="I1531" t="str">
        <f t="shared" si="23"/>
        <v>Alta</v>
      </c>
    </row>
    <row r="1532" spans="1:9">
      <c r="A1532" t="s">
        <v>245</v>
      </c>
      <c r="B1532">
        <v>2025</v>
      </c>
      <c r="C1532">
        <v>1</v>
      </c>
      <c r="D1532" t="s">
        <v>9</v>
      </c>
      <c r="E1532" t="s">
        <v>12</v>
      </c>
      <c r="F1532">
        <v>10.6</v>
      </c>
      <c r="G1532">
        <v>83.8</v>
      </c>
      <c r="H1532" t="s">
        <v>13</v>
      </c>
      <c r="I1532" t="str">
        <f t="shared" si="23"/>
        <v>Alta</v>
      </c>
    </row>
    <row r="1533" spans="1:9">
      <c r="A1533" t="s">
        <v>256</v>
      </c>
      <c r="B1533">
        <v>2025</v>
      </c>
      <c r="C1533">
        <v>1</v>
      </c>
      <c r="D1533" t="s">
        <v>9</v>
      </c>
      <c r="E1533" t="s">
        <v>14</v>
      </c>
      <c r="F1533">
        <v>10.6</v>
      </c>
      <c r="G1533">
        <v>81.3</v>
      </c>
      <c r="H1533" t="s">
        <v>13</v>
      </c>
      <c r="I1533" t="str">
        <f t="shared" si="23"/>
        <v>Alta</v>
      </c>
    </row>
    <row r="1534" spans="1:9">
      <c r="A1534" t="s">
        <v>355</v>
      </c>
      <c r="B1534">
        <v>2025</v>
      </c>
      <c r="C1534">
        <v>1</v>
      </c>
      <c r="D1534" t="s">
        <v>139</v>
      </c>
      <c r="E1534" t="s">
        <v>140</v>
      </c>
      <c r="F1534">
        <v>10.6</v>
      </c>
      <c r="G1534">
        <v>68</v>
      </c>
      <c r="H1534" t="s">
        <v>13</v>
      </c>
      <c r="I1534" t="str">
        <f t="shared" si="23"/>
        <v>Média</v>
      </c>
    </row>
    <row r="1535" spans="1:9">
      <c r="A1535" t="s">
        <v>365</v>
      </c>
      <c r="B1535">
        <v>2025</v>
      </c>
      <c r="C1535">
        <v>1</v>
      </c>
      <c r="D1535" t="s">
        <v>139</v>
      </c>
      <c r="E1535" t="s">
        <v>140</v>
      </c>
      <c r="F1535">
        <v>10.6</v>
      </c>
      <c r="G1535">
        <v>97.3</v>
      </c>
      <c r="H1535" t="s">
        <v>13</v>
      </c>
      <c r="I1535" t="str">
        <f t="shared" si="23"/>
        <v>Alta</v>
      </c>
    </row>
    <row r="1536" spans="1:9">
      <c r="A1536" t="s">
        <v>217</v>
      </c>
      <c r="B1536">
        <v>2025</v>
      </c>
      <c r="C1536">
        <v>2</v>
      </c>
      <c r="D1536" t="s">
        <v>9</v>
      </c>
      <c r="E1536" t="s">
        <v>14</v>
      </c>
      <c r="F1536">
        <v>10.6</v>
      </c>
      <c r="G1536">
        <v>60.4</v>
      </c>
      <c r="H1536" t="s">
        <v>13</v>
      </c>
      <c r="I1536" t="str">
        <f t="shared" si="23"/>
        <v>Média</v>
      </c>
    </row>
    <row r="1537" spans="1:9">
      <c r="A1537" t="s">
        <v>244</v>
      </c>
      <c r="B1537">
        <v>2025</v>
      </c>
      <c r="C1537">
        <v>2</v>
      </c>
      <c r="D1537" t="s">
        <v>9</v>
      </c>
      <c r="E1537" t="s">
        <v>14</v>
      </c>
      <c r="F1537">
        <v>10.6</v>
      </c>
      <c r="G1537">
        <v>91.3</v>
      </c>
      <c r="H1537" t="s">
        <v>13</v>
      </c>
      <c r="I1537" t="str">
        <f t="shared" si="23"/>
        <v>Alta</v>
      </c>
    </row>
    <row r="1538" spans="1:9">
      <c r="A1538" t="s">
        <v>247</v>
      </c>
      <c r="B1538">
        <v>2025</v>
      </c>
      <c r="C1538">
        <v>2</v>
      </c>
      <c r="D1538" t="s">
        <v>9</v>
      </c>
      <c r="E1538" t="s">
        <v>12</v>
      </c>
      <c r="F1538">
        <v>10.6</v>
      </c>
      <c r="G1538">
        <v>93.4</v>
      </c>
      <c r="H1538" t="s">
        <v>13</v>
      </c>
      <c r="I1538" t="str">
        <f t="shared" ref="I1538:I1601" si="24">IF(G1538&lt;50,"Baixa",IF(G1538&lt;75,"Média","Alta"))</f>
        <v>Alta</v>
      </c>
    </row>
    <row r="1539" spans="1:9">
      <c r="A1539" t="s">
        <v>250</v>
      </c>
      <c r="B1539">
        <v>2025</v>
      </c>
      <c r="C1539">
        <v>2</v>
      </c>
      <c r="D1539" t="s">
        <v>9</v>
      </c>
      <c r="E1539" t="s">
        <v>10</v>
      </c>
      <c r="F1539">
        <v>10.6</v>
      </c>
      <c r="G1539">
        <v>75.7</v>
      </c>
      <c r="H1539" t="s">
        <v>13</v>
      </c>
      <c r="I1539" t="str">
        <f t="shared" si="24"/>
        <v>Alta</v>
      </c>
    </row>
    <row r="1540" spans="1:9">
      <c r="A1540" t="s">
        <v>251</v>
      </c>
      <c r="B1540">
        <v>2025</v>
      </c>
      <c r="C1540">
        <v>2</v>
      </c>
      <c r="D1540" t="s">
        <v>9</v>
      </c>
      <c r="E1540" t="s">
        <v>10</v>
      </c>
      <c r="F1540">
        <v>10.6</v>
      </c>
      <c r="G1540">
        <v>77.900000000000006</v>
      </c>
      <c r="H1540" t="s">
        <v>13</v>
      </c>
      <c r="I1540" t="str">
        <f t="shared" si="24"/>
        <v>Alta</v>
      </c>
    </row>
    <row r="1541" spans="1:9">
      <c r="A1541" t="s">
        <v>386</v>
      </c>
      <c r="B1541">
        <v>2026</v>
      </c>
      <c r="C1541">
        <v>1</v>
      </c>
      <c r="D1541" t="s">
        <v>9</v>
      </c>
      <c r="E1541" t="s">
        <v>14</v>
      </c>
      <c r="F1541">
        <v>10.6</v>
      </c>
      <c r="G1541">
        <v>60</v>
      </c>
      <c r="H1541" t="s">
        <v>13</v>
      </c>
      <c r="I1541" t="str">
        <f t="shared" si="24"/>
        <v>Média</v>
      </c>
    </row>
    <row r="1542" spans="1:9">
      <c r="A1542" t="s">
        <v>398</v>
      </c>
      <c r="B1542">
        <v>2026</v>
      </c>
      <c r="C1542">
        <v>1</v>
      </c>
      <c r="D1542" t="s">
        <v>9</v>
      </c>
      <c r="E1542" t="s">
        <v>14</v>
      </c>
      <c r="F1542">
        <v>10.6</v>
      </c>
      <c r="G1542">
        <v>57.5</v>
      </c>
      <c r="H1542" t="s">
        <v>13</v>
      </c>
      <c r="I1542" t="str">
        <f t="shared" si="24"/>
        <v>Média</v>
      </c>
    </row>
    <row r="1543" spans="1:9">
      <c r="A1543" t="s">
        <v>449</v>
      </c>
      <c r="B1543">
        <v>2026</v>
      </c>
      <c r="C1543">
        <v>1</v>
      </c>
      <c r="D1543" t="s">
        <v>75</v>
      </c>
      <c r="E1543" t="s">
        <v>78</v>
      </c>
      <c r="F1543">
        <v>10.6</v>
      </c>
      <c r="G1543">
        <v>50.8</v>
      </c>
      <c r="H1543" t="s">
        <v>13</v>
      </c>
      <c r="I1543" t="str">
        <f t="shared" si="24"/>
        <v>Média</v>
      </c>
    </row>
    <row r="1544" spans="1:9">
      <c r="A1544" t="s">
        <v>460</v>
      </c>
      <c r="B1544">
        <v>2026</v>
      </c>
      <c r="C1544">
        <v>1</v>
      </c>
      <c r="D1544" t="s">
        <v>75</v>
      </c>
      <c r="E1544" t="s">
        <v>78</v>
      </c>
      <c r="F1544">
        <v>10.6</v>
      </c>
      <c r="G1544">
        <v>45.8</v>
      </c>
      <c r="H1544" t="s">
        <v>13</v>
      </c>
      <c r="I1544" t="str">
        <f t="shared" si="24"/>
        <v>Baixa</v>
      </c>
    </row>
    <row r="1545" spans="1:9">
      <c r="A1545" t="s">
        <v>382</v>
      </c>
      <c r="B1545">
        <v>2026</v>
      </c>
      <c r="C1545">
        <v>2</v>
      </c>
      <c r="D1545" t="s">
        <v>9</v>
      </c>
      <c r="E1545" t="s">
        <v>14</v>
      </c>
      <c r="F1545">
        <v>10.6</v>
      </c>
      <c r="G1545">
        <v>89.1</v>
      </c>
      <c r="H1545" t="s">
        <v>13</v>
      </c>
      <c r="I1545" t="str">
        <f t="shared" si="24"/>
        <v>Alta</v>
      </c>
    </row>
    <row r="1546" spans="1:9">
      <c r="A1546" t="s">
        <v>395</v>
      </c>
      <c r="B1546">
        <v>2026</v>
      </c>
      <c r="C1546">
        <v>2</v>
      </c>
      <c r="D1546" t="s">
        <v>9</v>
      </c>
      <c r="E1546" t="s">
        <v>12</v>
      </c>
      <c r="F1546">
        <v>10.6</v>
      </c>
      <c r="G1546">
        <v>68.7</v>
      </c>
      <c r="H1546" t="s">
        <v>13</v>
      </c>
      <c r="I1546" t="str">
        <f t="shared" si="24"/>
        <v>Média</v>
      </c>
    </row>
    <row r="1547" spans="1:9">
      <c r="A1547" t="s">
        <v>405</v>
      </c>
      <c r="B1547">
        <v>2026</v>
      </c>
      <c r="C1547">
        <v>2</v>
      </c>
      <c r="D1547" t="s">
        <v>9</v>
      </c>
      <c r="E1547" t="s">
        <v>14</v>
      </c>
      <c r="F1547">
        <v>10.6</v>
      </c>
      <c r="G1547">
        <v>53</v>
      </c>
      <c r="H1547" t="s">
        <v>13</v>
      </c>
      <c r="I1547" t="str">
        <f t="shared" si="24"/>
        <v>Média</v>
      </c>
    </row>
    <row r="1548" spans="1:9">
      <c r="A1548" t="s">
        <v>426</v>
      </c>
      <c r="B1548">
        <v>2026</v>
      </c>
      <c r="C1548">
        <v>2</v>
      </c>
      <c r="D1548" t="s">
        <v>9</v>
      </c>
      <c r="E1548" t="s">
        <v>12</v>
      </c>
      <c r="F1548">
        <v>10.6</v>
      </c>
      <c r="G1548">
        <v>93.6</v>
      </c>
      <c r="H1548" t="s">
        <v>13</v>
      </c>
      <c r="I1548" t="str">
        <f t="shared" si="24"/>
        <v>Alta</v>
      </c>
    </row>
    <row r="1549" spans="1:9">
      <c r="A1549" t="s">
        <v>449</v>
      </c>
      <c r="B1549">
        <v>2026</v>
      </c>
      <c r="C1549">
        <v>2</v>
      </c>
      <c r="D1549" t="s">
        <v>75</v>
      </c>
      <c r="E1549" t="s">
        <v>78</v>
      </c>
      <c r="F1549">
        <v>10.6</v>
      </c>
      <c r="G1549">
        <v>69.099999999999994</v>
      </c>
      <c r="H1549" t="s">
        <v>13</v>
      </c>
      <c r="I1549" t="str">
        <f t="shared" si="24"/>
        <v>Média</v>
      </c>
    </row>
    <row r="1550" spans="1:9">
      <c r="A1550" t="s">
        <v>479</v>
      </c>
      <c r="B1550">
        <v>2026</v>
      </c>
      <c r="C1550">
        <v>2</v>
      </c>
      <c r="D1550" t="s">
        <v>75</v>
      </c>
      <c r="E1550" t="s">
        <v>77</v>
      </c>
      <c r="F1550">
        <v>10.6</v>
      </c>
      <c r="G1550">
        <v>65.400000000000006</v>
      </c>
      <c r="H1550" t="s">
        <v>13</v>
      </c>
      <c r="I1550" t="str">
        <f t="shared" si="24"/>
        <v>Média</v>
      </c>
    </row>
    <row r="1551" spans="1:9">
      <c r="A1551" t="s">
        <v>499</v>
      </c>
      <c r="B1551">
        <v>2026</v>
      </c>
      <c r="C1551">
        <v>2</v>
      </c>
      <c r="D1551" t="s">
        <v>75</v>
      </c>
      <c r="E1551" t="s">
        <v>76</v>
      </c>
      <c r="F1551">
        <v>10.6</v>
      </c>
      <c r="G1551">
        <v>84.1</v>
      </c>
      <c r="H1551" t="s">
        <v>13</v>
      </c>
      <c r="I1551" t="str">
        <f t="shared" si="24"/>
        <v>Alta</v>
      </c>
    </row>
    <row r="1552" spans="1:9">
      <c r="A1552" t="s">
        <v>513</v>
      </c>
      <c r="B1552">
        <v>2026</v>
      </c>
      <c r="C1552">
        <v>2</v>
      </c>
      <c r="D1552" t="s">
        <v>139</v>
      </c>
      <c r="E1552" t="s">
        <v>140</v>
      </c>
      <c r="F1552">
        <v>10.6</v>
      </c>
      <c r="G1552">
        <v>74.099999999999994</v>
      </c>
      <c r="H1552" t="s">
        <v>13</v>
      </c>
      <c r="I1552" t="str">
        <f t="shared" si="24"/>
        <v>Média</v>
      </c>
    </row>
    <row r="1553" spans="1:9">
      <c r="A1553" t="s">
        <v>515</v>
      </c>
      <c r="B1553">
        <v>2026</v>
      </c>
      <c r="C1553">
        <v>2</v>
      </c>
      <c r="D1553" t="s">
        <v>139</v>
      </c>
      <c r="E1553" t="s">
        <v>10</v>
      </c>
      <c r="F1553">
        <v>10.6</v>
      </c>
      <c r="G1553">
        <v>49.2</v>
      </c>
      <c r="H1553" t="s">
        <v>13</v>
      </c>
      <c r="I1553" t="str">
        <f t="shared" si="24"/>
        <v>Baixa</v>
      </c>
    </row>
    <row r="1554" spans="1:9">
      <c r="A1554" t="s">
        <v>540</v>
      </c>
      <c r="B1554">
        <v>2026</v>
      </c>
      <c r="C1554">
        <v>2</v>
      </c>
      <c r="D1554" t="s">
        <v>139</v>
      </c>
      <c r="E1554" t="s">
        <v>140</v>
      </c>
      <c r="F1554">
        <v>10.6</v>
      </c>
      <c r="G1554">
        <v>49.6</v>
      </c>
      <c r="H1554" t="s">
        <v>13</v>
      </c>
      <c r="I1554" t="str">
        <f t="shared" si="24"/>
        <v>Baixa</v>
      </c>
    </row>
    <row r="1555" spans="1:9">
      <c r="A1555" t="s">
        <v>18</v>
      </c>
      <c r="B1555">
        <v>2024</v>
      </c>
      <c r="C1555">
        <v>1</v>
      </c>
      <c r="D1555" t="s">
        <v>9</v>
      </c>
      <c r="E1555" t="s">
        <v>10</v>
      </c>
      <c r="F1555">
        <v>10.7</v>
      </c>
      <c r="G1555">
        <v>82.1</v>
      </c>
      <c r="H1555" t="s">
        <v>13</v>
      </c>
      <c r="I1555" t="str">
        <f t="shared" si="24"/>
        <v>Alta</v>
      </c>
    </row>
    <row r="1556" spans="1:9">
      <c r="A1556" t="s">
        <v>109</v>
      </c>
      <c r="B1556">
        <v>2024</v>
      </c>
      <c r="C1556">
        <v>1</v>
      </c>
      <c r="D1556" t="s">
        <v>75</v>
      </c>
      <c r="E1556" t="s">
        <v>78</v>
      </c>
      <c r="F1556">
        <v>10.7</v>
      </c>
      <c r="G1556">
        <v>70</v>
      </c>
      <c r="H1556" t="s">
        <v>13</v>
      </c>
      <c r="I1556" t="str">
        <f t="shared" si="24"/>
        <v>Média</v>
      </c>
    </row>
    <row r="1557" spans="1:9">
      <c r="A1557" t="s">
        <v>124</v>
      </c>
      <c r="B1557">
        <v>2024</v>
      </c>
      <c r="C1557">
        <v>1</v>
      </c>
      <c r="D1557" t="s">
        <v>75</v>
      </c>
      <c r="E1557" t="s">
        <v>78</v>
      </c>
      <c r="F1557">
        <v>10.7</v>
      </c>
      <c r="G1557">
        <v>67.8</v>
      </c>
      <c r="H1557" t="s">
        <v>13</v>
      </c>
      <c r="I1557" t="str">
        <f t="shared" si="24"/>
        <v>Média</v>
      </c>
    </row>
    <row r="1558" spans="1:9">
      <c r="A1558" t="s">
        <v>166</v>
      </c>
      <c r="B1558">
        <v>2024</v>
      </c>
      <c r="C1558">
        <v>1</v>
      </c>
      <c r="D1558" t="s">
        <v>139</v>
      </c>
      <c r="E1558" t="s">
        <v>141</v>
      </c>
      <c r="F1558">
        <v>10.7</v>
      </c>
      <c r="G1558">
        <v>77.3</v>
      </c>
      <c r="H1558" t="s">
        <v>13</v>
      </c>
      <c r="I1558" t="str">
        <f t="shared" si="24"/>
        <v>Alta</v>
      </c>
    </row>
    <row r="1559" spans="1:9">
      <c r="A1559" t="s">
        <v>185</v>
      </c>
      <c r="B1559">
        <v>2024</v>
      </c>
      <c r="C1559">
        <v>1</v>
      </c>
      <c r="D1559" t="s">
        <v>139</v>
      </c>
      <c r="E1559" t="s">
        <v>141</v>
      </c>
      <c r="F1559">
        <v>10.7</v>
      </c>
      <c r="G1559">
        <v>64.900000000000006</v>
      </c>
      <c r="H1559" t="s">
        <v>13</v>
      </c>
      <c r="I1559" t="str">
        <f t="shared" si="24"/>
        <v>Média</v>
      </c>
    </row>
    <row r="1560" spans="1:9">
      <c r="A1560" t="s">
        <v>23</v>
      </c>
      <c r="B1560">
        <v>2024</v>
      </c>
      <c r="C1560">
        <v>2</v>
      </c>
      <c r="D1560" t="s">
        <v>9</v>
      </c>
      <c r="E1560" t="s">
        <v>10</v>
      </c>
      <c r="F1560">
        <v>10.7</v>
      </c>
      <c r="G1560">
        <v>88.7</v>
      </c>
      <c r="H1560" t="s">
        <v>13</v>
      </c>
      <c r="I1560" t="str">
        <f t="shared" si="24"/>
        <v>Alta</v>
      </c>
    </row>
    <row r="1561" spans="1:9">
      <c r="A1561" t="s">
        <v>24</v>
      </c>
      <c r="B1561">
        <v>2024</v>
      </c>
      <c r="C1561">
        <v>2</v>
      </c>
      <c r="D1561" t="s">
        <v>9</v>
      </c>
      <c r="E1561" t="s">
        <v>10</v>
      </c>
      <c r="F1561">
        <v>10.7</v>
      </c>
      <c r="G1561">
        <v>54.3</v>
      </c>
      <c r="H1561" t="s">
        <v>13</v>
      </c>
      <c r="I1561" t="str">
        <f t="shared" si="24"/>
        <v>Média</v>
      </c>
    </row>
    <row r="1562" spans="1:9">
      <c r="A1562" t="s">
        <v>37</v>
      </c>
      <c r="B1562">
        <v>2024</v>
      </c>
      <c r="C1562">
        <v>2</v>
      </c>
      <c r="D1562" t="s">
        <v>9</v>
      </c>
      <c r="E1562" t="s">
        <v>14</v>
      </c>
      <c r="F1562">
        <v>10.7</v>
      </c>
      <c r="G1562">
        <v>46.1</v>
      </c>
      <c r="H1562" t="s">
        <v>13</v>
      </c>
      <c r="I1562" t="str">
        <f t="shared" si="24"/>
        <v>Baixa</v>
      </c>
    </row>
    <row r="1563" spans="1:9">
      <c r="A1563" t="s">
        <v>89</v>
      </c>
      <c r="B1563">
        <v>2024</v>
      </c>
      <c r="C1563">
        <v>2</v>
      </c>
      <c r="D1563" t="s">
        <v>75</v>
      </c>
      <c r="E1563" t="s">
        <v>78</v>
      </c>
      <c r="F1563">
        <v>10.7</v>
      </c>
      <c r="G1563">
        <v>62.2</v>
      </c>
      <c r="H1563" t="s">
        <v>13</v>
      </c>
      <c r="I1563" t="str">
        <f t="shared" si="24"/>
        <v>Média</v>
      </c>
    </row>
    <row r="1564" spans="1:9">
      <c r="A1564" t="s">
        <v>155</v>
      </c>
      <c r="B1564">
        <v>2024</v>
      </c>
      <c r="C1564">
        <v>2</v>
      </c>
      <c r="D1564" t="s">
        <v>139</v>
      </c>
      <c r="E1564" t="s">
        <v>141</v>
      </c>
      <c r="F1564">
        <v>10.7</v>
      </c>
      <c r="G1564">
        <v>83.4</v>
      </c>
      <c r="H1564" t="s">
        <v>13</v>
      </c>
      <c r="I1564" t="str">
        <f t="shared" si="24"/>
        <v>Alta</v>
      </c>
    </row>
    <row r="1565" spans="1:9">
      <c r="A1565" t="s">
        <v>160</v>
      </c>
      <c r="B1565">
        <v>2024</v>
      </c>
      <c r="C1565">
        <v>2</v>
      </c>
      <c r="D1565" t="s">
        <v>139</v>
      </c>
      <c r="E1565" t="s">
        <v>10</v>
      </c>
      <c r="F1565">
        <v>10.7</v>
      </c>
      <c r="G1565">
        <v>55</v>
      </c>
      <c r="H1565" t="s">
        <v>13</v>
      </c>
      <c r="I1565" t="str">
        <f t="shared" si="24"/>
        <v>Média</v>
      </c>
    </row>
    <row r="1566" spans="1:9">
      <c r="A1566" t="s">
        <v>164</v>
      </c>
      <c r="B1566">
        <v>2024</v>
      </c>
      <c r="C1566">
        <v>2</v>
      </c>
      <c r="D1566" t="s">
        <v>139</v>
      </c>
      <c r="E1566" t="s">
        <v>141</v>
      </c>
      <c r="F1566">
        <v>10.7</v>
      </c>
      <c r="G1566">
        <v>55.1</v>
      </c>
      <c r="H1566" t="s">
        <v>13</v>
      </c>
      <c r="I1566" t="str">
        <f t="shared" si="24"/>
        <v>Média</v>
      </c>
    </row>
    <row r="1567" spans="1:9">
      <c r="A1567" t="s">
        <v>177</v>
      </c>
      <c r="B1567">
        <v>2024</v>
      </c>
      <c r="C1567">
        <v>2</v>
      </c>
      <c r="D1567" t="s">
        <v>139</v>
      </c>
      <c r="E1567" t="s">
        <v>10</v>
      </c>
      <c r="F1567">
        <v>10.7</v>
      </c>
      <c r="G1567">
        <v>46.5</v>
      </c>
      <c r="H1567" t="s">
        <v>13</v>
      </c>
      <c r="I1567" t="str">
        <f t="shared" si="24"/>
        <v>Baixa</v>
      </c>
    </row>
    <row r="1568" spans="1:9">
      <c r="A1568" t="s">
        <v>243</v>
      </c>
      <c r="B1568">
        <v>2025</v>
      </c>
      <c r="C1568">
        <v>1</v>
      </c>
      <c r="D1568" t="s">
        <v>9</v>
      </c>
      <c r="E1568" t="s">
        <v>12</v>
      </c>
      <c r="F1568">
        <v>10.7</v>
      </c>
      <c r="G1568">
        <v>99.8</v>
      </c>
      <c r="H1568" t="s">
        <v>13</v>
      </c>
      <c r="I1568" t="str">
        <f t="shared" si="24"/>
        <v>Alta</v>
      </c>
    </row>
    <row r="1569" spans="1:9">
      <c r="A1569" t="s">
        <v>269</v>
      </c>
      <c r="B1569">
        <v>2025</v>
      </c>
      <c r="C1569">
        <v>1</v>
      </c>
      <c r="D1569" t="s">
        <v>75</v>
      </c>
      <c r="E1569" t="s">
        <v>76</v>
      </c>
      <c r="F1569">
        <v>10.7</v>
      </c>
      <c r="G1569">
        <v>97.4</v>
      </c>
      <c r="H1569" t="s">
        <v>13</v>
      </c>
      <c r="I1569" t="str">
        <f t="shared" si="24"/>
        <v>Alta</v>
      </c>
    </row>
    <row r="1570" spans="1:9">
      <c r="A1570" t="s">
        <v>334</v>
      </c>
      <c r="B1570">
        <v>2025</v>
      </c>
      <c r="C1570">
        <v>1</v>
      </c>
      <c r="D1570" t="s">
        <v>139</v>
      </c>
      <c r="E1570" t="s">
        <v>140</v>
      </c>
      <c r="F1570">
        <v>10.7</v>
      </c>
      <c r="G1570">
        <v>79</v>
      </c>
      <c r="H1570" t="s">
        <v>13</v>
      </c>
      <c r="I1570" t="str">
        <f t="shared" si="24"/>
        <v>Alta</v>
      </c>
    </row>
    <row r="1571" spans="1:9">
      <c r="A1571" t="s">
        <v>289</v>
      </c>
      <c r="B1571">
        <v>2025</v>
      </c>
      <c r="C1571">
        <v>2</v>
      </c>
      <c r="D1571" t="s">
        <v>75</v>
      </c>
      <c r="E1571" t="s">
        <v>78</v>
      </c>
      <c r="F1571">
        <v>10.7</v>
      </c>
      <c r="G1571">
        <v>62.2</v>
      </c>
      <c r="H1571" t="s">
        <v>13</v>
      </c>
      <c r="I1571" t="str">
        <f t="shared" si="24"/>
        <v>Média</v>
      </c>
    </row>
    <row r="1572" spans="1:9">
      <c r="A1572" t="s">
        <v>300</v>
      </c>
      <c r="B1572">
        <v>2025</v>
      </c>
      <c r="C1572">
        <v>2</v>
      </c>
      <c r="D1572" t="s">
        <v>75</v>
      </c>
      <c r="E1572" t="s">
        <v>78</v>
      </c>
      <c r="F1572">
        <v>10.7</v>
      </c>
      <c r="G1572">
        <v>83.4</v>
      </c>
      <c r="H1572" t="s">
        <v>13</v>
      </c>
      <c r="I1572" t="str">
        <f t="shared" si="24"/>
        <v>Alta</v>
      </c>
    </row>
    <row r="1573" spans="1:9">
      <c r="A1573" t="s">
        <v>319</v>
      </c>
      <c r="B1573">
        <v>2025</v>
      </c>
      <c r="C1573">
        <v>2</v>
      </c>
      <c r="D1573" t="s">
        <v>75</v>
      </c>
      <c r="E1573" t="s">
        <v>78</v>
      </c>
      <c r="F1573">
        <v>10.7</v>
      </c>
      <c r="G1573">
        <v>68.8</v>
      </c>
      <c r="H1573" t="s">
        <v>13</v>
      </c>
      <c r="I1573" t="str">
        <f t="shared" si="24"/>
        <v>Média</v>
      </c>
    </row>
    <row r="1574" spans="1:9">
      <c r="A1574" t="s">
        <v>320</v>
      </c>
      <c r="B1574">
        <v>2025</v>
      </c>
      <c r="C1574">
        <v>2</v>
      </c>
      <c r="D1574" t="s">
        <v>75</v>
      </c>
      <c r="E1574" t="s">
        <v>76</v>
      </c>
      <c r="F1574">
        <v>10.7</v>
      </c>
      <c r="G1574">
        <v>60.1</v>
      </c>
      <c r="H1574" t="s">
        <v>13</v>
      </c>
      <c r="I1574" t="str">
        <f t="shared" si="24"/>
        <v>Média</v>
      </c>
    </row>
    <row r="1575" spans="1:9">
      <c r="A1575" t="s">
        <v>394</v>
      </c>
      <c r="B1575">
        <v>2026</v>
      </c>
      <c r="C1575">
        <v>1</v>
      </c>
      <c r="D1575" t="s">
        <v>9</v>
      </c>
      <c r="E1575" t="s">
        <v>12</v>
      </c>
      <c r="F1575">
        <v>10.7</v>
      </c>
      <c r="G1575">
        <v>60.3</v>
      </c>
      <c r="H1575" t="s">
        <v>13</v>
      </c>
      <c r="I1575" t="str">
        <f t="shared" si="24"/>
        <v>Média</v>
      </c>
    </row>
    <row r="1576" spans="1:9">
      <c r="A1576" t="s">
        <v>401</v>
      </c>
      <c r="B1576">
        <v>2026</v>
      </c>
      <c r="C1576">
        <v>1</v>
      </c>
      <c r="D1576" t="s">
        <v>9</v>
      </c>
      <c r="E1576" t="s">
        <v>10</v>
      </c>
      <c r="F1576">
        <v>10.7</v>
      </c>
      <c r="G1576">
        <v>76.5</v>
      </c>
      <c r="H1576" t="s">
        <v>13</v>
      </c>
      <c r="I1576" t="str">
        <f t="shared" si="24"/>
        <v>Alta</v>
      </c>
    </row>
    <row r="1577" spans="1:9">
      <c r="A1577" t="s">
        <v>437</v>
      </c>
      <c r="B1577">
        <v>2026</v>
      </c>
      <c r="C1577">
        <v>1</v>
      </c>
      <c r="D1577" t="s">
        <v>9</v>
      </c>
      <c r="E1577" t="s">
        <v>14</v>
      </c>
      <c r="F1577">
        <v>10.7</v>
      </c>
      <c r="G1577">
        <v>59.6</v>
      </c>
      <c r="H1577" t="s">
        <v>13</v>
      </c>
      <c r="I1577" t="str">
        <f t="shared" si="24"/>
        <v>Média</v>
      </c>
    </row>
    <row r="1578" spans="1:9">
      <c r="A1578" t="s">
        <v>453</v>
      </c>
      <c r="B1578">
        <v>2026</v>
      </c>
      <c r="C1578">
        <v>1</v>
      </c>
      <c r="D1578" t="s">
        <v>75</v>
      </c>
      <c r="E1578" t="s">
        <v>77</v>
      </c>
      <c r="F1578">
        <v>10.7</v>
      </c>
      <c r="G1578">
        <v>65.3</v>
      </c>
      <c r="H1578" t="s">
        <v>13</v>
      </c>
      <c r="I1578" t="str">
        <f t="shared" si="24"/>
        <v>Média</v>
      </c>
    </row>
    <row r="1579" spans="1:9">
      <c r="A1579" t="s">
        <v>545</v>
      </c>
      <c r="B1579">
        <v>2026</v>
      </c>
      <c r="C1579">
        <v>1</v>
      </c>
      <c r="D1579" t="s">
        <v>139</v>
      </c>
      <c r="E1579" t="s">
        <v>10</v>
      </c>
      <c r="F1579">
        <v>10.7</v>
      </c>
      <c r="G1579">
        <v>78</v>
      </c>
      <c r="H1579" t="s">
        <v>13</v>
      </c>
      <c r="I1579" t="str">
        <f t="shared" si="24"/>
        <v>Alta</v>
      </c>
    </row>
    <row r="1580" spans="1:9">
      <c r="A1580" t="s">
        <v>548</v>
      </c>
      <c r="B1580">
        <v>2026</v>
      </c>
      <c r="C1580">
        <v>1</v>
      </c>
      <c r="D1580" t="s">
        <v>139</v>
      </c>
      <c r="E1580" t="s">
        <v>141</v>
      </c>
      <c r="F1580">
        <v>10.7</v>
      </c>
      <c r="G1580">
        <v>53.9</v>
      </c>
      <c r="H1580" t="s">
        <v>13</v>
      </c>
      <c r="I1580" t="str">
        <f t="shared" si="24"/>
        <v>Média</v>
      </c>
    </row>
    <row r="1581" spans="1:9">
      <c r="A1581" t="s">
        <v>422</v>
      </c>
      <c r="B1581">
        <v>2026</v>
      </c>
      <c r="C1581">
        <v>2</v>
      </c>
      <c r="D1581" t="s">
        <v>9</v>
      </c>
      <c r="E1581" t="s">
        <v>12</v>
      </c>
      <c r="F1581">
        <v>10.7</v>
      </c>
      <c r="G1581">
        <v>58.2</v>
      </c>
      <c r="H1581" t="s">
        <v>13</v>
      </c>
      <c r="I1581" t="str">
        <f t="shared" si="24"/>
        <v>Média</v>
      </c>
    </row>
    <row r="1582" spans="1:9">
      <c r="A1582" t="s">
        <v>435</v>
      </c>
      <c r="B1582">
        <v>2026</v>
      </c>
      <c r="C1582">
        <v>2</v>
      </c>
      <c r="D1582" t="s">
        <v>9</v>
      </c>
      <c r="E1582" t="s">
        <v>14</v>
      </c>
      <c r="F1582">
        <v>10.7</v>
      </c>
      <c r="G1582">
        <v>76.2</v>
      </c>
      <c r="H1582" t="s">
        <v>13</v>
      </c>
      <c r="I1582" t="str">
        <f t="shared" si="24"/>
        <v>Alta</v>
      </c>
    </row>
    <row r="1583" spans="1:9">
      <c r="A1583" t="s">
        <v>444</v>
      </c>
      <c r="B1583">
        <v>2026</v>
      </c>
      <c r="C1583">
        <v>2</v>
      </c>
      <c r="D1583" t="s">
        <v>75</v>
      </c>
      <c r="E1583" t="s">
        <v>78</v>
      </c>
      <c r="F1583">
        <v>10.7</v>
      </c>
      <c r="G1583">
        <v>45.6</v>
      </c>
      <c r="H1583" t="s">
        <v>13</v>
      </c>
      <c r="I1583" t="str">
        <f t="shared" si="24"/>
        <v>Baixa</v>
      </c>
    </row>
    <row r="1584" spans="1:9">
      <c r="A1584" t="s">
        <v>462</v>
      </c>
      <c r="B1584">
        <v>2026</v>
      </c>
      <c r="C1584">
        <v>2</v>
      </c>
      <c r="D1584" t="s">
        <v>75</v>
      </c>
      <c r="E1584" t="s">
        <v>76</v>
      </c>
      <c r="F1584">
        <v>10.7</v>
      </c>
      <c r="G1584">
        <v>82</v>
      </c>
      <c r="H1584" t="s">
        <v>13</v>
      </c>
      <c r="I1584" t="str">
        <f t="shared" si="24"/>
        <v>Alta</v>
      </c>
    </row>
    <row r="1585" spans="1:9">
      <c r="A1585" t="s">
        <v>514</v>
      </c>
      <c r="B1585">
        <v>2026</v>
      </c>
      <c r="C1585">
        <v>2</v>
      </c>
      <c r="D1585" t="s">
        <v>139</v>
      </c>
      <c r="E1585" t="s">
        <v>10</v>
      </c>
      <c r="F1585">
        <v>10.7</v>
      </c>
      <c r="G1585">
        <v>51.5</v>
      </c>
      <c r="H1585" t="s">
        <v>13</v>
      </c>
      <c r="I1585" t="str">
        <f t="shared" si="24"/>
        <v>Média</v>
      </c>
    </row>
    <row r="1586" spans="1:9">
      <c r="A1586" t="s">
        <v>537</v>
      </c>
      <c r="B1586">
        <v>2026</v>
      </c>
      <c r="C1586">
        <v>2</v>
      </c>
      <c r="D1586" t="s">
        <v>139</v>
      </c>
      <c r="E1586" t="s">
        <v>141</v>
      </c>
      <c r="F1586">
        <v>10.7</v>
      </c>
      <c r="G1586">
        <v>83.9</v>
      </c>
      <c r="H1586" t="s">
        <v>13</v>
      </c>
      <c r="I1586" t="str">
        <f t="shared" si="24"/>
        <v>Alta</v>
      </c>
    </row>
    <row r="1587" spans="1:9">
      <c r="A1587" t="s">
        <v>35</v>
      </c>
      <c r="B1587">
        <v>2024</v>
      </c>
      <c r="C1587">
        <v>1</v>
      </c>
      <c r="D1587" t="s">
        <v>9</v>
      </c>
      <c r="E1587" t="s">
        <v>10</v>
      </c>
      <c r="F1587">
        <v>10.8</v>
      </c>
      <c r="G1587">
        <v>80.7</v>
      </c>
      <c r="H1587" t="s">
        <v>13</v>
      </c>
      <c r="I1587" t="str">
        <f t="shared" si="24"/>
        <v>Alta</v>
      </c>
    </row>
    <row r="1588" spans="1:9">
      <c r="A1588" t="s">
        <v>44</v>
      </c>
      <c r="B1588">
        <v>2024</v>
      </c>
      <c r="C1588">
        <v>1</v>
      </c>
      <c r="D1588" t="s">
        <v>9</v>
      </c>
      <c r="E1588" t="s">
        <v>12</v>
      </c>
      <c r="F1588">
        <v>10.8</v>
      </c>
      <c r="G1588">
        <v>94.7</v>
      </c>
      <c r="H1588" t="s">
        <v>13</v>
      </c>
      <c r="I1588" t="str">
        <f t="shared" si="24"/>
        <v>Alta</v>
      </c>
    </row>
    <row r="1589" spans="1:9">
      <c r="A1589" t="s">
        <v>91</v>
      </c>
      <c r="B1589">
        <v>2024</v>
      </c>
      <c r="C1589">
        <v>1</v>
      </c>
      <c r="D1589" t="s">
        <v>75</v>
      </c>
      <c r="E1589" t="s">
        <v>76</v>
      </c>
      <c r="F1589">
        <v>10.8</v>
      </c>
      <c r="G1589">
        <v>73.099999999999994</v>
      </c>
      <c r="H1589" t="s">
        <v>13</v>
      </c>
      <c r="I1589" t="str">
        <f t="shared" si="24"/>
        <v>Média</v>
      </c>
    </row>
    <row r="1590" spans="1:9">
      <c r="A1590" t="s">
        <v>110</v>
      </c>
      <c r="B1590">
        <v>2024</v>
      </c>
      <c r="C1590">
        <v>1</v>
      </c>
      <c r="D1590" t="s">
        <v>75</v>
      </c>
      <c r="E1590" t="s">
        <v>77</v>
      </c>
      <c r="F1590">
        <v>10.8</v>
      </c>
      <c r="G1590">
        <v>81.8</v>
      </c>
      <c r="H1590" t="s">
        <v>13</v>
      </c>
      <c r="I1590" t="str">
        <f t="shared" si="24"/>
        <v>Alta</v>
      </c>
    </row>
    <row r="1591" spans="1:9">
      <c r="A1591" t="s">
        <v>111</v>
      </c>
      <c r="B1591">
        <v>2024</v>
      </c>
      <c r="C1591">
        <v>1</v>
      </c>
      <c r="D1591" t="s">
        <v>75</v>
      </c>
      <c r="E1591" t="s">
        <v>77</v>
      </c>
      <c r="F1591">
        <v>10.8</v>
      </c>
      <c r="G1591">
        <v>81.599999999999994</v>
      </c>
      <c r="H1591" t="s">
        <v>13</v>
      </c>
      <c r="I1591" t="str">
        <f t="shared" si="24"/>
        <v>Alta</v>
      </c>
    </row>
    <row r="1592" spans="1:9">
      <c r="A1592" t="s">
        <v>127</v>
      </c>
      <c r="B1592">
        <v>2024</v>
      </c>
      <c r="C1592">
        <v>1</v>
      </c>
      <c r="D1592" t="s">
        <v>75</v>
      </c>
      <c r="E1592" t="s">
        <v>76</v>
      </c>
      <c r="F1592">
        <v>10.8</v>
      </c>
      <c r="G1592">
        <v>55.6</v>
      </c>
      <c r="H1592" t="s">
        <v>13</v>
      </c>
      <c r="I1592" t="str">
        <f t="shared" si="24"/>
        <v>Média</v>
      </c>
    </row>
    <row r="1593" spans="1:9">
      <c r="A1593" t="s">
        <v>170</v>
      </c>
      <c r="B1593">
        <v>2024</v>
      </c>
      <c r="C1593">
        <v>1</v>
      </c>
      <c r="D1593" t="s">
        <v>139</v>
      </c>
      <c r="E1593" t="s">
        <v>10</v>
      </c>
      <c r="F1593">
        <v>10.8</v>
      </c>
      <c r="G1593">
        <v>73.900000000000006</v>
      </c>
      <c r="H1593" t="s">
        <v>13</v>
      </c>
      <c r="I1593" t="str">
        <f t="shared" si="24"/>
        <v>Média</v>
      </c>
    </row>
    <row r="1594" spans="1:9">
      <c r="A1594" t="s">
        <v>172</v>
      </c>
      <c r="B1594">
        <v>2024</v>
      </c>
      <c r="C1594">
        <v>1</v>
      </c>
      <c r="D1594" t="s">
        <v>139</v>
      </c>
      <c r="E1594" t="s">
        <v>140</v>
      </c>
      <c r="F1594">
        <v>10.8</v>
      </c>
      <c r="G1594">
        <v>52.3</v>
      </c>
      <c r="H1594" t="s">
        <v>13</v>
      </c>
      <c r="I1594" t="str">
        <f t="shared" si="24"/>
        <v>Média</v>
      </c>
    </row>
    <row r="1595" spans="1:9">
      <c r="A1595" t="s">
        <v>179</v>
      </c>
      <c r="B1595">
        <v>2024</v>
      </c>
      <c r="C1595">
        <v>1</v>
      </c>
      <c r="D1595" t="s">
        <v>139</v>
      </c>
      <c r="E1595" t="s">
        <v>140</v>
      </c>
      <c r="F1595">
        <v>10.8</v>
      </c>
      <c r="G1595">
        <v>63.5</v>
      </c>
      <c r="H1595" t="s">
        <v>13</v>
      </c>
      <c r="I1595" t="str">
        <f t="shared" si="24"/>
        <v>Média</v>
      </c>
    </row>
    <row r="1596" spans="1:9">
      <c r="A1596" t="s">
        <v>48</v>
      </c>
      <c r="B1596">
        <v>2024</v>
      </c>
      <c r="C1596">
        <v>2</v>
      </c>
      <c r="D1596" t="s">
        <v>9</v>
      </c>
      <c r="E1596" t="s">
        <v>14</v>
      </c>
      <c r="F1596">
        <v>10.8</v>
      </c>
      <c r="G1596">
        <v>84.3</v>
      </c>
      <c r="H1596" t="s">
        <v>13</v>
      </c>
      <c r="I1596" t="str">
        <f t="shared" si="24"/>
        <v>Alta</v>
      </c>
    </row>
    <row r="1597" spans="1:9">
      <c r="A1597" t="s">
        <v>70</v>
      </c>
      <c r="B1597">
        <v>2024</v>
      </c>
      <c r="C1597">
        <v>2</v>
      </c>
      <c r="D1597" t="s">
        <v>9</v>
      </c>
      <c r="E1597" t="s">
        <v>10</v>
      </c>
      <c r="F1597">
        <v>10.8</v>
      </c>
      <c r="G1597">
        <v>49.4</v>
      </c>
      <c r="H1597" t="s">
        <v>13</v>
      </c>
      <c r="I1597" t="str">
        <f t="shared" si="24"/>
        <v>Baixa</v>
      </c>
    </row>
    <row r="1598" spans="1:9">
      <c r="A1598" t="s">
        <v>73</v>
      </c>
      <c r="B1598">
        <v>2024</v>
      </c>
      <c r="C1598">
        <v>2</v>
      </c>
      <c r="D1598" t="s">
        <v>9</v>
      </c>
      <c r="E1598" t="s">
        <v>14</v>
      </c>
      <c r="F1598">
        <v>10.8</v>
      </c>
      <c r="G1598">
        <v>56.5</v>
      </c>
      <c r="H1598" t="s">
        <v>13</v>
      </c>
      <c r="I1598" t="str">
        <f t="shared" si="24"/>
        <v>Média</v>
      </c>
    </row>
    <row r="1599" spans="1:9">
      <c r="A1599" t="s">
        <v>129</v>
      </c>
      <c r="B1599">
        <v>2024</v>
      </c>
      <c r="C1599">
        <v>2</v>
      </c>
      <c r="D1599" t="s">
        <v>75</v>
      </c>
      <c r="E1599" t="s">
        <v>78</v>
      </c>
      <c r="F1599">
        <v>10.8</v>
      </c>
      <c r="G1599">
        <v>61.6</v>
      </c>
      <c r="H1599" t="s">
        <v>13</v>
      </c>
      <c r="I1599" t="str">
        <f t="shared" si="24"/>
        <v>Média</v>
      </c>
    </row>
    <row r="1600" spans="1:9">
      <c r="A1600" t="s">
        <v>159</v>
      </c>
      <c r="B1600">
        <v>2024</v>
      </c>
      <c r="C1600">
        <v>2</v>
      </c>
      <c r="D1600" t="s">
        <v>139</v>
      </c>
      <c r="E1600" t="s">
        <v>10</v>
      </c>
      <c r="F1600">
        <v>10.8</v>
      </c>
      <c r="G1600">
        <v>89.6</v>
      </c>
      <c r="H1600" t="s">
        <v>13</v>
      </c>
      <c r="I1600" t="str">
        <f t="shared" si="24"/>
        <v>Alta</v>
      </c>
    </row>
    <row r="1601" spans="1:9">
      <c r="A1601" t="s">
        <v>161</v>
      </c>
      <c r="B1601">
        <v>2024</v>
      </c>
      <c r="C1601">
        <v>2</v>
      </c>
      <c r="D1601" t="s">
        <v>139</v>
      </c>
      <c r="E1601" t="s">
        <v>10</v>
      </c>
      <c r="F1601">
        <v>10.8</v>
      </c>
      <c r="G1601">
        <v>81.099999999999994</v>
      </c>
      <c r="H1601" t="s">
        <v>13</v>
      </c>
      <c r="I1601" t="str">
        <f t="shared" si="24"/>
        <v>Alta</v>
      </c>
    </row>
    <row r="1602" spans="1:9">
      <c r="A1602" t="s">
        <v>193</v>
      </c>
      <c r="B1602">
        <v>2024</v>
      </c>
      <c r="C1602">
        <v>2</v>
      </c>
      <c r="D1602" t="s">
        <v>139</v>
      </c>
      <c r="E1602" t="s">
        <v>141</v>
      </c>
      <c r="F1602">
        <v>10.8</v>
      </c>
      <c r="G1602">
        <v>73.8</v>
      </c>
      <c r="H1602" t="s">
        <v>13</v>
      </c>
      <c r="I1602" t="str">
        <f t="shared" ref="I1602:I1665" si="25">IF(G1602&lt;50,"Baixa",IF(G1602&lt;75,"Média","Alta"))</f>
        <v>Média</v>
      </c>
    </row>
    <row r="1603" spans="1:9">
      <c r="A1603" t="s">
        <v>216</v>
      </c>
      <c r="B1603">
        <v>2025</v>
      </c>
      <c r="C1603">
        <v>1</v>
      </c>
      <c r="D1603" t="s">
        <v>9</v>
      </c>
      <c r="E1603" t="s">
        <v>10</v>
      </c>
      <c r="F1603">
        <v>10.8</v>
      </c>
      <c r="G1603">
        <v>62.4</v>
      </c>
      <c r="H1603" t="s">
        <v>13</v>
      </c>
      <c r="I1603" t="str">
        <f t="shared" si="25"/>
        <v>Média</v>
      </c>
    </row>
    <row r="1604" spans="1:9">
      <c r="A1604" t="s">
        <v>278</v>
      </c>
      <c r="B1604">
        <v>2025</v>
      </c>
      <c r="C1604">
        <v>1</v>
      </c>
      <c r="D1604" t="s">
        <v>75</v>
      </c>
      <c r="E1604" t="s">
        <v>77</v>
      </c>
      <c r="F1604">
        <v>10.8</v>
      </c>
      <c r="G1604">
        <v>47.3</v>
      </c>
      <c r="H1604" t="s">
        <v>13</v>
      </c>
      <c r="I1604" t="str">
        <f t="shared" si="25"/>
        <v>Baixa</v>
      </c>
    </row>
    <row r="1605" spans="1:9">
      <c r="A1605" t="s">
        <v>288</v>
      </c>
      <c r="B1605">
        <v>2025</v>
      </c>
      <c r="C1605">
        <v>1</v>
      </c>
      <c r="D1605" t="s">
        <v>75</v>
      </c>
      <c r="E1605" t="s">
        <v>77</v>
      </c>
      <c r="F1605">
        <v>10.8</v>
      </c>
      <c r="G1605">
        <v>68</v>
      </c>
      <c r="H1605" t="s">
        <v>13</v>
      </c>
      <c r="I1605" t="str">
        <f t="shared" si="25"/>
        <v>Média</v>
      </c>
    </row>
    <row r="1606" spans="1:9">
      <c r="A1606" t="s">
        <v>294</v>
      </c>
      <c r="B1606">
        <v>2025</v>
      </c>
      <c r="C1606">
        <v>1</v>
      </c>
      <c r="D1606" t="s">
        <v>75</v>
      </c>
      <c r="E1606" t="s">
        <v>76</v>
      </c>
      <c r="F1606">
        <v>10.8</v>
      </c>
      <c r="G1606">
        <v>79.3</v>
      </c>
      <c r="H1606" t="s">
        <v>13</v>
      </c>
      <c r="I1606" t="str">
        <f t="shared" si="25"/>
        <v>Alta</v>
      </c>
    </row>
    <row r="1607" spans="1:9">
      <c r="A1607" t="s">
        <v>316</v>
      </c>
      <c r="B1607">
        <v>2025</v>
      </c>
      <c r="C1607">
        <v>1</v>
      </c>
      <c r="D1607" t="s">
        <v>75</v>
      </c>
      <c r="E1607" t="s">
        <v>77</v>
      </c>
      <c r="F1607">
        <v>10.8</v>
      </c>
      <c r="G1607">
        <v>69.7</v>
      </c>
      <c r="H1607" t="s">
        <v>13</v>
      </c>
      <c r="I1607" t="str">
        <f t="shared" si="25"/>
        <v>Média</v>
      </c>
    </row>
    <row r="1608" spans="1:9">
      <c r="A1608" t="s">
        <v>351</v>
      </c>
      <c r="B1608">
        <v>2025</v>
      </c>
      <c r="C1608">
        <v>1</v>
      </c>
      <c r="D1608" t="s">
        <v>139</v>
      </c>
      <c r="E1608" t="s">
        <v>140</v>
      </c>
      <c r="F1608">
        <v>10.8</v>
      </c>
      <c r="G1608">
        <v>82.9</v>
      </c>
      <c r="H1608" t="s">
        <v>13</v>
      </c>
      <c r="I1608" t="str">
        <f t="shared" si="25"/>
        <v>Alta</v>
      </c>
    </row>
    <row r="1609" spans="1:9">
      <c r="A1609" t="s">
        <v>353</v>
      </c>
      <c r="B1609">
        <v>2025</v>
      </c>
      <c r="C1609">
        <v>1</v>
      </c>
      <c r="D1609" t="s">
        <v>139</v>
      </c>
      <c r="E1609" t="s">
        <v>10</v>
      </c>
      <c r="F1609">
        <v>10.8</v>
      </c>
      <c r="G1609">
        <v>67.599999999999994</v>
      </c>
      <c r="H1609" t="s">
        <v>13</v>
      </c>
      <c r="I1609" t="str">
        <f t="shared" si="25"/>
        <v>Média</v>
      </c>
    </row>
    <row r="1610" spans="1:9">
      <c r="A1610" t="s">
        <v>356</v>
      </c>
      <c r="B1610">
        <v>2025</v>
      </c>
      <c r="C1610">
        <v>1</v>
      </c>
      <c r="D1610" t="s">
        <v>139</v>
      </c>
      <c r="E1610" t="s">
        <v>140</v>
      </c>
      <c r="F1610">
        <v>10.8</v>
      </c>
      <c r="G1610">
        <v>48.5</v>
      </c>
      <c r="H1610" t="s">
        <v>13</v>
      </c>
      <c r="I1610" t="str">
        <f t="shared" si="25"/>
        <v>Baixa</v>
      </c>
    </row>
    <row r="1611" spans="1:9">
      <c r="A1611" t="s">
        <v>246</v>
      </c>
      <c r="B1611">
        <v>2025</v>
      </c>
      <c r="C1611">
        <v>2</v>
      </c>
      <c r="D1611" t="s">
        <v>9</v>
      </c>
      <c r="E1611" t="s">
        <v>14</v>
      </c>
      <c r="F1611">
        <v>10.8</v>
      </c>
      <c r="G1611">
        <v>55.5</v>
      </c>
      <c r="H1611" t="s">
        <v>13</v>
      </c>
      <c r="I1611" t="str">
        <f t="shared" si="25"/>
        <v>Média</v>
      </c>
    </row>
    <row r="1612" spans="1:9">
      <c r="A1612" t="s">
        <v>248</v>
      </c>
      <c r="B1612">
        <v>2025</v>
      </c>
      <c r="C1612">
        <v>2</v>
      </c>
      <c r="D1612" t="s">
        <v>9</v>
      </c>
      <c r="E1612" t="s">
        <v>14</v>
      </c>
      <c r="F1612">
        <v>10.8</v>
      </c>
      <c r="G1612">
        <v>79</v>
      </c>
      <c r="H1612" t="s">
        <v>13</v>
      </c>
      <c r="I1612" t="str">
        <f t="shared" si="25"/>
        <v>Alta</v>
      </c>
    </row>
    <row r="1613" spans="1:9">
      <c r="A1613" t="s">
        <v>275</v>
      </c>
      <c r="B1613">
        <v>2025</v>
      </c>
      <c r="C1613">
        <v>2</v>
      </c>
      <c r="D1613" t="s">
        <v>75</v>
      </c>
      <c r="E1613" t="s">
        <v>78</v>
      </c>
      <c r="F1613">
        <v>10.8</v>
      </c>
      <c r="G1613">
        <v>75.3</v>
      </c>
      <c r="H1613" t="s">
        <v>13</v>
      </c>
      <c r="I1613" t="str">
        <f t="shared" si="25"/>
        <v>Alta</v>
      </c>
    </row>
    <row r="1614" spans="1:9">
      <c r="A1614" t="s">
        <v>291</v>
      </c>
      <c r="B1614">
        <v>2025</v>
      </c>
      <c r="C1614">
        <v>2</v>
      </c>
      <c r="D1614" t="s">
        <v>75</v>
      </c>
      <c r="E1614" t="s">
        <v>77</v>
      </c>
      <c r="F1614">
        <v>10.8</v>
      </c>
      <c r="G1614">
        <v>71.099999999999994</v>
      </c>
      <c r="H1614" t="s">
        <v>13</v>
      </c>
      <c r="I1614" t="str">
        <f t="shared" si="25"/>
        <v>Média</v>
      </c>
    </row>
    <row r="1615" spans="1:9">
      <c r="A1615" t="s">
        <v>304</v>
      </c>
      <c r="B1615">
        <v>2025</v>
      </c>
      <c r="C1615">
        <v>2</v>
      </c>
      <c r="D1615" t="s">
        <v>75</v>
      </c>
      <c r="E1615" t="s">
        <v>78</v>
      </c>
      <c r="F1615">
        <v>10.8</v>
      </c>
      <c r="G1615">
        <v>61.6</v>
      </c>
      <c r="H1615" t="s">
        <v>13</v>
      </c>
      <c r="I1615" t="str">
        <f t="shared" si="25"/>
        <v>Média</v>
      </c>
    </row>
    <row r="1616" spans="1:9">
      <c r="A1616" t="s">
        <v>350</v>
      </c>
      <c r="B1616">
        <v>2025</v>
      </c>
      <c r="C1616">
        <v>2</v>
      </c>
      <c r="D1616" t="s">
        <v>139</v>
      </c>
      <c r="E1616" t="s">
        <v>140</v>
      </c>
      <c r="F1616">
        <v>10.8</v>
      </c>
      <c r="G1616">
        <v>71.8</v>
      </c>
      <c r="H1616" t="s">
        <v>13</v>
      </c>
      <c r="I1616" t="str">
        <f t="shared" si="25"/>
        <v>Média</v>
      </c>
    </row>
    <row r="1617" spans="1:9">
      <c r="A1617" t="s">
        <v>424</v>
      </c>
      <c r="B1617">
        <v>2026</v>
      </c>
      <c r="C1617">
        <v>1</v>
      </c>
      <c r="D1617" t="s">
        <v>9</v>
      </c>
      <c r="E1617" t="s">
        <v>14</v>
      </c>
      <c r="F1617">
        <v>10.8</v>
      </c>
      <c r="G1617">
        <v>53.1</v>
      </c>
      <c r="H1617" t="s">
        <v>13</v>
      </c>
      <c r="I1617" t="str">
        <f t="shared" si="25"/>
        <v>Média</v>
      </c>
    </row>
    <row r="1618" spans="1:9">
      <c r="A1618" t="s">
        <v>425</v>
      </c>
      <c r="B1618">
        <v>2026</v>
      </c>
      <c r="C1618">
        <v>1</v>
      </c>
      <c r="D1618" t="s">
        <v>9</v>
      </c>
      <c r="E1618" t="s">
        <v>14</v>
      </c>
      <c r="F1618">
        <v>10.8</v>
      </c>
      <c r="G1618">
        <v>69.099999999999994</v>
      </c>
      <c r="H1618" t="s">
        <v>13</v>
      </c>
      <c r="I1618" t="str">
        <f t="shared" si="25"/>
        <v>Média</v>
      </c>
    </row>
    <row r="1619" spans="1:9">
      <c r="A1619" t="s">
        <v>427</v>
      </c>
      <c r="B1619">
        <v>2026</v>
      </c>
      <c r="C1619">
        <v>1</v>
      </c>
      <c r="D1619" t="s">
        <v>9</v>
      </c>
      <c r="E1619" t="s">
        <v>14</v>
      </c>
      <c r="F1619">
        <v>10.8</v>
      </c>
      <c r="G1619">
        <v>52.4</v>
      </c>
      <c r="H1619" t="s">
        <v>13</v>
      </c>
      <c r="I1619" t="str">
        <f t="shared" si="25"/>
        <v>Média</v>
      </c>
    </row>
    <row r="1620" spans="1:9">
      <c r="A1620" t="s">
        <v>445</v>
      </c>
      <c r="B1620">
        <v>2026</v>
      </c>
      <c r="C1620">
        <v>1</v>
      </c>
      <c r="D1620" t="s">
        <v>75</v>
      </c>
      <c r="E1620" t="s">
        <v>76</v>
      </c>
      <c r="F1620">
        <v>10.8</v>
      </c>
      <c r="G1620">
        <v>97.8</v>
      </c>
      <c r="H1620" t="s">
        <v>13</v>
      </c>
      <c r="I1620" t="str">
        <f t="shared" si="25"/>
        <v>Alta</v>
      </c>
    </row>
    <row r="1621" spans="1:9">
      <c r="A1621" t="s">
        <v>458</v>
      </c>
      <c r="B1621">
        <v>2026</v>
      </c>
      <c r="C1621">
        <v>1</v>
      </c>
      <c r="D1621" t="s">
        <v>75</v>
      </c>
      <c r="E1621" t="s">
        <v>77</v>
      </c>
      <c r="F1621">
        <v>10.8</v>
      </c>
      <c r="G1621">
        <v>49.1</v>
      </c>
      <c r="H1621" t="s">
        <v>13</v>
      </c>
      <c r="I1621" t="str">
        <f t="shared" si="25"/>
        <v>Baixa</v>
      </c>
    </row>
    <row r="1622" spans="1:9">
      <c r="A1622" t="s">
        <v>460</v>
      </c>
      <c r="B1622">
        <v>2026</v>
      </c>
      <c r="C1622">
        <v>1</v>
      </c>
      <c r="D1622" t="s">
        <v>75</v>
      </c>
      <c r="E1622" t="s">
        <v>77</v>
      </c>
      <c r="F1622">
        <v>10.8</v>
      </c>
      <c r="G1622">
        <v>90.8</v>
      </c>
      <c r="H1622" t="s">
        <v>13</v>
      </c>
      <c r="I1622" t="str">
        <f t="shared" si="25"/>
        <v>Alta</v>
      </c>
    </row>
    <row r="1623" spans="1:9">
      <c r="A1623" t="s">
        <v>483</v>
      </c>
      <c r="B1623">
        <v>2026</v>
      </c>
      <c r="C1623">
        <v>1</v>
      </c>
      <c r="D1623" t="s">
        <v>75</v>
      </c>
      <c r="E1623" t="s">
        <v>77</v>
      </c>
      <c r="F1623">
        <v>10.8</v>
      </c>
      <c r="G1623">
        <v>56.2</v>
      </c>
      <c r="H1623" t="s">
        <v>13</v>
      </c>
      <c r="I1623" t="str">
        <f t="shared" si="25"/>
        <v>Média</v>
      </c>
    </row>
    <row r="1624" spans="1:9">
      <c r="A1624" t="s">
        <v>449</v>
      </c>
      <c r="B1624">
        <v>2026</v>
      </c>
      <c r="C1624">
        <v>2</v>
      </c>
      <c r="D1624" t="s">
        <v>75</v>
      </c>
      <c r="E1624" t="s">
        <v>77</v>
      </c>
      <c r="F1624">
        <v>10.8</v>
      </c>
      <c r="G1624">
        <v>99.9</v>
      </c>
      <c r="H1624" t="s">
        <v>13</v>
      </c>
      <c r="I1624" t="str">
        <f t="shared" si="25"/>
        <v>Alta</v>
      </c>
    </row>
    <row r="1625" spans="1:9">
      <c r="A1625" t="s">
        <v>477</v>
      </c>
      <c r="B1625">
        <v>2026</v>
      </c>
      <c r="C1625">
        <v>2</v>
      </c>
      <c r="D1625" t="s">
        <v>75</v>
      </c>
      <c r="E1625" t="s">
        <v>78</v>
      </c>
      <c r="F1625">
        <v>10.8</v>
      </c>
      <c r="G1625">
        <v>75.7</v>
      </c>
      <c r="H1625" t="s">
        <v>13</v>
      </c>
      <c r="I1625" t="str">
        <f t="shared" si="25"/>
        <v>Alta</v>
      </c>
    </row>
    <row r="1626" spans="1:9">
      <c r="A1626" t="s">
        <v>492</v>
      </c>
      <c r="B1626">
        <v>2026</v>
      </c>
      <c r="C1626">
        <v>2</v>
      </c>
      <c r="D1626" t="s">
        <v>75</v>
      </c>
      <c r="E1626" t="s">
        <v>76</v>
      </c>
      <c r="F1626">
        <v>10.8</v>
      </c>
      <c r="G1626">
        <v>58.3</v>
      </c>
      <c r="H1626" t="s">
        <v>13</v>
      </c>
      <c r="I1626" t="str">
        <f t="shared" si="25"/>
        <v>Média</v>
      </c>
    </row>
    <row r="1627" spans="1:9">
      <c r="A1627" t="s">
        <v>532</v>
      </c>
      <c r="B1627">
        <v>2026</v>
      </c>
      <c r="C1627">
        <v>2</v>
      </c>
      <c r="D1627" t="s">
        <v>139</v>
      </c>
      <c r="E1627" t="s">
        <v>141</v>
      </c>
      <c r="F1627">
        <v>10.8</v>
      </c>
      <c r="G1627">
        <v>81.599999999999994</v>
      </c>
      <c r="H1627" t="s">
        <v>13</v>
      </c>
      <c r="I1627" t="str">
        <f t="shared" si="25"/>
        <v>Alta</v>
      </c>
    </row>
    <row r="1628" spans="1:9">
      <c r="A1628" t="s">
        <v>543</v>
      </c>
      <c r="B1628">
        <v>2026</v>
      </c>
      <c r="C1628">
        <v>2</v>
      </c>
      <c r="D1628" t="s">
        <v>139</v>
      </c>
      <c r="E1628" t="s">
        <v>141</v>
      </c>
      <c r="F1628">
        <v>10.8</v>
      </c>
      <c r="G1628">
        <v>82.3</v>
      </c>
      <c r="H1628" t="s">
        <v>13</v>
      </c>
      <c r="I1628" t="str">
        <f t="shared" si="25"/>
        <v>Alta</v>
      </c>
    </row>
    <row r="1629" spans="1:9">
      <c r="A1629" t="s">
        <v>547</v>
      </c>
      <c r="B1629">
        <v>2026</v>
      </c>
      <c r="C1629">
        <v>2</v>
      </c>
      <c r="D1629" t="s">
        <v>139</v>
      </c>
      <c r="E1629" t="s">
        <v>140</v>
      </c>
      <c r="F1629">
        <v>10.8</v>
      </c>
      <c r="G1629">
        <v>65.900000000000006</v>
      </c>
      <c r="H1629" t="s">
        <v>13</v>
      </c>
      <c r="I1629" t="str">
        <f t="shared" si="25"/>
        <v>Média</v>
      </c>
    </row>
    <row r="1630" spans="1:9">
      <c r="A1630" t="s">
        <v>34</v>
      </c>
      <c r="B1630">
        <v>2024</v>
      </c>
      <c r="C1630">
        <v>1</v>
      </c>
      <c r="D1630" t="s">
        <v>9</v>
      </c>
      <c r="E1630" t="s">
        <v>14</v>
      </c>
      <c r="F1630">
        <v>10.9</v>
      </c>
      <c r="G1630">
        <v>57.9</v>
      </c>
      <c r="H1630" t="s">
        <v>13</v>
      </c>
      <c r="I1630" t="str">
        <f t="shared" si="25"/>
        <v>Média</v>
      </c>
    </row>
    <row r="1631" spans="1:9">
      <c r="A1631" t="s">
        <v>38</v>
      </c>
      <c r="B1631">
        <v>2024</v>
      </c>
      <c r="C1631">
        <v>1</v>
      </c>
      <c r="D1631" t="s">
        <v>9</v>
      </c>
      <c r="E1631" t="s">
        <v>14</v>
      </c>
      <c r="F1631">
        <v>10.9</v>
      </c>
      <c r="G1631">
        <v>65.3</v>
      </c>
      <c r="H1631" t="s">
        <v>13</v>
      </c>
      <c r="I1631" t="str">
        <f t="shared" si="25"/>
        <v>Média</v>
      </c>
    </row>
    <row r="1632" spans="1:9">
      <c r="A1632" t="s">
        <v>111</v>
      </c>
      <c r="B1632">
        <v>2024</v>
      </c>
      <c r="C1632">
        <v>2</v>
      </c>
      <c r="D1632" t="s">
        <v>75</v>
      </c>
      <c r="E1632" t="s">
        <v>76</v>
      </c>
      <c r="F1632">
        <v>10.9</v>
      </c>
      <c r="G1632">
        <v>86.2</v>
      </c>
      <c r="H1632" t="s">
        <v>13</v>
      </c>
      <c r="I1632" t="str">
        <f t="shared" si="25"/>
        <v>Alta</v>
      </c>
    </row>
    <row r="1633" spans="1:9">
      <c r="A1633" t="s">
        <v>113</v>
      </c>
      <c r="B1633">
        <v>2024</v>
      </c>
      <c r="C1633">
        <v>2</v>
      </c>
      <c r="D1633" t="s">
        <v>75</v>
      </c>
      <c r="E1633" t="s">
        <v>78</v>
      </c>
      <c r="F1633">
        <v>10.9</v>
      </c>
      <c r="G1633">
        <v>81.5</v>
      </c>
      <c r="H1633" t="s">
        <v>13</v>
      </c>
      <c r="I1633" t="str">
        <f t="shared" si="25"/>
        <v>Alta</v>
      </c>
    </row>
    <row r="1634" spans="1:9">
      <c r="A1634" t="s">
        <v>155</v>
      </c>
      <c r="B1634">
        <v>2024</v>
      </c>
      <c r="C1634">
        <v>2</v>
      </c>
      <c r="D1634" t="s">
        <v>139</v>
      </c>
      <c r="E1634" t="s">
        <v>140</v>
      </c>
      <c r="F1634">
        <v>10.9</v>
      </c>
      <c r="G1634">
        <v>74.3</v>
      </c>
      <c r="H1634" t="s">
        <v>13</v>
      </c>
      <c r="I1634" t="str">
        <f t="shared" si="25"/>
        <v>Média</v>
      </c>
    </row>
    <row r="1635" spans="1:9">
      <c r="A1635" t="s">
        <v>239</v>
      </c>
      <c r="B1635">
        <v>2025</v>
      </c>
      <c r="C1635">
        <v>1</v>
      </c>
      <c r="D1635" t="s">
        <v>9</v>
      </c>
      <c r="E1635" t="s">
        <v>10</v>
      </c>
      <c r="F1635">
        <v>10.9</v>
      </c>
      <c r="G1635">
        <v>46.2</v>
      </c>
      <c r="H1635" t="s">
        <v>13</v>
      </c>
      <c r="I1635" t="str">
        <f t="shared" si="25"/>
        <v>Baixa</v>
      </c>
    </row>
    <row r="1636" spans="1:9">
      <c r="A1636" t="s">
        <v>281</v>
      </c>
      <c r="B1636">
        <v>2025</v>
      </c>
      <c r="C1636">
        <v>1</v>
      </c>
      <c r="D1636" t="s">
        <v>75</v>
      </c>
      <c r="E1636" t="s">
        <v>78</v>
      </c>
      <c r="F1636">
        <v>10.9</v>
      </c>
      <c r="G1636">
        <v>52.2</v>
      </c>
      <c r="H1636" t="s">
        <v>13</v>
      </c>
      <c r="I1636" t="str">
        <f t="shared" si="25"/>
        <v>Média</v>
      </c>
    </row>
    <row r="1637" spans="1:9">
      <c r="A1637" t="s">
        <v>302</v>
      </c>
      <c r="B1637">
        <v>2025</v>
      </c>
      <c r="C1637">
        <v>1</v>
      </c>
      <c r="D1637" t="s">
        <v>75</v>
      </c>
      <c r="E1637" t="s">
        <v>78</v>
      </c>
      <c r="F1637">
        <v>10.9</v>
      </c>
      <c r="G1637">
        <v>62.9</v>
      </c>
      <c r="H1637" t="s">
        <v>13</v>
      </c>
      <c r="I1637" t="str">
        <f t="shared" si="25"/>
        <v>Média</v>
      </c>
    </row>
    <row r="1638" spans="1:9">
      <c r="A1638" t="s">
        <v>355</v>
      </c>
      <c r="B1638">
        <v>2025</v>
      </c>
      <c r="C1638">
        <v>1</v>
      </c>
      <c r="D1638" t="s">
        <v>139</v>
      </c>
      <c r="E1638" t="s">
        <v>10</v>
      </c>
      <c r="F1638">
        <v>10.9</v>
      </c>
      <c r="G1638">
        <v>60.1</v>
      </c>
      <c r="H1638" t="s">
        <v>13</v>
      </c>
      <c r="I1638" t="str">
        <f t="shared" si="25"/>
        <v>Média</v>
      </c>
    </row>
    <row r="1639" spans="1:9">
      <c r="A1639" t="s">
        <v>234</v>
      </c>
      <c r="B1639">
        <v>2025</v>
      </c>
      <c r="C1639">
        <v>2</v>
      </c>
      <c r="D1639" t="s">
        <v>9</v>
      </c>
      <c r="E1639" t="s">
        <v>14</v>
      </c>
      <c r="F1639">
        <v>10.9</v>
      </c>
      <c r="G1639">
        <v>82.1</v>
      </c>
      <c r="H1639" t="s">
        <v>13</v>
      </c>
      <c r="I1639" t="str">
        <f t="shared" si="25"/>
        <v>Alta</v>
      </c>
    </row>
    <row r="1640" spans="1:9">
      <c r="A1640" t="s">
        <v>305</v>
      </c>
      <c r="B1640">
        <v>2025</v>
      </c>
      <c r="C1640">
        <v>2</v>
      </c>
      <c r="D1640" t="s">
        <v>75</v>
      </c>
      <c r="E1640" t="s">
        <v>77</v>
      </c>
      <c r="F1640">
        <v>10.9</v>
      </c>
      <c r="G1640">
        <v>63.6</v>
      </c>
      <c r="H1640" t="s">
        <v>13</v>
      </c>
      <c r="I1640" t="str">
        <f t="shared" si="25"/>
        <v>Média</v>
      </c>
    </row>
    <row r="1641" spans="1:9">
      <c r="A1641" t="s">
        <v>335</v>
      </c>
      <c r="B1641">
        <v>2025</v>
      </c>
      <c r="C1641">
        <v>2</v>
      </c>
      <c r="D1641" t="s">
        <v>139</v>
      </c>
      <c r="E1641" t="s">
        <v>10</v>
      </c>
      <c r="F1641">
        <v>10.9</v>
      </c>
      <c r="G1641">
        <v>65.900000000000006</v>
      </c>
      <c r="H1641" t="s">
        <v>13</v>
      </c>
      <c r="I1641" t="str">
        <f t="shared" si="25"/>
        <v>Média</v>
      </c>
    </row>
    <row r="1642" spans="1:9">
      <c r="A1642" t="s">
        <v>347</v>
      </c>
      <c r="B1642">
        <v>2025</v>
      </c>
      <c r="C1642">
        <v>2</v>
      </c>
      <c r="D1642" t="s">
        <v>139</v>
      </c>
      <c r="E1642" t="s">
        <v>140</v>
      </c>
      <c r="F1642">
        <v>10.9</v>
      </c>
      <c r="G1642">
        <v>74.8</v>
      </c>
      <c r="H1642" t="s">
        <v>13</v>
      </c>
      <c r="I1642" t="str">
        <f t="shared" si="25"/>
        <v>Média</v>
      </c>
    </row>
    <row r="1643" spans="1:9">
      <c r="A1643" t="s">
        <v>399</v>
      </c>
      <c r="B1643">
        <v>2026</v>
      </c>
      <c r="C1643">
        <v>1</v>
      </c>
      <c r="D1643" t="s">
        <v>9</v>
      </c>
      <c r="E1643" t="s">
        <v>10</v>
      </c>
      <c r="F1643">
        <v>10.9</v>
      </c>
      <c r="G1643">
        <v>80.7</v>
      </c>
      <c r="H1643" t="s">
        <v>13</v>
      </c>
      <c r="I1643" t="str">
        <f t="shared" si="25"/>
        <v>Alta</v>
      </c>
    </row>
    <row r="1644" spans="1:9">
      <c r="A1644" t="s">
        <v>416</v>
      </c>
      <c r="B1644">
        <v>2026</v>
      </c>
      <c r="C1644">
        <v>1</v>
      </c>
      <c r="D1644" t="s">
        <v>9</v>
      </c>
      <c r="E1644" t="s">
        <v>10</v>
      </c>
      <c r="F1644">
        <v>10.9</v>
      </c>
      <c r="G1644">
        <v>76.7</v>
      </c>
      <c r="H1644" t="s">
        <v>13</v>
      </c>
      <c r="I1644" t="str">
        <f t="shared" si="25"/>
        <v>Alta</v>
      </c>
    </row>
    <row r="1645" spans="1:9">
      <c r="A1645" t="s">
        <v>445</v>
      </c>
      <c r="B1645">
        <v>2026</v>
      </c>
      <c r="C1645">
        <v>1</v>
      </c>
      <c r="D1645" t="s">
        <v>75</v>
      </c>
      <c r="E1645" t="s">
        <v>77</v>
      </c>
      <c r="F1645">
        <v>10.9</v>
      </c>
      <c r="G1645">
        <v>99.7</v>
      </c>
      <c r="H1645" t="s">
        <v>13</v>
      </c>
      <c r="I1645" t="str">
        <f t="shared" si="25"/>
        <v>Alta</v>
      </c>
    </row>
    <row r="1646" spans="1:9">
      <c r="A1646" t="s">
        <v>505</v>
      </c>
      <c r="B1646">
        <v>2026</v>
      </c>
      <c r="C1646">
        <v>1</v>
      </c>
      <c r="D1646" t="s">
        <v>139</v>
      </c>
      <c r="E1646" t="s">
        <v>141</v>
      </c>
      <c r="F1646">
        <v>10.9</v>
      </c>
      <c r="G1646">
        <v>65.599999999999994</v>
      </c>
      <c r="H1646" t="s">
        <v>13</v>
      </c>
      <c r="I1646" t="str">
        <f t="shared" si="25"/>
        <v>Média</v>
      </c>
    </row>
    <row r="1647" spans="1:9">
      <c r="A1647" t="s">
        <v>526</v>
      </c>
      <c r="B1647">
        <v>2026</v>
      </c>
      <c r="C1647">
        <v>1</v>
      </c>
      <c r="D1647" t="s">
        <v>139</v>
      </c>
      <c r="E1647" t="s">
        <v>10</v>
      </c>
      <c r="F1647">
        <v>10.9</v>
      </c>
      <c r="G1647">
        <v>74.599999999999994</v>
      </c>
      <c r="H1647" t="s">
        <v>13</v>
      </c>
      <c r="I1647" t="str">
        <f t="shared" si="25"/>
        <v>Média</v>
      </c>
    </row>
    <row r="1648" spans="1:9">
      <c r="A1648" t="s">
        <v>539</v>
      </c>
      <c r="B1648">
        <v>2026</v>
      </c>
      <c r="C1648">
        <v>1</v>
      </c>
      <c r="D1648" t="s">
        <v>139</v>
      </c>
      <c r="E1648" t="s">
        <v>10</v>
      </c>
      <c r="F1648">
        <v>10.9</v>
      </c>
      <c r="G1648">
        <v>84.1</v>
      </c>
      <c r="H1648" t="s">
        <v>13</v>
      </c>
      <c r="I1648" t="str">
        <f t="shared" si="25"/>
        <v>Alta</v>
      </c>
    </row>
    <row r="1649" spans="1:9">
      <c r="A1649" t="s">
        <v>387</v>
      </c>
      <c r="B1649">
        <v>2026</v>
      </c>
      <c r="C1649">
        <v>2</v>
      </c>
      <c r="D1649" t="s">
        <v>9</v>
      </c>
      <c r="E1649" t="s">
        <v>12</v>
      </c>
      <c r="F1649">
        <v>10.9</v>
      </c>
      <c r="G1649">
        <v>80.099999999999994</v>
      </c>
      <c r="H1649" t="s">
        <v>13</v>
      </c>
      <c r="I1649" t="str">
        <f t="shared" si="25"/>
        <v>Alta</v>
      </c>
    </row>
    <row r="1650" spans="1:9">
      <c r="A1650" t="s">
        <v>404</v>
      </c>
      <c r="B1650">
        <v>2026</v>
      </c>
      <c r="C1650">
        <v>2</v>
      </c>
      <c r="D1650" t="s">
        <v>9</v>
      </c>
      <c r="E1650" t="s">
        <v>14</v>
      </c>
      <c r="F1650">
        <v>10.9</v>
      </c>
      <c r="G1650">
        <v>77.900000000000006</v>
      </c>
      <c r="H1650" t="s">
        <v>13</v>
      </c>
      <c r="I1650" t="str">
        <f t="shared" si="25"/>
        <v>Alta</v>
      </c>
    </row>
    <row r="1651" spans="1:9">
      <c r="A1651" t="s">
        <v>421</v>
      </c>
      <c r="B1651">
        <v>2026</v>
      </c>
      <c r="C1651">
        <v>2</v>
      </c>
      <c r="D1651" t="s">
        <v>9</v>
      </c>
      <c r="E1651" t="s">
        <v>10</v>
      </c>
      <c r="F1651">
        <v>10.9</v>
      </c>
      <c r="G1651">
        <v>98.3</v>
      </c>
      <c r="H1651" t="s">
        <v>13</v>
      </c>
      <c r="I1651" t="str">
        <f t="shared" si="25"/>
        <v>Alta</v>
      </c>
    </row>
    <row r="1652" spans="1:9">
      <c r="A1652" t="s">
        <v>428</v>
      </c>
      <c r="B1652">
        <v>2026</v>
      </c>
      <c r="C1652">
        <v>2</v>
      </c>
      <c r="D1652" t="s">
        <v>9</v>
      </c>
      <c r="E1652" t="s">
        <v>10</v>
      </c>
      <c r="F1652">
        <v>10.9</v>
      </c>
      <c r="G1652">
        <v>60</v>
      </c>
      <c r="H1652" t="s">
        <v>13</v>
      </c>
      <c r="I1652" t="str">
        <f t="shared" si="25"/>
        <v>Média</v>
      </c>
    </row>
    <row r="1653" spans="1:9">
      <c r="A1653" t="s">
        <v>431</v>
      </c>
      <c r="B1653">
        <v>2026</v>
      </c>
      <c r="C1653">
        <v>2</v>
      </c>
      <c r="D1653" t="s">
        <v>9</v>
      </c>
      <c r="E1653" t="s">
        <v>14</v>
      </c>
      <c r="F1653">
        <v>10.9</v>
      </c>
      <c r="G1653">
        <v>93.1</v>
      </c>
      <c r="H1653" t="s">
        <v>13</v>
      </c>
      <c r="I1653" t="str">
        <f t="shared" si="25"/>
        <v>Alta</v>
      </c>
    </row>
    <row r="1654" spans="1:9">
      <c r="A1654" t="s">
        <v>436</v>
      </c>
      <c r="B1654">
        <v>2026</v>
      </c>
      <c r="C1654">
        <v>2</v>
      </c>
      <c r="D1654" t="s">
        <v>9</v>
      </c>
      <c r="E1654" t="s">
        <v>10</v>
      </c>
      <c r="F1654">
        <v>10.9</v>
      </c>
      <c r="G1654">
        <v>66.3</v>
      </c>
      <c r="H1654" t="s">
        <v>13</v>
      </c>
      <c r="I1654" t="str">
        <f t="shared" si="25"/>
        <v>Média</v>
      </c>
    </row>
    <row r="1655" spans="1:9">
      <c r="A1655" t="s">
        <v>488</v>
      </c>
      <c r="B1655">
        <v>2026</v>
      </c>
      <c r="C1655">
        <v>2</v>
      </c>
      <c r="D1655" t="s">
        <v>75</v>
      </c>
      <c r="E1655" t="s">
        <v>77</v>
      </c>
      <c r="F1655">
        <v>10.9</v>
      </c>
      <c r="G1655">
        <v>64.900000000000006</v>
      </c>
      <c r="H1655" t="s">
        <v>13</v>
      </c>
      <c r="I1655" t="str">
        <f t="shared" si="25"/>
        <v>Média</v>
      </c>
    </row>
    <row r="1656" spans="1:9">
      <c r="A1656" t="s">
        <v>518</v>
      </c>
      <c r="B1656">
        <v>2026</v>
      </c>
      <c r="C1656">
        <v>2</v>
      </c>
      <c r="D1656" t="s">
        <v>139</v>
      </c>
      <c r="E1656" t="s">
        <v>140</v>
      </c>
      <c r="F1656">
        <v>10.9</v>
      </c>
      <c r="G1656">
        <v>91.9</v>
      </c>
      <c r="H1656" t="s">
        <v>13</v>
      </c>
      <c r="I1656" t="str">
        <f t="shared" si="25"/>
        <v>Alta</v>
      </c>
    </row>
    <row r="1657" spans="1:9">
      <c r="A1657" t="s">
        <v>17</v>
      </c>
      <c r="B1657">
        <v>2024</v>
      </c>
      <c r="C1657">
        <v>1</v>
      </c>
      <c r="D1657" t="s">
        <v>9</v>
      </c>
      <c r="E1657" t="s">
        <v>10</v>
      </c>
      <c r="F1657">
        <v>11</v>
      </c>
      <c r="G1657">
        <v>68.900000000000006</v>
      </c>
      <c r="H1657" t="s">
        <v>13</v>
      </c>
      <c r="I1657" t="str">
        <f t="shared" si="25"/>
        <v>Média</v>
      </c>
    </row>
    <row r="1658" spans="1:9">
      <c r="A1658" t="s">
        <v>33</v>
      </c>
      <c r="B1658">
        <v>2024</v>
      </c>
      <c r="C1658">
        <v>1</v>
      </c>
      <c r="D1658" t="s">
        <v>9</v>
      </c>
      <c r="E1658" t="s">
        <v>10</v>
      </c>
      <c r="F1658">
        <v>11</v>
      </c>
      <c r="G1658">
        <v>63.9</v>
      </c>
      <c r="H1658" t="s">
        <v>13</v>
      </c>
      <c r="I1658" t="str">
        <f t="shared" si="25"/>
        <v>Média</v>
      </c>
    </row>
    <row r="1659" spans="1:9">
      <c r="A1659" t="s">
        <v>95</v>
      </c>
      <c r="B1659">
        <v>2024</v>
      </c>
      <c r="C1659">
        <v>1</v>
      </c>
      <c r="D1659" t="s">
        <v>75</v>
      </c>
      <c r="E1659" t="s">
        <v>77</v>
      </c>
      <c r="F1659">
        <v>11</v>
      </c>
      <c r="G1659">
        <v>97.6</v>
      </c>
      <c r="H1659" t="s">
        <v>13</v>
      </c>
      <c r="I1659" t="str">
        <f t="shared" si="25"/>
        <v>Alta</v>
      </c>
    </row>
    <row r="1660" spans="1:9">
      <c r="A1660" t="s">
        <v>103</v>
      </c>
      <c r="B1660">
        <v>2024</v>
      </c>
      <c r="C1660">
        <v>1</v>
      </c>
      <c r="D1660" t="s">
        <v>75</v>
      </c>
      <c r="E1660" t="s">
        <v>76</v>
      </c>
      <c r="F1660">
        <v>11</v>
      </c>
      <c r="G1660">
        <v>78.599999999999994</v>
      </c>
      <c r="H1660" t="s">
        <v>13</v>
      </c>
      <c r="I1660" t="str">
        <f t="shared" si="25"/>
        <v>Alta</v>
      </c>
    </row>
    <row r="1661" spans="1:9">
      <c r="A1661" t="s">
        <v>105</v>
      </c>
      <c r="B1661">
        <v>2024</v>
      </c>
      <c r="C1661">
        <v>1</v>
      </c>
      <c r="D1661" t="s">
        <v>75</v>
      </c>
      <c r="E1661" t="s">
        <v>76</v>
      </c>
      <c r="F1661">
        <v>11</v>
      </c>
      <c r="G1661">
        <v>65</v>
      </c>
      <c r="H1661" t="s">
        <v>13</v>
      </c>
      <c r="I1661" t="str">
        <f t="shared" si="25"/>
        <v>Média</v>
      </c>
    </row>
    <row r="1662" spans="1:9">
      <c r="A1662" t="s">
        <v>108</v>
      </c>
      <c r="B1662">
        <v>2024</v>
      </c>
      <c r="C1662">
        <v>1</v>
      </c>
      <c r="D1662" t="s">
        <v>75</v>
      </c>
      <c r="E1662" t="s">
        <v>76</v>
      </c>
      <c r="F1662">
        <v>11</v>
      </c>
      <c r="G1662">
        <v>78</v>
      </c>
      <c r="H1662" t="s">
        <v>13</v>
      </c>
      <c r="I1662" t="str">
        <f t="shared" si="25"/>
        <v>Alta</v>
      </c>
    </row>
    <row r="1663" spans="1:9">
      <c r="A1663" t="s">
        <v>158</v>
      </c>
      <c r="B1663">
        <v>2024</v>
      </c>
      <c r="C1663">
        <v>1</v>
      </c>
      <c r="D1663" t="s">
        <v>139</v>
      </c>
      <c r="E1663" t="s">
        <v>141</v>
      </c>
      <c r="F1663">
        <v>11</v>
      </c>
      <c r="G1663">
        <v>75.7</v>
      </c>
      <c r="H1663" t="s">
        <v>13</v>
      </c>
      <c r="I1663" t="str">
        <f t="shared" si="25"/>
        <v>Alta</v>
      </c>
    </row>
    <row r="1664" spans="1:9">
      <c r="A1664" t="s">
        <v>164</v>
      </c>
      <c r="B1664">
        <v>2024</v>
      </c>
      <c r="C1664">
        <v>1</v>
      </c>
      <c r="D1664" t="s">
        <v>139</v>
      </c>
      <c r="E1664" t="s">
        <v>10</v>
      </c>
      <c r="F1664">
        <v>11</v>
      </c>
      <c r="G1664">
        <v>55.9</v>
      </c>
      <c r="H1664" t="s">
        <v>13</v>
      </c>
      <c r="I1664" t="str">
        <f t="shared" si="25"/>
        <v>Média</v>
      </c>
    </row>
    <row r="1665" spans="1:9">
      <c r="A1665" t="s">
        <v>91</v>
      </c>
      <c r="B1665">
        <v>2024</v>
      </c>
      <c r="C1665">
        <v>2</v>
      </c>
      <c r="D1665" t="s">
        <v>75</v>
      </c>
      <c r="E1665" t="s">
        <v>76</v>
      </c>
      <c r="F1665">
        <v>11</v>
      </c>
      <c r="G1665">
        <v>58.3</v>
      </c>
      <c r="H1665" t="s">
        <v>13</v>
      </c>
      <c r="I1665" t="str">
        <f t="shared" si="25"/>
        <v>Média</v>
      </c>
    </row>
    <row r="1666" spans="1:9">
      <c r="A1666" t="s">
        <v>98</v>
      </c>
      <c r="B1666">
        <v>2024</v>
      </c>
      <c r="C1666">
        <v>2</v>
      </c>
      <c r="D1666" t="s">
        <v>75</v>
      </c>
      <c r="E1666" t="s">
        <v>78</v>
      </c>
      <c r="F1666">
        <v>11</v>
      </c>
      <c r="G1666">
        <v>54.9</v>
      </c>
      <c r="H1666" t="s">
        <v>13</v>
      </c>
      <c r="I1666" t="str">
        <f t="shared" ref="I1666:I1729" si="26">IF(G1666&lt;50,"Baixa",IF(G1666&lt;75,"Média","Alta"))</f>
        <v>Média</v>
      </c>
    </row>
    <row r="1667" spans="1:9">
      <c r="A1667" t="s">
        <v>112</v>
      </c>
      <c r="B1667">
        <v>2024</v>
      </c>
      <c r="C1667">
        <v>2</v>
      </c>
      <c r="D1667" t="s">
        <v>75</v>
      </c>
      <c r="E1667" t="s">
        <v>78</v>
      </c>
      <c r="F1667">
        <v>11</v>
      </c>
      <c r="G1667">
        <v>91.1</v>
      </c>
      <c r="H1667" t="s">
        <v>13</v>
      </c>
      <c r="I1667" t="str">
        <f t="shared" si="26"/>
        <v>Alta</v>
      </c>
    </row>
    <row r="1668" spans="1:9">
      <c r="A1668" t="s">
        <v>113</v>
      </c>
      <c r="B1668">
        <v>2024</v>
      </c>
      <c r="C1668">
        <v>2</v>
      </c>
      <c r="D1668" t="s">
        <v>75</v>
      </c>
      <c r="E1668" t="s">
        <v>77</v>
      </c>
      <c r="F1668">
        <v>11</v>
      </c>
      <c r="G1668">
        <v>84.2</v>
      </c>
      <c r="H1668" t="s">
        <v>13</v>
      </c>
      <c r="I1668" t="str">
        <f t="shared" si="26"/>
        <v>Alta</v>
      </c>
    </row>
    <row r="1669" spans="1:9">
      <c r="A1669" t="s">
        <v>166</v>
      </c>
      <c r="B1669">
        <v>2024</v>
      </c>
      <c r="C1669">
        <v>2</v>
      </c>
      <c r="D1669" t="s">
        <v>139</v>
      </c>
      <c r="E1669" t="s">
        <v>141</v>
      </c>
      <c r="F1669">
        <v>11</v>
      </c>
      <c r="G1669">
        <v>54.5</v>
      </c>
      <c r="H1669" t="s">
        <v>13</v>
      </c>
      <c r="I1669" t="str">
        <f t="shared" si="26"/>
        <v>Média</v>
      </c>
    </row>
    <row r="1670" spans="1:9">
      <c r="A1670" t="s">
        <v>178</v>
      </c>
      <c r="B1670">
        <v>2024</v>
      </c>
      <c r="C1670">
        <v>2</v>
      </c>
      <c r="D1670" t="s">
        <v>139</v>
      </c>
      <c r="E1670" t="s">
        <v>10</v>
      </c>
      <c r="F1670">
        <v>11</v>
      </c>
      <c r="G1670">
        <v>46.9</v>
      </c>
      <c r="H1670" t="s">
        <v>13</v>
      </c>
      <c r="I1670" t="str">
        <f t="shared" si="26"/>
        <v>Baixa</v>
      </c>
    </row>
    <row r="1671" spans="1:9">
      <c r="A1671" t="s">
        <v>263</v>
      </c>
      <c r="B1671">
        <v>2025</v>
      </c>
      <c r="C1671">
        <v>1</v>
      </c>
      <c r="D1671" t="s">
        <v>75</v>
      </c>
      <c r="E1671" t="s">
        <v>77</v>
      </c>
      <c r="F1671">
        <v>11</v>
      </c>
      <c r="G1671">
        <v>95.6</v>
      </c>
      <c r="H1671" t="s">
        <v>13</v>
      </c>
      <c r="I1671" t="str">
        <f t="shared" si="26"/>
        <v>Alta</v>
      </c>
    </row>
    <row r="1672" spans="1:9">
      <c r="A1672" t="s">
        <v>270</v>
      </c>
      <c r="B1672">
        <v>2025</v>
      </c>
      <c r="C1672">
        <v>1</v>
      </c>
      <c r="D1672" t="s">
        <v>75</v>
      </c>
      <c r="E1672" t="s">
        <v>77</v>
      </c>
      <c r="F1672">
        <v>11</v>
      </c>
      <c r="G1672">
        <v>84.9</v>
      </c>
      <c r="H1672" t="s">
        <v>13</v>
      </c>
      <c r="I1672" t="str">
        <f t="shared" si="26"/>
        <v>Alta</v>
      </c>
    </row>
    <row r="1673" spans="1:9">
      <c r="A1673" t="s">
        <v>313</v>
      </c>
      <c r="B1673">
        <v>2025</v>
      </c>
      <c r="C1673">
        <v>1</v>
      </c>
      <c r="D1673" t="s">
        <v>75</v>
      </c>
      <c r="E1673" t="s">
        <v>77</v>
      </c>
      <c r="F1673">
        <v>11</v>
      </c>
      <c r="G1673">
        <v>86.9</v>
      </c>
      <c r="H1673" t="s">
        <v>13</v>
      </c>
      <c r="I1673" t="str">
        <f t="shared" si="26"/>
        <v>Alta</v>
      </c>
    </row>
    <row r="1674" spans="1:9">
      <c r="A1674" t="s">
        <v>331</v>
      </c>
      <c r="B1674">
        <v>2025</v>
      </c>
      <c r="C1674">
        <v>1</v>
      </c>
      <c r="D1674" t="s">
        <v>139</v>
      </c>
      <c r="E1674" t="s">
        <v>140</v>
      </c>
      <c r="F1674">
        <v>11</v>
      </c>
      <c r="G1674">
        <v>99.7</v>
      </c>
      <c r="H1674" t="s">
        <v>13</v>
      </c>
      <c r="I1674" t="str">
        <f t="shared" si="26"/>
        <v>Alta</v>
      </c>
    </row>
    <row r="1675" spans="1:9">
      <c r="A1675" t="s">
        <v>363</v>
      </c>
      <c r="B1675">
        <v>2025</v>
      </c>
      <c r="C1675">
        <v>1</v>
      </c>
      <c r="D1675" t="s">
        <v>139</v>
      </c>
      <c r="E1675" t="s">
        <v>140</v>
      </c>
      <c r="F1675">
        <v>11</v>
      </c>
      <c r="G1675">
        <v>93.1</v>
      </c>
      <c r="H1675" t="s">
        <v>13</v>
      </c>
      <c r="I1675" t="str">
        <f t="shared" si="26"/>
        <v>Alta</v>
      </c>
    </row>
    <row r="1676" spans="1:9">
      <c r="A1676" t="s">
        <v>364</v>
      </c>
      <c r="B1676">
        <v>2025</v>
      </c>
      <c r="C1676">
        <v>1</v>
      </c>
      <c r="D1676" t="s">
        <v>139</v>
      </c>
      <c r="E1676" t="s">
        <v>141</v>
      </c>
      <c r="F1676">
        <v>11</v>
      </c>
      <c r="G1676">
        <v>93</v>
      </c>
      <c r="H1676" t="s">
        <v>13</v>
      </c>
      <c r="I1676" t="str">
        <f t="shared" si="26"/>
        <v>Alta</v>
      </c>
    </row>
    <row r="1677" spans="1:9">
      <c r="A1677" t="s">
        <v>231</v>
      </c>
      <c r="B1677">
        <v>2025</v>
      </c>
      <c r="C1677">
        <v>2</v>
      </c>
      <c r="D1677" t="s">
        <v>9</v>
      </c>
      <c r="E1677" t="s">
        <v>10</v>
      </c>
      <c r="F1677">
        <v>11</v>
      </c>
      <c r="G1677">
        <v>78.3</v>
      </c>
      <c r="H1677" t="s">
        <v>13</v>
      </c>
      <c r="I1677" t="str">
        <f t="shared" si="26"/>
        <v>Alta</v>
      </c>
    </row>
    <row r="1678" spans="1:9">
      <c r="A1678" t="s">
        <v>289</v>
      </c>
      <c r="B1678">
        <v>2025</v>
      </c>
      <c r="C1678">
        <v>2</v>
      </c>
      <c r="D1678" t="s">
        <v>75</v>
      </c>
      <c r="E1678" t="s">
        <v>76</v>
      </c>
      <c r="F1678">
        <v>11</v>
      </c>
      <c r="G1678">
        <v>71</v>
      </c>
      <c r="H1678" t="s">
        <v>13</v>
      </c>
      <c r="I1678" t="str">
        <f t="shared" si="26"/>
        <v>Média</v>
      </c>
    </row>
    <row r="1679" spans="1:9">
      <c r="A1679" t="s">
        <v>292</v>
      </c>
      <c r="B1679">
        <v>2025</v>
      </c>
      <c r="C1679">
        <v>2</v>
      </c>
      <c r="D1679" t="s">
        <v>75</v>
      </c>
      <c r="E1679" t="s">
        <v>77</v>
      </c>
      <c r="F1679">
        <v>11</v>
      </c>
      <c r="G1679">
        <v>99.6</v>
      </c>
      <c r="H1679" t="s">
        <v>13</v>
      </c>
      <c r="I1679" t="str">
        <f t="shared" si="26"/>
        <v>Alta</v>
      </c>
    </row>
    <row r="1680" spans="1:9">
      <c r="A1680" t="s">
        <v>297</v>
      </c>
      <c r="B1680">
        <v>2025</v>
      </c>
      <c r="C1680">
        <v>2</v>
      </c>
      <c r="D1680" t="s">
        <v>75</v>
      </c>
      <c r="E1680" t="s">
        <v>78</v>
      </c>
      <c r="F1680">
        <v>11</v>
      </c>
      <c r="G1680">
        <v>62.6</v>
      </c>
      <c r="H1680" t="s">
        <v>13</v>
      </c>
      <c r="I1680" t="str">
        <f t="shared" si="26"/>
        <v>Média</v>
      </c>
    </row>
    <row r="1681" spans="1:9">
      <c r="A1681" t="s">
        <v>345</v>
      </c>
      <c r="B1681">
        <v>2025</v>
      </c>
      <c r="C1681">
        <v>2</v>
      </c>
      <c r="D1681" t="s">
        <v>139</v>
      </c>
      <c r="E1681" t="s">
        <v>10</v>
      </c>
      <c r="F1681">
        <v>11</v>
      </c>
      <c r="G1681">
        <v>55.2</v>
      </c>
      <c r="H1681" t="s">
        <v>13</v>
      </c>
      <c r="I1681" t="str">
        <f t="shared" si="26"/>
        <v>Média</v>
      </c>
    </row>
    <row r="1682" spans="1:9">
      <c r="A1682" t="s">
        <v>370</v>
      </c>
      <c r="B1682">
        <v>2025</v>
      </c>
      <c r="C1682">
        <v>2</v>
      </c>
      <c r="D1682" t="s">
        <v>139</v>
      </c>
      <c r="E1682" t="s">
        <v>140</v>
      </c>
      <c r="F1682">
        <v>11</v>
      </c>
      <c r="G1682">
        <v>97.3</v>
      </c>
      <c r="H1682" t="s">
        <v>13</v>
      </c>
      <c r="I1682" t="str">
        <f t="shared" si="26"/>
        <v>Alta</v>
      </c>
    </row>
    <row r="1683" spans="1:9">
      <c r="A1683" t="s">
        <v>381</v>
      </c>
      <c r="B1683">
        <v>2026</v>
      </c>
      <c r="C1683">
        <v>1</v>
      </c>
      <c r="D1683" t="s">
        <v>9</v>
      </c>
      <c r="E1683" t="s">
        <v>14</v>
      </c>
      <c r="F1683">
        <v>11</v>
      </c>
      <c r="G1683">
        <v>71.400000000000006</v>
      </c>
      <c r="H1683" t="s">
        <v>13</v>
      </c>
      <c r="I1683" t="str">
        <f t="shared" si="26"/>
        <v>Média</v>
      </c>
    </row>
    <row r="1684" spans="1:9">
      <c r="A1684" t="s">
        <v>414</v>
      </c>
      <c r="B1684">
        <v>2026</v>
      </c>
      <c r="C1684">
        <v>1</v>
      </c>
      <c r="D1684" t="s">
        <v>9</v>
      </c>
      <c r="E1684" t="s">
        <v>10</v>
      </c>
      <c r="F1684">
        <v>11</v>
      </c>
      <c r="G1684">
        <v>69.3</v>
      </c>
      <c r="H1684" t="s">
        <v>13</v>
      </c>
      <c r="I1684" t="str">
        <f t="shared" si="26"/>
        <v>Média</v>
      </c>
    </row>
    <row r="1685" spans="1:9">
      <c r="A1685" t="s">
        <v>533</v>
      </c>
      <c r="B1685">
        <v>2026</v>
      </c>
      <c r="C1685">
        <v>1</v>
      </c>
      <c r="D1685" t="s">
        <v>139</v>
      </c>
      <c r="E1685" t="s">
        <v>141</v>
      </c>
      <c r="F1685">
        <v>11</v>
      </c>
      <c r="G1685">
        <v>66.3</v>
      </c>
      <c r="H1685" t="s">
        <v>13</v>
      </c>
      <c r="I1685" t="str">
        <f t="shared" si="26"/>
        <v>Média</v>
      </c>
    </row>
    <row r="1686" spans="1:9">
      <c r="A1686" t="s">
        <v>536</v>
      </c>
      <c r="B1686">
        <v>2026</v>
      </c>
      <c r="C1686">
        <v>1</v>
      </c>
      <c r="D1686" t="s">
        <v>139</v>
      </c>
      <c r="E1686" t="s">
        <v>10</v>
      </c>
      <c r="F1686">
        <v>11</v>
      </c>
      <c r="G1686">
        <v>68.2</v>
      </c>
      <c r="H1686" t="s">
        <v>13</v>
      </c>
      <c r="I1686" t="str">
        <f t="shared" si="26"/>
        <v>Média</v>
      </c>
    </row>
    <row r="1687" spans="1:9">
      <c r="A1687" t="s">
        <v>405</v>
      </c>
      <c r="B1687">
        <v>2026</v>
      </c>
      <c r="C1687">
        <v>2</v>
      </c>
      <c r="D1687" t="s">
        <v>9</v>
      </c>
      <c r="E1687" t="s">
        <v>10</v>
      </c>
      <c r="F1687">
        <v>11</v>
      </c>
      <c r="G1687">
        <v>49.3</v>
      </c>
      <c r="H1687" t="s">
        <v>13</v>
      </c>
      <c r="I1687" t="str">
        <f t="shared" si="26"/>
        <v>Baixa</v>
      </c>
    </row>
    <row r="1688" spans="1:9">
      <c r="A1688" t="s">
        <v>416</v>
      </c>
      <c r="B1688">
        <v>2026</v>
      </c>
      <c r="C1688">
        <v>2</v>
      </c>
      <c r="D1688" t="s">
        <v>9</v>
      </c>
      <c r="E1688" t="s">
        <v>12</v>
      </c>
      <c r="F1688">
        <v>11</v>
      </c>
      <c r="G1688">
        <v>71.7</v>
      </c>
      <c r="H1688" t="s">
        <v>13</v>
      </c>
      <c r="I1688" t="str">
        <f t="shared" si="26"/>
        <v>Média</v>
      </c>
    </row>
    <row r="1689" spans="1:9">
      <c r="A1689" t="s">
        <v>490</v>
      </c>
      <c r="B1689">
        <v>2026</v>
      </c>
      <c r="C1689">
        <v>2</v>
      </c>
      <c r="D1689" t="s">
        <v>75</v>
      </c>
      <c r="E1689" t="s">
        <v>76</v>
      </c>
      <c r="F1689">
        <v>11</v>
      </c>
      <c r="G1689">
        <v>83.4</v>
      </c>
      <c r="H1689" t="s">
        <v>13</v>
      </c>
      <c r="I1689" t="str">
        <f t="shared" si="26"/>
        <v>Alta</v>
      </c>
    </row>
    <row r="1690" spans="1:9">
      <c r="A1690" t="s">
        <v>491</v>
      </c>
      <c r="B1690">
        <v>2026</v>
      </c>
      <c r="C1690">
        <v>2</v>
      </c>
      <c r="D1690" t="s">
        <v>75</v>
      </c>
      <c r="E1690" t="s">
        <v>78</v>
      </c>
      <c r="F1690">
        <v>11</v>
      </c>
      <c r="G1690">
        <v>81.5</v>
      </c>
      <c r="H1690" t="s">
        <v>13</v>
      </c>
      <c r="I1690" t="str">
        <f t="shared" si="26"/>
        <v>Alta</v>
      </c>
    </row>
    <row r="1691" spans="1:9">
      <c r="A1691" t="s">
        <v>521</v>
      </c>
      <c r="B1691">
        <v>2026</v>
      </c>
      <c r="C1691">
        <v>2</v>
      </c>
      <c r="D1691" t="s">
        <v>139</v>
      </c>
      <c r="E1691" t="s">
        <v>141</v>
      </c>
      <c r="F1691">
        <v>11</v>
      </c>
      <c r="G1691">
        <v>54.5</v>
      </c>
      <c r="H1691" t="s">
        <v>13</v>
      </c>
      <c r="I1691" t="str">
        <f t="shared" si="26"/>
        <v>Média</v>
      </c>
    </row>
    <row r="1692" spans="1:9">
      <c r="A1692" t="s">
        <v>525</v>
      </c>
      <c r="B1692">
        <v>2026</v>
      </c>
      <c r="C1692">
        <v>2</v>
      </c>
      <c r="D1692" t="s">
        <v>139</v>
      </c>
      <c r="E1692" t="s">
        <v>141</v>
      </c>
      <c r="F1692">
        <v>11</v>
      </c>
      <c r="G1692">
        <v>74.8</v>
      </c>
      <c r="H1692" t="s">
        <v>13</v>
      </c>
      <c r="I1692" t="str">
        <f t="shared" si="26"/>
        <v>Média</v>
      </c>
    </row>
    <row r="1693" spans="1:9">
      <c r="A1693" t="s">
        <v>526</v>
      </c>
      <c r="B1693">
        <v>2026</v>
      </c>
      <c r="C1693">
        <v>2</v>
      </c>
      <c r="D1693" t="s">
        <v>139</v>
      </c>
      <c r="E1693" t="s">
        <v>140</v>
      </c>
      <c r="F1693">
        <v>11</v>
      </c>
      <c r="G1693">
        <v>69.099999999999994</v>
      </c>
      <c r="H1693" t="s">
        <v>13</v>
      </c>
      <c r="I1693" t="str">
        <f t="shared" si="26"/>
        <v>Média</v>
      </c>
    </row>
    <row r="1694" spans="1:9">
      <c r="A1694" t="s">
        <v>18</v>
      </c>
      <c r="B1694">
        <v>2024</v>
      </c>
      <c r="C1694">
        <v>1</v>
      </c>
      <c r="D1694" t="s">
        <v>9</v>
      </c>
      <c r="E1694" t="s">
        <v>14</v>
      </c>
      <c r="F1694">
        <v>11.1</v>
      </c>
      <c r="G1694">
        <v>67.599999999999994</v>
      </c>
      <c r="H1694" t="s">
        <v>13</v>
      </c>
      <c r="I1694" t="str">
        <f t="shared" si="26"/>
        <v>Média</v>
      </c>
    </row>
    <row r="1695" spans="1:9">
      <c r="A1695" t="s">
        <v>20</v>
      </c>
      <c r="B1695">
        <v>2024</v>
      </c>
      <c r="C1695">
        <v>1</v>
      </c>
      <c r="D1695" t="s">
        <v>9</v>
      </c>
      <c r="E1695" t="s">
        <v>14</v>
      </c>
      <c r="F1695">
        <v>11.1</v>
      </c>
      <c r="G1695">
        <v>65.2</v>
      </c>
      <c r="H1695" t="s">
        <v>13</v>
      </c>
      <c r="I1695" t="str">
        <f t="shared" si="26"/>
        <v>Média</v>
      </c>
    </row>
    <row r="1696" spans="1:9">
      <c r="A1696" t="s">
        <v>115</v>
      </c>
      <c r="B1696">
        <v>2024</v>
      </c>
      <c r="C1696">
        <v>1</v>
      </c>
      <c r="D1696" t="s">
        <v>75</v>
      </c>
      <c r="E1696" t="s">
        <v>78</v>
      </c>
      <c r="F1696">
        <v>11.1</v>
      </c>
      <c r="G1696">
        <v>57.1</v>
      </c>
      <c r="H1696" t="s">
        <v>13</v>
      </c>
      <c r="I1696" t="str">
        <f t="shared" si="26"/>
        <v>Média</v>
      </c>
    </row>
    <row r="1697" spans="1:9">
      <c r="A1697" t="s">
        <v>117</v>
      </c>
      <c r="B1697">
        <v>2024</v>
      </c>
      <c r="C1697">
        <v>1</v>
      </c>
      <c r="D1697" t="s">
        <v>75</v>
      </c>
      <c r="E1697" t="s">
        <v>76</v>
      </c>
      <c r="F1697">
        <v>11.1</v>
      </c>
      <c r="G1697">
        <v>53.7</v>
      </c>
      <c r="H1697" t="s">
        <v>13</v>
      </c>
      <c r="I1697" t="str">
        <f t="shared" si="26"/>
        <v>Média</v>
      </c>
    </row>
    <row r="1698" spans="1:9">
      <c r="A1698" t="s">
        <v>148</v>
      </c>
      <c r="B1698">
        <v>2024</v>
      </c>
      <c r="C1698">
        <v>1</v>
      </c>
      <c r="D1698" t="s">
        <v>139</v>
      </c>
      <c r="E1698" t="s">
        <v>140</v>
      </c>
      <c r="F1698">
        <v>11.1</v>
      </c>
      <c r="G1698">
        <v>87.7</v>
      </c>
      <c r="H1698" t="s">
        <v>13</v>
      </c>
      <c r="I1698" t="str">
        <f t="shared" si="26"/>
        <v>Alta</v>
      </c>
    </row>
    <row r="1699" spans="1:9">
      <c r="A1699" t="s">
        <v>175</v>
      </c>
      <c r="B1699">
        <v>2024</v>
      </c>
      <c r="C1699">
        <v>1</v>
      </c>
      <c r="D1699" t="s">
        <v>139</v>
      </c>
      <c r="E1699" t="s">
        <v>141</v>
      </c>
      <c r="F1699">
        <v>11.1</v>
      </c>
      <c r="G1699">
        <v>89.2</v>
      </c>
      <c r="H1699" t="s">
        <v>13</v>
      </c>
      <c r="I1699" t="str">
        <f t="shared" si="26"/>
        <v>Alta</v>
      </c>
    </row>
    <row r="1700" spans="1:9">
      <c r="A1700" t="s">
        <v>184</v>
      </c>
      <c r="B1700">
        <v>2024</v>
      </c>
      <c r="C1700">
        <v>1</v>
      </c>
      <c r="D1700" t="s">
        <v>139</v>
      </c>
      <c r="E1700" t="s">
        <v>140</v>
      </c>
      <c r="F1700">
        <v>11.1</v>
      </c>
      <c r="G1700">
        <v>67.099999999999994</v>
      </c>
      <c r="H1700" t="s">
        <v>13</v>
      </c>
      <c r="I1700" t="str">
        <f t="shared" si="26"/>
        <v>Média</v>
      </c>
    </row>
    <row r="1701" spans="1:9">
      <c r="A1701" t="s">
        <v>18</v>
      </c>
      <c r="B1701">
        <v>2024</v>
      </c>
      <c r="C1701">
        <v>2</v>
      </c>
      <c r="D1701" t="s">
        <v>9</v>
      </c>
      <c r="E1701" t="s">
        <v>10</v>
      </c>
      <c r="F1701">
        <v>11.1</v>
      </c>
      <c r="G1701">
        <v>64.5</v>
      </c>
      <c r="H1701" t="s">
        <v>13</v>
      </c>
      <c r="I1701" t="str">
        <f t="shared" si="26"/>
        <v>Média</v>
      </c>
    </row>
    <row r="1702" spans="1:9">
      <c r="A1702" t="s">
        <v>32</v>
      </c>
      <c r="B1702">
        <v>2024</v>
      </c>
      <c r="C1702">
        <v>2</v>
      </c>
      <c r="D1702" t="s">
        <v>9</v>
      </c>
      <c r="E1702" t="s">
        <v>12</v>
      </c>
      <c r="F1702">
        <v>11.1</v>
      </c>
      <c r="G1702">
        <v>63.9</v>
      </c>
      <c r="H1702" t="s">
        <v>13</v>
      </c>
      <c r="I1702" t="str">
        <f t="shared" si="26"/>
        <v>Média</v>
      </c>
    </row>
    <row r="1703" spans="1:9">
      <c r="A1703" t="s">
        <v>39</v>
      </c>
      <c r="B1703">
        <v>2024</v>
      </c>
      <c r="C1703">
        <v>2</v>
      </c>
      <c r="D1703" t="s">
        <v>9</v>
      </c>
      <c r="E1703" t="s">
        <v>12</v>
      </c>
      <c r="F1703">
        <v>11.1</v>
      </c>
      <c r="G1703">
        <v>64.099999999999994</v>
      </c>
      <c r="H1703" t="s">
        <v>13</v>
      </c>
      <c r="I1703" t="str">
        <f t="shared" si="26"/>
        <v>Média</v>
      </c>
    </row>
    <row r="1704" spans="1:9">
      <c r="A1704" t="s">
        <v>63</v>
      </c>
      <c r="B1704">
        <v>2024</v>
      </c>
      <c r="C1704">
        <v>2</v>
      </c>
      <c r="D1704" t="s">
        <v>9</v>
      </c>
      <c r="E1704" t="s">
        <v>10</v>
      </c>
      <c r="F1704">
        <v>11.1</v>
      </c>
      <c r="G1704">
        <v>76.099999999999994</v>
      </c>
      <c r="H1704" t="s">
        <v>13</v>
      </c>
      <c r="I1704" t="str">
        <f t="shared" si="26"/>
        <v>Alta</v>
      </c>
    </row>
    <row r="1705" spans="1:9">
      <c r="A1705" t="s">
        <v>114</v>
      </c>
      <c r="B1705">
        <v>2024</v>
      </c>
      <c r="C1705">
        <v>2</v>
      </c>
      <c r="D1705" t="s">
        <v>75</v>
      </c>
      <c r="E1705" t="s">
        <v>76</v>
      </c>
      <c r="F1705">
        <v>11.1</v>
      </c>
      <c r="G1705">
        <v>96.7</v>
      </c>
      <c r="H1705" t="s">
        <v>13</v>
      </c>
      <c r="I1705" t="str">
        <f t="shared" si="26"/>
        <v>Alta</v>
      </c>
    </row>
    <row r="1706" spans="1:9">
      <c r="A1706" t="s">
        <v>149</v>
      </c>
      <c r="B1706">
        <v>2024</v>
      </c>
      <c r="C1706">
        <v>2</v>
      </c>
      <c r="D1706" t="s">
        <v>139</v>
      </c>
      <c r="E1706" t="s">
        <v>140</v>
      </c>
      <c r="F1706">
        <v>11.1</v>
      </c>
      <c r="G1706">
        <v>64.400000000000006</v>
      </c>
      <c r="H1706" t="s">
        <v>13</v>
      </c>
      <c r="I1706" t="str">
        <f t="shared" si="26"/>
        <v>Média</v>
      </c>
    </row>
    <row r="1707" spans="1:9">
      <c r="A1707" t="s">
        <v>197</v>
      </c>
      <c r="B1707">
        <v>2024</v>
      </c>
      <c r="C1707">
        <v>2</v>
      </c>
      <c r="D1707" t="s">
        <v>139</v>
      </c>
      <c r="E1707" t="s">
        <v>140</v>
      </c>
      <c r="F1707">
        <v>11.1</v>
      </c>
      <c r="G1707">
        <v>82.9</v>
      </c>
      <c r="H1707" t="s">
        <v>13</v>
      </c>
      <c r="I1707" t="str">
        <f t="shared" si="26"/>
        <v>Alta</v>
      </c>
    </row>
    <row r="1708" spans="1:9">
      <c r="A1708" t="s">
        <v>283</v>
      </c>
      <c r="B1708">
        <v>2025</v>
      </c>
      <c r="C1708">
        <v>1</v>
      </c>
      <c r="D1708" t="s">
        <v>75</v>
      </c>
      <c r="E1708" t="s">
        <v>76</v>
      </c>
      <c r="F1708">
        <v>11.1</v>
      </c>
      <c r="G1708">
        <v>76.5</v>
      </c>
      <c r="H1708" t="s">
        <v>13</v>
      </c>
      <c r="I1708" t="str">
        <f t="shared" si="26"/>
        <v>Alta</v>
      </c>
    </row>
    <row r="1709" spans="1:9">
      <c r="A1709" t="s">
        <v>342</v>
      </c>
      <c r="B1709">
        <v>2025</v>
      </c>
      <c r="C1709">
        <v>1</v>
      </c>
      <c r="D1709" t="s">
        <v>139</v>
      </c>
      <c r="E1709" t="s">
        <v>141</v>
      </c>
      <c r="F1709">
        <v>11.1</v>
      </c>
      <c r="G1709">
        <v>53.5</v>
      </c>
      <c r="H1709" t="s">
        <v>13</v>
      </c>
      <c r="I1709" t="str">
        <f t="shared" si="26"/>
        <v>Média</v>
      </c>
    </row>
    <row r="1710" spans="1:9">
      <c r="A1710" t="s">
        <v>203</v>
      </c>
      <c r="B1710">
        <v>2025</v>
      </c>
      <c r="C1710">
        <v>2</v>
      </c>
      <c r="D1710" t="s">
        <v>9</v>
      </c>
      <c r="E1710" t="s">
        <v>12</v>
      </c>
      <c r="F1710">
        <v>11.1</v>
      </c>
      <c r="G1710">
        <v>87.7</v>
      </c>
      <c r="H1710" t="s">
        <v>13</v>
      </c>
      <c r="I1710" t="str">
        <f t="shared" si="26"/>
        <v>Alta</v>
      </c>
    </row>
    <row r="1711" spans="1:9">
      <c r="A1711" t="s">
        <v>228</v>
      </c>
      <c r="B1711">
        <v>2025</v>
      </c>
      <c r="C1711">
        <v>2</v>
      </c>
      <c r="D1711" t="s">
        <v>9</v>
      </c>
      <c r="E1711" t="s">
        <v>14</v>
      </c>
      <c r="F1711">
        <v>11.1</v>
      </c>
      <c r="G1711">
        <v>47.6</v>
      </c>
      <c r="H1711" t="s">
        <v>13</v>
      </c>
      <c r="I1711" t="str">
        <f t="shared" si="26"/>
        <v>Baixa</v>
      </c>
    </row>
    <row r="1712" spans="1:9">
      <c r="A1712" t="s">
        <v>280</v>
      </c>
      <c r="B1712">
        <v>2025</v>
      </c>
      <c r="C1712">
        <v>2</v>
      </c>
      <c r="D1712" t="s">
        <v>75</v>
      </c>
      <c r="E1712" t="s">
        <v>78</v>
      </c>
      <c r="F1712">
        <v>11.1</v>
      </c>
      <c r="G1712">
        <v>64.7</v>
      </c>
      <c r="H1712" t="s">
        <v>13</v>
      </c>
      <c r="I1712" t="str">
        <f t="shared" si="26"/>
        <v>Média</v>
      </c>
    </row>
    <row r="1713" spans="1:9">
      <c r="A1713" t="s">
        <v>368</v>
      </c>
      <c r="B1713">
        <v>2025</v>
      </c>
      <c r="C1713">
        <v>2</v>
      </c>
      <c r="D1713" t="s">
        <v>139</v>
      </c>
      <c r="E1713" t="s">
        <v>140</v>
      </c>
      <c r="F1713">
        <v>11.1</v>
      </c>
      <c r="G1713">
        <v>97.6</v>
      </c>
      <c r="H1713" t="s">
        <v>13</v>
      </c>
      <c r="I1713" t="str">
        <f t="shared" si="26"/>
        <v>Alta</v>
      </c>
    </row>
    <row r="1714" spans="1:9">
      <c r="A1714" t="s">
        <v>417</v>
      </c>
      <c r="B1714">
        <v>2026</v>
      </c>
      <c r="C1714">
        <v>1</v>
      </c>
      <c r="D1714" t="s">
        <v>9</v>
      </c>
      <c r="E1714" t="s">
        <v>12</v>
      </c>
      <c r="F1714">
        <v>11.1</v>
      </c>
      <c r="G1714">
        <v>79.8</v>
      </c>
      <c r="H1714" t="s">
        <v>13</v>
      </c>
      <c r="I1714" t="str">
        <f t="shared" si="26"/>
        <v>Alta</v>
      </c>
    </row>
    <row r="1715" spans="1:9">
      <c r="A1715" t="s">
        <v>424</v>
      </c>
      <c r="B1715">
        <v>2026</v>
      </c>
      <c r="C1715">
        <v>1</v>
      </c>
      <c r="D1715" t="s">
        <v>9</v>
      </c>
      <c r="E1715" t="s">
        <v>10</v>
      </c>
      <c r="F1715">
        <v>11.1</v>
      </c>
      <c r="G1715">
        <v>65.900000000000006</v>
      </c>
      <c r="H1715" t="s">
        <v>13</v>
      </c>
      <c r="I1715" t="str">
        <f t="shared" si="26"/>
        <v>Média</v>
      </c>
    </row>
    <row r="1716" spans="1:9">
      <c r="A1716" t="s">
        <v>426</v>
      </c>
      <c r="B1716">
        <v>2026</v>
      </c>
      <c r="C1716">
        <v>1</v>
      </c>
      <c r="D1716" t="s">
        <v>9</v>
      </c>
      <c r="E1716" t="s">
        <v>12</v>
      </c>
      <c r="F1716">
        <v>11.1</v>
      </c>
      <c r="G1716">
        <v>87.2</v>
      </c>
      <c r="H1716" t="s">
        <v>13</v>
      </c>
      <c r="I1716" t="str">
        <f t="shared" si="26"/>
        <v>Alta</v>
      </c>
    </row>
    <row r="1717" spans="1:9">
      <c r="A1717" t="s">
        <v>438</v>
      </c>
      <c r="B1717">
        <v>2026</v>
      </c>
      <c r="C1717">
        <v>1</v>
      </c>
      <c r="D1717" t="s">
        <v>9</v>
      </c>
      <c r="E1717" t="s">
        <v>12</v>
      </c>
      <c r="F1717">
        <v>11.1</v>
      </c>
      <c r="G1717">
        <v>58.4</v>
      </c>
      <c r="H1717" t="s">
        <v>13</v>
      </c>
      <c r="I1717" t="str">
        <f t="shared" si="26"/>
        <v>Média</v>
      </c>
    </row>
    <row r="1718" spans="1:9">
      <c r="A1718" t="s">
        <v>499</v>
      </c>
      <c r="B1718">
        <v>2026</v>
      </c>
      <c r="C1718">
        <v>1</v>
      </c>
      <c r="D1718" t="s">
        <v>75</v>
      </c>
      <c r="E1718" t="s">
        <v>78</v>
      </c>
      <c r="F1718">
        <v>11.1</v>
      </c>
      <c r="G1718">
        <v>67.599999999999994</v>
      </c>
      <c r="H1718" t="s">
        <v>13</v>
      </c>
      <c r="I1718" t="str">
        <f t="shared" si="26"/>
        <v>Média</v>
      </c>
    </row>
    <row r="1719" spans="1:9">
      <c r="A1719" t="s">
        <v>516</v>
      </c>
      <c r="B1719">
        <v>2026</v>
      </c>
      <c r="C1719">
        <v>1</v>
      </c>
      <c r="D1719" t="s">
        <v>139</v>
      </c>
      <c r="E1719" t="s">
        <v>140</v>
      </c>
      <c r="F1719">
        <v>11.1</v>
      </c>
      <c r="G1719">
        <v>67.2</v>
      </c>
      <c r="H1719" t="s">
        <v>13</v>
      </c>
      <c r="I1719" t="str">
        <f t="shared" si="26"/>
        <v>Média</v>
      </c>
    </row>
    <row r="1720" spans="1:9">
      <c r="A1720" t="s">
        <v>528</v>
      </c>
      <c r="B1720">
        <v>2026</v>
      </c>
      <c r="C1720">
        <v>1</v>
      </c>
      <c r="D1720" t="s">
        <v>139</v>
      </c>
      <c r="E1720" t="s">
        <v>141</v>
      </c>
      <c r="F1720">
        <v>11.1</v>
      </c>
      <c r="G1720">
        <v>95.3</v>
      </c>
      <c r="H1720" t="s">
        <v>13</v>
      </c>
      <c r="I1720" t="str">
        <f t="shared" si="26"/>
        <v>Alta</v>
      </c>
    </row>
    <row r="1721" spans="1:9">
      <c r="A1721" t="s">
        <v>382</v>
      </c>
      <c r="B1721">
        <v>2026</v>
      </c>
      <c r="C1721">
        <v>2</v>
      </c>
      <c r="D1721" t="s">
        <v>9</v>
      </c>
      <c r="E1721" t="s">
        <v>12</v>
      </c>
      <c r="F1721">
        <v>11.1</v>
      </c>
      <c r="G1721">
        <v>76.5</v>
      </c>
      <c r="H1721" t="s">
        <v>13</v>
      </c>
      <c r="I1721" t="str">
        <f t="shared" si="26"/>
        <v>Alta</v>
      </c>
    </row>
    <row r="1722" spans="1:9">
      <c r="A1722" t="s">
        <v>422</v>
      </c>
      <c r="B1722">
        <v>2026</v>
      </c>
      <c r="C1722">
        <v>2</v>
      </c>
      <c r="D1722" t="s">
        <v>9</v>
      </c>
      <c r="E1722" t="s">
        <v>14</v>
      </c>
      <c r="F1722">
        <v>11.1</v>
      </c>
      <c r="G1722">
        <v>59.9</v>
      </c>
      <c r="H1722" t="s">
        <v>13</v>
      </c>
      <c r="I1722" t="str">
        <f t="shared" si="26"/>
        <v>Média</v>
      </c>
    </row>
    <row r="1723" spans="1:9">
      <c r="A1723" t="s">
        <v>521</v>
      </c>
      <c r="B1723">
        <v>2026</v>
      </c>
      <c r="C1723">
        <v>2</v>
      </c>
      <c r="D1723" t="s">
        <v>139</v>
      </c>
      <c r="E1723" t="s">
        <v>10</v>
      </c>
      <c r="F1723">
        <v>11.1</v>
      </c>
      <c r="G1723">
        <v>63</v>
      </c>
      <c r="H1723" t="s">
        <v>13</v>
      </c>
      <c r="I1723" t="str">
        <f t="shared" si="26"/>
        <v>Média</v>
      </c>
    </row>
    <row r="1724" spans="1:9">
      <c r="A1724" t="s">
        <v>545</v>
      </c>
      <c r="B1724">
        <v>2026</v>
      </c>
      <c r="C1724">
        <v>2</v>
      </c>
      <c r="D1724" t="s">
        <v>139</v>
      </c>
      <c r="E1724" t="s">
        <v>140</v>
      </c>
      <c r="F1724">
        <v>11.1</v>
      </c>
      <c r="G1724">
        <v>51.2</v>
      </c>
      <c r="H1724" t="s">
        <v>13</v>
      </c>
      <c r="I1724" t="str">
        <f t="shared" si="26"/>
        <v>Média</v>
      </c>
    </row>
    <row r="1725" spans="1:9">
      <c r="A1725" t="s">
        <v>21</v>
      </c>
      <c r="B1725">
        <v>2024</v>
      </c>
      <c r="C1725">
        <v>1</v>
      </c>
      <c r="D1725" t="s">
        <v>9</v>
      </c>
      <c r="E1725" t="s">
        <v>10</v>
      </c>
      <c r="F1725">
        <v>11.2</v>
      </c>
      <c r="G1725">
        <v>63.7</v>
      </c>
      <c r="H1725" t="s">
        <v>13</v>
      </c>
      <c r="I1725" t="str">
        <f t="shared" si="26"/>
        <v>Média</v>
      </c>
    </row>
    <row r="1726" spans="1:9">
      <c r="A1726" t="s">
        <v>43</v>
      </c>
      <c r="B1726">
        <v>2024</v>
      </c>
      <c r="C1726">
        <v>1</v>
      </c>
      <c r="D1726" t="s">
        <v>9</v>
      </c>
      <c r="E1726" t="s">
        <v>12</v>
      </c>
      <c r="F1726">
        <v>11.2</v>
      </c>
      <c r="G1726">
        <v>89.6</v>
      </c>
      <c r="H1726" t="s">
        <v>13</v>
      </c>
      <c r="I1726" t="str">
        <f t="shared" si="26"/>
        <v>Alta</v>
      </c>
    </row>
    <row r="1727" spans="1:9">
      <c r="A1727" t="s">
        <v>53</v>
      </c>
      <c r="B1727">
        <v>2024</v>
      </c>
      <c r="C1727">
        <v>1</v>
      </c>
      <c r="D1727" t="s">
        <v>9</v>
      </c>
      <c r="E1727" t="s">
        <v>14</v>
      </c>
      <c r="F1727">
        <v>11.2</v>
      </c>
      <c r="G1727">
        <v>51.2</v>
      </c>
      <c r="H1727" t="s">
        <v>13</v>
      </c>
      <c r="I1727" t="str">
        <f t="shared" si="26"/>
        <v>Média</v>
      </c>
    </row>
    <row r="1728" spans="1:9">
      <c r="A1728" t="s">
        <v>68</v>
      </c>
      <c r="B1728">
        <v>2024</v>
      </c>
      <c r="C1728">
        <v>1</v>
      </c>
      <c r="D1728" t="s">
        <v>9</v>
      </c>
      <c r="E1728" t="s">
        <v>14</v>
      </c>
      <c r="F1728">
        <v>11.2</v>
      </c>
      <c r="G1728">
        <v>71.8</v>
      </c>
      <c r="H1728" t="s">
        <v>13</v>
      </c>
      <c r="I1728" t="str">
        <f t="shared" si="26"/>
        <v>Média</v>
      </c>
    </row>
    <row r="1729" spans="1:9">
      <c r="A1729" t="s">
        <v>101</v>
      </c>
      <c r="B1729">
        <v>2024</v>
      </c>
      <c r="C1729">
        <v>1</v>
      </c>
      <c r="D1729" t="s">
        <v>75</v>
      </c>
      <c r="E1729" t="s">
        <v>77</v>
      </c>
      <c r="F1729">
        <v>11.2</v>
      </c>
      <c r="G1729">
        <v>77.8</v>
      </c>
      <c r="H1729" t="s">
        <v>13</v>
      </c>
      <c r="I1729" t="str">
        <f t="shared" si="26"/>
        <v>Alta</v>
      </c>
    </row>
    <row r="1730" spans="1:9">
      <c r="A1730" t="s">
        <v>102</v>
      </c>
      <c r="B1730">
        <v>2024</v>
      </c>
      <c r="C1730">
        <v>1</v>
      </c>
      <c r="D1730" t="s">
        <v>75</v>
      </c>
      <c r="E1730" t="s">
        <v>77</v>
      </c>
      <c r="F1730">
        <v>11.2</v>
      </c>
      <c r="G1730">
        <v>67.2</v>
      </c>
      <c r="H1730" t="s">
        <v>13</v>
      </c>
      <c r="I1730" t="str">
        <f t="shared" ref="I1730:I1793" si="27">IF(G1730&lt;50,"Baixa",IF(G1730&lt;75,"Média","Alta"))</f>
        <v>Média</v>
      </c>
    </row>
    <row r="1731" spans="1:9">
      <c r="A1731" t="s">
        <v>147</v>
      </c>
      <c r="B1731">
        <v>2024</v>
      </c>
      <c r="C1731">
        <v>1</v>
      </c>
      <c r="D1731" t="s">
        <v>139</v>
      </c>
      <c r="E1731" t="s">
        <v>141</v>
      </c>
      <c r="F1731">
        <v>11.2</v>
      </c>
      <c r="G1731">
        <v>52.4</v>
      </c>
      <c r="H1731" t="s">
        <v>13</v>
      </c>
      <c r="I1731" t="str">
        <f t="shared" si="27"/>
        <v>Média</v>
      </c>
    </row>
    <row r="1732" spans="1:9">
      <c r="A1732" t="s">
        <v>179</v>
      </c>
      <c r="B1732">
        <v>2024</v>
      </c>
      <c r="C1732">
        <v>1</v>
      </c>
      <c r="D1732" t="s">
        <v>139</v>
      </c>
      <c r="E1732" t="s">
        <v>141</v>
      </c>
      <c r="F1732">
        <v>11.2</v>
      </c>
      <c r="G1732">
        <v>89.5</v>
      </c>
      <c r="H1732" t="s">
        <v>13</v>
      </c>
      <c r="I1732" t="str">
        <f t="shared" si="27"/>
        <v>Alta</v>
      </c>
    </row>
    <row r="1733" spans="1:9">
      <c r="A1733" t="s">
        <v>16</v>
      </c>
      <c r="B1733">
        <v>2024</v>
      </c>
      <c r="C1733">
        <v>2</v>
      </c>
      <c r="D1733" t="s">
        <v>9</v>
      </c>
      <c r="E1733" t="s">
        <v>12</v>
      </c>
      <c r="F1733">
        <v>11.2</v>
      </c>
      <c r="G1733">
        <v>62.7</v>
      </c>
      <c r="H1733" t="s">
        <v>13</v>
      </c>
      <c r="I1733" t="str">
        <f t="shared" si="27"/>
        <v>Média</v>
      </c>
    </row>
    <row r="1734" spans="1:9">
      <c r="A1734" t="s">
        <v>21</v>
      </c>
      <c r="B1734">
        <v>2024</v>
      </c>
      <c r="C1734">
        <v>2</v>
      </c>
      <c r="D1734" t="s">
        <v>9</v>
      </c>
      <c r="E1734" t="s">
        <v>10</v>
      </c>
      <c r="F1734">
        <v>11.2</v>
      </c>
      <c r="G1734">
        <v>89.9</v>
      </c>
      <c r="H1734" t="s">
        <v>13</v>
      </c>
      <c r="I1734" t="str">
        <f t="shared" si="27"/>
        <v>Alta</v>
      </c>
    </row>
    <row r="1735" spans="1:9">
      <c r="A1735" t="s">
        <v>65</v>
      </c>
      <c r="B1735">
        <v>2024</v>
      </c>
      <c r="C1735">
        <v>2</v>
      </c>
      <c r="D1735" t="s">
        <v>9</v>
      </c>
      <c r="E1735" t="s">
        <v>10</v>
      </c>
      <c r="F1735">
        <v>11.2</v>
      </c>
      <c r="G1735">
        <v>49.5</v>
      </c>
      <c r="H1735" t="s">
        <v>13</v>
      </c>
      <c r="I1735" t="str">
        <f t="shared" si="27"/>
        <v>Baixa</v>
      </c>
    </row>
    <row r="1736" spans="1:9">
      <c r="A1736" t="s">
        <v>115</v>
      </c>
      <c r="B1736">
        <v>2024</v>
      </c>
      <c r="C1736">
        <v>2</v>
      </c>
      <c r="D1736" t="s">
        <v>75</v>
      </c>
      <c r="E1736" t="s">
        <v>78</v>
      </c>
      <c r="F1736">
        <v>11.2</v>
      </c>
      <c r="G1736">
        <v>62.1</v>
      </c>
      <c r="H1736" t="s">
        <v>13</v>
      </c>
      <c r="I1736" t="str">
        <f t="shared" si="27"/>
        <v>Média</v>
      </c>
    </row>
    <row r="1737" spans="1:9">
      <c r="A1737" t="s">
        <v>130</v>
      </c>
      <c r="B1737">
        <v>2024</v>
      </c>
      <c r="C1737">
        <v>2</v>
      </c>
      <c r="D1737" t="s">
        <v>75</v>
      </c>
      <c r="E1737" t="s">
        <v>76</v>
      </c>
      <c r="F1737">
        <v>11.2</v>
      </c>
      <c r="G1737">
        <v>73.599999999999994</v>
      </c>
      <c r="H1737" t="s">
        <v>13</v>
      </c>
      <c r="I1737" t="str">
        <f t="shared" si="27"/>
        <v>Média</v>
      </c>
    </row>
    <row r="1738" spans="1:9">
      <c r="A1738" t="s">
        <v>134</v>
      </c>
      <c r="B1738">
        <v>2024</v>
      </c>
      <c r="C1738">
        <v>2</v>
      </c>
      <c r="D1738" t="s">
        <v>75</v>
      </c>
      <c r="E1738" t="s">
        <v>77</v>
      </c>
      <c r="F1738">
        <v>11.2</v>
      </c>
      <c r="G1738">
        <v>81.400000000000006</v>
      </c>
      <c r="H1738" t="s">
        <v>13</v>
      </c>
      <c r="I1738" t="str">
        <f t="shared" si="27"/>
        <v>Alta</v>
      </c>
    </row>
    <row r="1739" spans="1:9">
      <c r="A1739" t="s">
        <v>199</v>
      </c>
      <c r="B1739">
        <v>2024</v>
      </c>
      <c r="C1739">
        <v>2</v>
      </c>
      <c r="D1739" t="s">
        <v>139</v>
      </c>
      <c r="E1739" t="s">
        <v>10</v>
      </c>
      <c r="F1739">
        <v>11.2</v>
      </c>
      <c r="G1739">
        <v>83.1</v>
      </c>
      <c r="H1739" t="s">
        <v>13</v>
      </c>
      <c r="I1739" t="str">
        <f t="shared" si="27"/>
        <v>Alta</v>
      </c>
    </row>
    <row r="1740" spans="1:9">
      <c r="A1740" t="s">
        <v>205</v>
      </c>
      <c r="B1740">
        <v>2025</v>
      </c>
      <c r="C1740">
        <v>1</v>
      </c>
      <c r="D1740" t="s">
        <v>9</v>
      </c>
      <c r="E1740" t="s">
        <v>14</v>
      </c>
      <c r="F1740">
        <v>11.2</v>
      </c>
      <c r="G1740">
        <v>92.9</v>
      </c>
      <c r="H1740" t="s">
        <v>13</v>
      </c>
      <c r="I1740" t="str">
        <f t="shared" si="27"/>
        <v>Alta</v>
      </c>
    </row>
    <row r="1741" spans="1:9">
      <c r="A1741" t="s">
        <v>235</v>
      </c>
      <c r="B1741">
        <v>2025</v>
      </c>
      <c r="C1741">
        <v>1</v>
      </c>
      <c r="D1741" t="s">
        <v>9</v>
      </c>
      <c r="E1741" t="s">
        <v>12</v>
      </c>
      <c r="F1741">
        <v>11.2</v>
      </c>
      <c r="G1741">
        <v>82.3</v>
      </c>
      <c r="H1741" t="s">
        <v>13</v>
      </c>
      <c r="I1741" t="str">
        <f t="shared" si="27"/>
        <v>Alta</v>
      </c>
    </row>
    <row r="1742" spans="1:9">
      <c r="A1742" t="s">
        <v>265</v>
      </c>
      <c r="B1742">
        <v>2025</v>
      </c>
      <c r="C1742">
        <v>1</v>
      </c>
      <c r="D1742" t="s">
        <v>75</v>
      </c>
      <c r="E1742" t="s">
        <v>77</v>
      </c>
      <c r="F1742">
        <v>11.2</v>
      </c>
      <c r="G1742">
        <v>56.2</v>
      </c>
      <c r="H1742" t="s">
        <v>13</v>
      </c>
      <c r="I1742" t="str">
        <f t="shared" si="27"/>
        <v>Média</v>
      </c>
    </row>
    <row r="1743" spans="1:9">
      <c r="A1743" t="s">
        <v>267</v>
      </c>
      <c r="B1743">
        <v>2025</v>
      </c>
      <c r="C1743">
        <v>1</v>
      </c>
      <c r="D1743" t="s">
        <v>75</v>
      </c>
      <c r="E1743" t="s">
        <v>76</v>
      </c>
      <c r="F1743">
        <v>11.2</v>
      </c>
      <c r="G1743">
        <v>73.400000000000006</v>
      </c>
      <c r="H1743" t="s">
        <v>13</v>
      </c>
      <c r="I1743" t="str">
        <f t="shared" si="27"/>
        <v>Média</v>
      </c>
    </row>
    <row r="1744" spans="1:9">
      <c r="A1744" t="s">
        <v>268</v>
      </c>
      <c r="B1744">
        <v>2025</v>
      </c>
      <c r="C1744">
        <v>1</v>
      </c>
      <c r="D1744" t="s">
        <v>75</v>
      </c>
      <c r="E1744" t="s">
        <v>77</v>
      </c>
      <c r="F1744">
        <v>11.2</v>
      </c>
      <c r="G1744">
        <v>61.8</v>
      </c>
      <c r="H1744" t="s">
        <v>13</v>
      </c>
      <c r="I1744" t="str">
        <f t="shared" si="27"/>
        <v>Média</v>
      </c>
    </row>
    <row r="1745" spans="1:9">
      <c r="A1745" t="s">
        <v>294</v>
      </c>
      <c r="B1745">
        <v>2025</v>
      </c>
      <c r="C1745">
        <v>1</v>
      </c>
      <c r="D1745" t="s">
        <v>75</v>
      </c>
      <c r="E1745" t="s">
        <v>78</v>
      </c>
      <c r="F1745">
        <v>11.2</v>
      </c>
      <c r="G1745">
        <v>80.5</v>
      </c>
      <c r="H1745" t="s">
        <v>13</v>
      </c>
      <c r="I1745" t="str">
        <f t="shared" si="27"/>
        <v>Alta</v>
      </c>
    </row>
    <row r="1746" spans="1:9">
      <c r="A1746" t="s">
        <v>328</v>
      </c>
      <c r="B1746">
        <v>2025</v>
      </c>
      <c r="C1746">
        <v>1</v>
      </c>
      <c r="D1746" t="s">
        <v>139</v>
      </c>
      <c r="E1746" t="s">
        <v>140</v>
      </c>
      <c r="F1746">
        <v>11.2</v>
      </c>
      <c r="G1746">
        <v>61.3</v>
      </c>
      <c r="H1746" t="s">
        <v>13</v>
      </c>
      <c r="I1746" t="str">
        <f t="shared" si="27"/>
        <v>Média</v>
      </c>
    </row>
    <row r="1747" spans="1:9">
      <c r="A1747" t="s">
        <v>350</v>
      </c>
      <c r="B1747">
        <v>2025</v>
      </c>
      <c r="C1747">
        <v>1</v>
      </c>
      <c r="D1747" t="s">
        <v>139</v>
      </c>
      <c r="E1747" t="s">
        <v>140</v>
      </c>
      <c r="F1747">
        <v>11.2</v>
      </c>
      <c r="G1747">
        <v>69.400000000000006</v>
      </c>
      <c r="H1747" t="s">
        <v>13</v>
      </c>
      <c r="I1747" t="str">
        <f t="shared" si="27"/>
        <v>Média</v>
      </c>
    </row>
    <row r="1748" spans="1:9">
      <c r="A1748" t="s">
        <v>201</v>
      </c>
      <c r="B1748">
        <v>2025</v>
      </c>
      <c r="C1748">
        <v>2</v>
      </c>
      <c r="D1748" t="s">
        <v>9</v>
      </c>
      <c r="E1748" t="s">
        <v>12</v>
      </c>
      <c r="F1748">
        <v>11.2</v>
      </c>
      <c r="G1748">
        <v>75.3</v>
      </c>
      <c r="H1748" t="s">
        <v>13</v>
      </c>
      <c r="I1748" t="str">
        <f t="shared" si="27"/>
        <v>Alta</v>
      </c>
    </row>
    <row r="1749" spans="1:9">
      <c r="A1749" t="s">
        <v>207</v>
      </c>
      <c r="B1749">
        <v>2025</v>
      </c>
      <c r="C1749">
        <v>2</v>
      </c>
      <c r="D1749" t="s">
        <v>9</v>
      </c>
      <c r="E1749" t="s">
        <v>14</v>
      </c>
      <c r="F1749">
        <v>11.2</v>
      </c>
      <c r="G1749">
        <v>49.6</v>
      </c>
      <c r="H1749" t="s">
        <v>13</v>
      </c>
      <c r="I1749" t="str">
        <f t="shared" si="27"/>
        <v>Baixa</v>
      </c>
    </row>
    <row r="1750" spans="1:9">
      <c r="A1750" t="s">
        <v>309</v>
      </c>
      <c r="B1750">
        <v>2025</v>
      </c>
      <c r="C1750">
        <v>2</v>
      </c>
      <c r="D1750" t="s">
        <v>75</v>
      </c>
      <c r="E1750" t="s">
        <v>76</v>
      </c>
      <c r="F1750">
        <v>11.2</v>
      </c>
      <c r="G1750">
        <v>65.8</v>
      </c>
      <c r="H1750" t="s">
        <v>13</v>
      </c>
      <c r="I1750" t="str">
        <f t="shared" si="27"/>
        <v>Média</v>
      </c>
    </row>
    <row r="1751" spans="1:9">
      <c r="A1751" t="s">
        <v>314</v>
      </c>
      <c r="B1751">
        <v>2025</v>
      </c>
      <c r="C1751">
        <v>2</v>
      </c>
      <c r="D1751" t="s">
        <v>75</v>
      </c>
      <c r="E1751" t="s">
        <v>78</v>
      </c>
      <c r="F1751">
        <v>11.2</v>
      </c>
      <c r="G1751">
        <v>94.3</v>
      </c>
      <c r="H1751" t="s">
        <v>13</v>
      </c>
      <c r="I1751" t="str">
        <f t="shared" si="27"/>
        <v>Alta</v>
      </c>
    </row>
    <row r="1752" spans="1:9">
      <c r="A1752" t="s">
        <v>364</v>
      </c>
      <c r="B1752">
        <v>2025</v>
      </c>
      <c r="C1752">
        <v>2</v>
      </c>
      <c r="D1752" t="s">
        <v>139</v>
      </c>
      <c r="E1752" t="s">
        <v>10</v>
      </c>
      <c r="F1752">
        <v>11.2</v>
      </c>
      <c r="G1752">
        <v>83</v>
      </c>
      <c r="H1752" t="s">
        <v>13</v>
      </c>
      <c r="I1752" t="str">
        <f t="shared" si="27"/>
        <v>Alta</v>
      </c>
    </row>
    <row r="1753" spans="1:9">
      <c r="A1753" t="s">
        <v>368</v>
      </c>
      <c r="B1753">
        <v>2025</v>
      </c>
      <c r="C1753">
        <v>2</v>
      </c>
      <c r="D1753" t="s">
        <v>139</v>
      </c>
      <c r="E1753" t="s">
        <v>10</v>
      </c>
      <c r="F1753">
        <v>11.2</v>
      </c>
      <c r="G1753">
        <v>81.900000000000006</v>
      </c>
      <c r="H1753" t="s">
        <v>13</v>
      </c>
      <c r="I1753" t="str">
        <f t="shared" si="27"/>
        <v>Alta</v>
      </c>
    </row>
    <row r="1754" spans="1:9">
      <c r="A1754" t="s">
        <v>451</v>
      </c>
      <c r="B1754">
        <v>2026</v>
      </c>
      <c r="C1754">
        <v>1</v>
      </c>
      <c r="D1754" t="s">
        <v>75</v>
      </c>
      <c r="E1754" t="s">
        <v>76</v>
      </c>
      <c r="F1754">
        <v>11.2</v>
      </c>
      <c r="G1754">
        <v>53.1</v>
      </c>
      <c r="H1754" t="s">
        <v>13</v>
      </c>
      <c r="I1754" t="str">
        <f t="shared" si="27"/>
        <v>Média</v>
      </c>
    </row>
    <row r="1755" spans="1:9">
      <c r="A1755" t="s">
        <v>496</v>
      </c>
      <c r="B1755">
        <v>2026</v>
      </c>
      <c r="C1755">
        <v>1</v>
      </c>
      <c r="D1755" t="s">
        <v>75</v>
      </c>
      <c r="E1755" t="s">
        <v>76</v>
      </c>
      <c r="F1755">
        <v>11.2</v>
      </c>
      <c r="G1755">
        <v>66.3</v>
      </c>
      <c r="H1755" t="s">
        <v>13</v>
      </c>
      <c r="I1755" t="str">
        <f t="shared" si="27"/>
        <v>Média</v>
      </c>
    </row>
    <row r="1756" spans="1:9">
      <c r="A1756" t="s">
        <v>528</v>
      </c>
      <c r="B1756">
        <v>2026</v>
      </c>
      <c r="C1756">
        <v>1</v>
      </c>
      <c r="D1756" t="s">
        <v>139</v>
      </c>
      <c r="E1756" t="s">
        <v>10</v>
      </c>
      <c r="F1756">
        <v>11.2</v>
      </c>
      <c r="G1756">
        <v>62.1</v>
      </c>
      <c r="H1756" t="s">
        <v>13</v>
      </c>
      <c r="I1756" t="str">
        <f t="shared" si="27"/>
        <v>Média</v>
      </c>
    </row>
    <row r="1757" spans="1:9">
      <c r="A1757" t="s">
        <v>436</v>
      </c>
      <c r="B1757">
        <v>2026</v>
      </c>
      <c r="C1757">
        <v>2</v>
      </c>
      <c r="D1757" t="s">
        <v>9</v>
      </c>
      <c r="E1757" t="s">
        <v>14</v>
      </c>
      <c r="F1757">
        <v>11.2</v>
      </c>
      <c r="G1757">
        <v>83.5</v>
      </c>
      <c r="H1757" t="s">
        <v>13</v>
      </c>
      <c r="I1757" t="str">
        <f t="shared" si="27"/>
        <v>Alta</v>
      </c>
    </row>
    <row r="1758" spans="1:9">
      <c r="A1758" t="s">
        <v>463</v>
      </c>
      <c r="B1758">
        <v>2026</v>
      </c>
      <c r="C1758">
        <v>2</v>
      </c>
      <c r="D1758" t="s">
        <v>75</v>
      </c>
      <c r="E1758" t="s">
        <v>76</v>
      </c>
      <c r="F1758">
        <v>11.2</v>
      </c>
      <c r="G1758">
        <v>69.099999999999994</v>
      </c>
      <c r="H1758" t="s">
        <v>13</v>
      </c>
      <c r="I1758" t="str">
        <f t="shared" si="27"/>
        <v>Média</v>
      </c>
    </row>
    <row r="1759" spans="1:9">
      <c r="A1759" t="s">
        <v>549</v>
      </c>
      <c r="B1759">
        <v>2026</v>
      </c>
      <c r="C1759">
        <v>2</v>
      </c>
      <c r="D1759" t="s">
        <v>139</v>
      </c>
      <c r="E1759" t="s">
        <v>141</v>
      </c>
      <c r="F1759">
        <v>11.2</v>
      </c>
      <c r="G1759">
        <v>45.7</v>
      </c>
      <c r="H1759" t="s">
        <v>13</v>
      </c>
      <c r="I1759" t="str">
        <f t="shared" si="27"/>
        <v>Baixa</v>
      </c>
    </row>
    <row r="1760" spans="1:9">
      <c r="A1760" t="s">
        <v>17</v>
      </c>
      <c r="B1760">
        <v>2024</v>
      </c>
      <c r="C1760">
        <v>1</v>
      </c>
      <c r="D1760" t="s">
        <v>9</v>
      </c>
      <c r="E1760" t="s">
        <v>12</v>
      </c>
      <c r="F1760">
        <v>11.3</v>
      </c>
      <c r="G1760">
        <v>67.400000000000006</v>
      </c>
      <c r="H1760" t="s">
        <v>13</v>
      </c>
      <c r="I1760" t="str">
        <f t="shared" si="27"/>
        <v>Média</v>
      </c>
    </row>
    <row r="1761" spans="1:9">
      <c r="A1761" t="s">
        <v>37</v>
      </c>
      <c r="B1761">
        <v>2024</v>
      </c>
      <c r="C1761">
        <v>1</v>
      </c>
      <c r="D1761" t="s">
        <v>9</v>
      </c>
      <c r="E1761" t="s">
        <v>10</v>
      </c>
      <c r="F1761">
        <v>11.3</v>
      </c>
      <c r="G1761">
        <v>62.6</v>
      </c>
      <c r="H1761" t="s">
        <v>13</v>
      </c>
      <c r="I1761" t="str">
        <f t="shared" si="27"/>
        <v>Média</v>
      </c>
    </row>
    <row r="1762" spans="1:9">
      <c r="A1762" t="s">
        <v>89</v>
      </c>
      <c r="B1762">
        <v>2024</v>
      </c>
      <c r="C1762">
        <v>1</v>
      </c>
      <c r="D1762" t="s">
        <v>75</v>
      </c>
      <c r="E1762" t="s">
        <v>76</v>
      </c>
      <c r="F1762">
        <v>11.3</v>
      </c>
      <c r="G1762">
        <v>62.4</v>
      </c>
      <c r="H1762" t="s">
        <v>13</v>
      </c>
      <c r="I1762" t="str">
        <f t="shared" si="27"/>
        <v>Média</v>
      </c>
    </row>
    <row r="1763" spans="1:9">
      <c r="A1763" t="s">
        <v>91</v>
      </c>
      <c r="B1763">
        <v>2024</v>
      </c>
      <c r="C1763">
        <v>1</v>
      </c>
      <c r="D1763" t="s">
        <v>75</v>
      </c>
      <c r="E1763" t="s">
        <v>78</v>
      </c>
      <c r="F1763">
        <v>11.3</v>
      </c>
      <c r="G1763">
        <v>99.5</v>
      </c>
      <c r="H1763" t="s">
        <v>13</v>
      </c>
      <c r="I1763" t="str">
        <f t="shared" si="27"/>
        <v>Alta</v>
      </c>
    </row>
    <row r="1764" spans="1:9">
      <c r="A1764" t="s">
        <v>96</v>
      </c>
      <c r="B1764">
        <v>2024</v>
      </c>
      <c r="C1764">
        <v>1</v>
      </c>
      <c r="D1764" t="s">
        <v>75</v>
      </c>
      <c r="E1764" t="s">
        <v>77</v>
      </c>
      <c r="F1764">
        <v>11.3</v>
      </c>
      <c r="G1764">
        <v>86.3</v>
      </c>
      <c r="H1764" t="s">
        <v>13</v>
      </c>
      <c r="I1764" t="str">
        <f t="shared" si="27"/>
        <v>Alta</v>
      </c>
    </row>
    <row r="1765" spans="1:9">
      <c r="A1765" t="s">
        <v>200</v>
      </c>
      <c r="B1765">
        <v>2024</v>
      </c>
      <c r="C1765">
        <v>1</v>
      </c>
      <c r="D1765" t="s">
        <v>139</v>
      </c>
      <c r="E1765" t="s">
        <v>141</v>
      </c>
      <c r="F1765">
        <v>11.3</v>
      </c>
      <c r="G1765">
        <v>95.9</v>
      </c>
      <c r="H1765" t="s">
        <v>13</v>
      </c>
      <c r="I1765" t="str">
        <f t="shared" si="27"/>
        <v>Alta</v>
      </c>
    </row>
    <row r="1766" spans="1:9">
      <c r="A1766" t="s">
        <v>181</v>
      </c>
      <c r="B1766">
        <v>2024</v>
      </c>
      <c r="C1766">
        <v>2</v>
      </c>
      <c r="D1766" t="s">
        <v>139</v>
      </c>
      <c r="E1766" t="s">
        <v>140</v>
      </c>
      <c r="F1766">
        <v>11.3</v>
      </c>
      <c r="G1766">
        <v>86.6</v>
      </c>
      <c r="H1766" t="s">
        <v>13</v>
      </c>
      <c r="I1766" t="str">
        <f t="shared" si="27"/>
        <v>Alta</v>
      </c>
    </row>
    <row r="1767" spans="1:9">
      <c r="A1767" t="s">
        <v>218</v>
      </c>
      <c r="B1767">
        <v>2025</v>
      </c>
      <c r="C1767">
        <v>1</v>
      </c>
      <c r="D1767" t="s">
        <v>9</v>
      </c>
      <c r="E1767" t="s">
        <v>10</v>
      </c>
      <c r="F1767">
        <v>11.3</v>
      </c>
      <c r="G1767">
        <v>68.8</v>
      </c>
      <c r="H1767" t="s">
        <v>13</v>
      </c>
      <c r="I1767" t="str">
        <f t="shared" si="27"/>
        <v>Média</v>
      </c>
    </row>
    <row r="1768" spans="1:9">
      <c r="A1768" t="s">
        <v>236</v>
      </c>
      <c r="B1768">
        <v>2025</v>
      </c>
      <c r="C1768">
        <v>1</v>
      </c>
      <c r="D1768" t="s">
        <v>9</v>
      </c>
      <c r="E1768" t="s">
        <v>10</v>
      </c>
      <c r="F1768">
        <v>11.3</v>
      </c>
      <c r="G1768">
        <v>46.8</v>
      </c>
      <c r="H1768" t="s">
        <v>13</v>
      </c>
      <c r="I1768" t="str">
        <f t="shared" si="27"/>
        <v>Baixa</v>
      </c>
    </row>
    <row r="1769" spans="1:9">
      <c r="A1769" t="s">
        <v>290</v>
      </c>
      <c r="B1769">
        <v>2025</v>
      </c>
      <c r="C1769">
        <v>1</v>
      </c>
      <c r="D1769" t="s">
        <v>75</v>
      </c>
      <c r="E1769" t="s">
        <v>76</v>
      </c>
      <c r="F1769">
        <v>11.3</v>
      </c>
      <c r="G1769">
        <v>51.3</v>
      </c>
      <c r="H1769" t="s">
        <v>13</v>
      </c>
      <c r="I1769" t="str">
        <f t="shared" si="27"/>
        <v>Média</v>
      </c>
    </row>
    <row r="1770" spans="1:9">
      <c r="A1770" t="s">
        <v>304</v>
      </c>
      <c r="B1770">
        <v>2025</v>
      </c>
      <c r="C1770">
        <v>1</v>
      </c>
      <c r="D1770" t="s">
        <v>75</v>
      </c>
      <c r="E1770" t="s">
        <v>77</v>
      </c>
      <c r="F1770">
        <v>11.3</v>
      </c>
      <c r="G1770">
        <v>92.3</v>
      </c>
      <c r="H1770" t="s">
        <v>13</v>
      </c>
      <c r="I1770" t="str">
        <f t="shared" si="27"/>
        <v>Alta</v>
      </c>
    </row>
    <row r="1771" spans="1:9">
      <c r="A1771" t="s">
        <v>209</v>
      </c>
      <c r="B1771">
        <v>2025</v>
      </c>
      <c r="C1771">
        <v>2</v>
      </c>
      <c r="D1771" t="s">
        <v>9</v>
      </c>
      <c r="E1771" t="s">
        <v>10</v>
      </c>
      <c r="F1771">
        <v>11.3</v>
      </c>
      <c r="G1771">
        <v>76.099999999999994</v>
      </c>
      <c r="H1771" t="s">
        <v>13</v>
      </c>
      <c r="I1771" t="str">
        <f t="shared" si="27"/>
        <v>Alta</v>
      </c>
    </row>
    <row r="1772" spans="1:9">
      <c r="A1772" t="s">
        <v>256</v>
      </c>
      <c r="B1772">
        <v>2025</v>
      </c>
      <c r="C1772">
        <v>2</v>
      </c>
      <c r="D1772" t="s">
        <v>9</v>
      </c>
      <c r="E1772" t="s">
        <v>14</v>
      </c>
      <c r="F1772">
        <v>11.3</v>
      </c>
      <c r="G1772">
        <v>97</v>
      </c>
      <c r="H1772" t="s">
        <v>13</v>
      </c>
      <c r="I1772" t="str">
        <f t="shared" si="27"/>
        <v>Alta</v>
      </c>
    </row>
    <row r="1773" spans="1:9">
      <c r="A1773" t="s">
        <v>296</v>
      </c>
      <c r="B1773">
        <v>2025</v>
      </c>
      <c r="C1773">
        <v>2</v>
      </c>
      <c r="D1773" t="s">
        <v>75</v>
      </c>
      <c r="E1773" t="s">
        <v>76</v>
      </c>
      <c r="F1773">
        <v>11.3</v>
      </c>
      <c r="G1773">
        <v>77</v>
      </c>
      <c r="H1773" t="s">
        <v>13</v>
      </c>
      <c r="I1773" t="str">
        <f t="shared" si="27"/>
        <v>Alta</v>
      </c>
    </row>
    <row r="1774" spans="1:9">
      <c r="A1774" t="s">
        <v>313</v>
      </c>
      <c r="B1774">
        <v>2025</v>
      </c>
      <c r="C1774">
        <v>2</v>
      </c>
      <c r="D1774" t="s">
        <v>75</v>
      </c>
      <c r="E1774" t="s">
        <v>76</v>
      </c>
      <c r="F1774">
        <v>11.3</v>
      </c>
      <c r="G1774">
        <v>71</v>
      </c>
      <c r="H1774" t="s">
        <v>13</v>
      </c>
      <c r="I1774" t="str">
        <f t="shared" si="27"/>
        <v>Média</v>
      </c>
    </row>
    <row r="1775" spans="1:9">
      <c r="A1775" t="s">
        <v>316</v>
      </c>
      <c r="B1775">
        <v>2025</v>
      </c>
      <c r="C1775">
        <v>2</v>
      </c>
      <c r="D1775" t="s">
        <v>75</v>
      </c>
      <c r="E1775" t="s">
        <v>77</v>
      </c>
      <c r="F1775">
        <v>11.3</v>
      </c>
      <c r="G1775">
        <v>55.9</v>
      </c>
      <c r="H1775" t="s">
        <v>13</v>
      </c>
      <c r="I1775" t="str">
        <f t="shared" si="27"/>
        <v>Média</v>
      </c>
    </row>
    <row r="1776" spans="1:9">
      <c r="A1776" t="s">
        <v>333</v>
      </c>
      <c r="B1776">
        <v>2025</v>
      </c>
      <c r="C1776">
        <v>2</v>
      </c>
      <c r="D1776" t="s">
        <v>139</v>
      </c>
      <c r="E1776" t="s">
        <v>10</v>
      </c>
      <c r="F1776">
        <v>11.3</v>
      </c>
      <c r="G1776">
        <v>76</v>
      </c>
      <c r="H1776" t="s">
        <v>13</v>
      </c>
      <c r="I1776" t="str">
        <f t="shared" si="27"/>
        <v>Alta</v>
      </c>
    </row>
    <row r="1777" spans="1:9">
      <c r="A1777" t="s">
        <v>377</v>
      </c>
      <c r="B1777">
        <v>2025</v>
      </c>
      <c r="C1777">
        <v>2</v>
      </c>
      <c r="D1777" t="s">
        <v>139</v>
      </c>
      <c r="E1777" t="s">
        <v>141</v>
      </c>
      <c r="F1777">
        <v>11.3</v>
      </c>
      <c r="G1777">
        <v>53.6</v>
      </c>
      <c r="H1777" t="s">
        <v>13</v>
      </c>
      <c r="I1777" t="str">
        <f t="shared" si="27"/>
        <v>Média</v>
      </c>
    </row>
    <row r="1778" spans="1:9">
      <c r="A1778" t="s">
        <v>391</v>
      </c>
      <c r="B1778">
        <v>2026</v>
      </c>
      <c r="C1778">
        <v>1</v>
      </c>
      <c r="D1778" t="s">
        <v>9</v>
      </c>
      <c r="E1778" t="s">
        <v>10</v>
      </c>
      <c r="F1778">
        <v>11.3</v>
      </c>
      <c r="G1778">
        <v>69</v>
      </c>
      <c r="H1778" t="s">
        <v>13</v>
      </c>
      <c r="I1778" t="str">
        <f t="shared" si="27"/>
        <v>Média</v>
      </c>
    </row>
    <row r="1779" spans="1:9">
      <c r="A1779" t="s">
        <v>400</v>
      </c>
      <c r="B1779">
        <v>2026</v>
      </c>
      <c r="C1779">
        <v>1</v>
      </c>
      <c r="D1779" t="s">
        <v>9</v>
      </c>
      <c r="E1779" t="s">
        <v>14</v>
      </c>
      <c r="F1779">
        <v>11.3</v>
      </c>
      <c r="G1779">
        <v>87.8</v>
      </c>
      <c r="H1779" t="s">
        <v>13</v>
      </c>
      <c r="I1779" t="str">
        <f t="shared" si="27"/>
        <v>Alta</v>
      </c>
    </row>
    <row r="1780" spans="1:9">
      <c r="A1780" t="s">
        <v>404</v>
      </c>
      <c r="B1780">
        <v>2026</v>
      </c>
      <c r="C1780">
        <v>1</v>
      </c>
      <c r="D1780" t="s">
        <v>9</v>
      </c>
      <c r="E1780" t="s">
        <v>12</v>
      </c>
      <c r="F1780">
        <v>11.3</v>
      </c>
      <c r="G1780">
        <v>62.5</v>
      </c>
      <c r="H1780" t="s">
        <v>13</v>
      </c>
      <c r="I1780" t="str">
        <f t="shared" si="27"/>
        <v>Média</v>
      </c>
    </row>
    <row r="1781" spans="1:9">
      <c r="A1781" t="s">
        <v>390</v>
      </c>
      <c r="B1781">
        <v>2026</v>
      </c>
      <c r="C1781">
        <v>2</v>
      </c>
      <c r="D1781" t="s">
        <v>9</v>
      </c>
      <c r="E1781" t="s">
        <v>14</v>
      </c>
      <c r="F1781">
        <v>11.3</v>
      </c>
      <c r="G1781">
        <v>59</v>
      </c>
      <c r="H1781" t="s">
        <v>13</v>
      </c>
      <c r="I1781" t="str">
        <f t="shared" si="27"/>
        <v>Média</v>
      </c>
    </row>
    <row r="1782" spans="1:9">
      <c r="A1782" t="s">
        <v>401</v>
      </c>
      <c r="B1782">
        <v>2026</v>
      </c>
      <c r="C1782">
        <v>2</v>
      </c>
      <c r="D1782" t="s">
        <v>9</v>
      </c>
      <c r="E1782" t="s">
        <v>12</v>
      </c>
      <c r="F1782">
        <v>11.3</v>
      </c>
      <c r="G1782">
        <v>66.599999999999994</v>
      </c>
      <c r="H1782" t="s">
        <v>13</v>
      </c>
      <c r="I1782" t="str">
        <f t="shared" si="27"/>
        <v>Média</v>
      </c>
    </row>
    <row r="1783" spans="1:9">
      <c r="A1783" t="s">
        <v>438</v>
      </c>
      <c r="B1783">
        <v>2026</v>
      </c>
      <c r="C1783">
        <v>2</v>
      </c>
      <c r="D1783" t="s">
        <v>9</v>
      </c>
      <c r="E1783" t="s">
        <v>14</v>
      </c>
      <c r="F1783">
        <v>11.3</v>
      </c>
      <c r="G1783">
        <v>62.6</v>
      </c>
      <c r="H1783" t="s">
        <v>13</v>
      </c>
      <c r="I1783" t="str">
        <f t="shared" si="27"/>
        <v>Média</v>
      </c>
    </row>
    <row r="1784" spans="1:9">
      <c r="A1784" t="s">
        <v>469</v>
      </c>
      <c r="B1784">
        <v>2026</v>
      </c>
      <c r="C1784">
        <v>2</v>
      </c>
      <c r="D1784" t="s">
        <v>75</v>
      </c>
      <c r="E1784" t="s">
        <v>77</v>
      </c>
      <c r="F1784">
        <v>11.3</v>
      </c>
      <c r="G1784">
        <v>84.4</v>
      </c>
      <c r="H1784" t="s">
        <v>13</v>
      </c>
      <c r="I1784" t="str">
        <f t="shared" si="27"/>
        <v>Alta</v>
      </c>
    </row>
    <row r="1785" spans="1:9">
      <c r="A1785" t="s">
        <v>479</v>
      </c>
      <c r="B1785">
        <v>2026</v>
      </c>
      <c r="C1785">
        <v>2</v>
      </c>
      <c r="D1785" t="s">
        <v>75</v>
      </c>
      <c r="E1785" t="s">
        <v>78</v>
      </c>
      <c r="F1785">
        <v>11.3</v>
      </c>
      <c r="G1785">
        <v>52.8</v>
      </c>
      <c r="H1785" t="s">
        <v>13</v>
      </c>
      <c r="I1785" t="str">
        <f t="shared" si="27"/>
        <v>Média</v>
      </c>
    </row>
    <row r="1786" spans="1:9">
      <c r="A1786" t="s">
        <v>482</v>
      </c>
      <c r="B1786">
        <v>2026</v>
      </c>
      <c r="C1786">
        <v>2</v>
      </c>
      <c r="D1786" t="s">
        <v>75</v>
      </c>
      <c r="E1786" t="s">
        <v>77</v>
      </c>
      <c r="F1786">
        <v>11.3</v>
      </c>
      <c r="G1786">
        <v>56</v>
      </c>
      <c r="H1786" t="s">
        <v>13</v>
      </c>
      <c r="I1786" t="str">
        <f t="shared" si="27"/>
        <v>Média</v>
      </c>
    </row>
    <row r="1787" spans="1:9">
      <c r="A1787" t="s">
        <v>554</v>
      </c>
      <c r="B1787">
        <v>2026</v>
      </c>
      <c r="C1787">
        <v>2</v>
      </c>
      <c r="D1787" t="s">
        <v>139</v>
      </c>
      <c r="E1787" t="s">
        <v>10</v>
      </c>
      <c r="F1787">
        <v>11.3</v>
      </c>
      <c r="G1787">
        <v>80.7</v>
      </c>
      <c r="H1787" t="s">
        <v>13</v>
      </c>
      <c r="I1787" t="str">
        <f t="shared" si="27"/>
        <v>Alta</v>
      </c>
    </row>
    <row r="1788" spans="1:9">
      <c r="A1788" t="s">
        <v>56</v>
      </c>
      <c r="B1788">
        <v>2024</v>
      </c>
      <c r="C1788">
        <v>1</v>
      </c>
      <c r="D1788" t="s">
        <v>9</v>
      </c>
      <c r="E1788" t="s">
        <v>14</v>
      </c>
      <c r="F1788">
        <v>11.4</v>
      </c>
      <c r="G1788">
        <v>85.6</v>
      </c>
      <c r="H1788" t="s">
        <v>13</v>
      </c>
      <c r="I1788" t="str">
        <f t="shared" si="27"/>
        <v>Alta</v>
      </c>
    </row>
    <row r="1789" spans="1:9">
      <c r="A1789" t="s">
        <v>65</v>
      </c>
      <c r="B1789">
        <v>2024</v>
      </c>
      <c r="C1789">
        <v>1</v>
      </c>
      <c r="D1789" t="s">
        <v>9</v>
      </c>
      <c r="E1789" t="s">
        <v>10</v>
      </c>
      <c r="F1789">
        <v>11.4</v>
      </c>
      <c r="G1789">
        <v>58.7</v>
      </c>
      <c r="H1789" t="s">
        <v>13</v>
      </c>
      <c r="I1789" t="str">
        <f t="shared" si="27"/>
        <v>Média</v>
      </c>
    </row>
    <row r="1790" spans="1:9">
      <c r="A1790" t="s">
        <v>67</v>
      </c>
      <c r="B1790">
        <v>2024</v>
      </c>
      <c r="C1790">
        <v>1</v>
      </c>
      <c r="D1790" t="s">
        <v>9</v>
      </c>
      <c r="E1790" t="s">
        <v>12</v>
      </c>
      <c r="F1790">
        <v>11.4</v>
      </c>
      <c r="G1790">
        <v>45.9</v>
      </c>
      <c r="H1790" t="s">
        <v>13</v>
      </c>
      <c r="I1790" t="str">
        <f t="shared" si="27"/>
        <v>Baixa</v>
      </c>
    </row>
    <row r="1791" spans="1:9">
      <c r="A1791" t="s">
        <v>92</v>
      </c>
      <c r="B1791">
        <v>2024</v>
      </c>
      <c r="C1791">
        <v>1</v>
      </c>
      <c r="D1791" t="s">
        <v>75</v>
      </c>
      <c r="E1791" t="s">
        <v>77</v>
      </c>
      <c r="F1791">
        <v>11.4</v>
      </c>
      <c r="G1791">
        <v>96.8</v>
      </c>
      <c r="H1791" t="s">
        <v>13</v>
      </c>
      <c r="I1791" t="str">
        <f t="shared" si="27"/>
        <v>Alta</v>
      </c>
    </row>
    <row r="1792" spans="1:9">
      <c r="A1792" t="s">
        <v>100</v>
      </c>
      <c r="B1792">
        <v>2024</v>
      </c>
      <c r="C1792">
        <v>1</v>
      </c>
      <c r="D1792" t="s">
        <v>75</v>
      </c>
      <c r="E1792" t="s">
        <v>76</v>
      </c>
      <c r="F1792">
        <v>11.4</v>
      </c>
      <c r="G1792">
        <v>53</v>
      </c>
      <c r="H1792" t="s">
        <v>13</v>
      </c>
      <c r="I1792" t="str">
        <f t="shared" si="27"/>
        <v>Média</v>
      </c>
    </row>
    <row r="1793" spans="1:9">
      <c r="A1793" t="s">
        <v>132</v>
      </c>
      <c r="B1793">
        <v>2024</v>
      </c>
      <c r="C1793">
        <v>1</v>
      </c>
      <c r="D1793" t="s">
        <v>75</v>
      </c>
      <c r="E1793" t="s">
        <v>76</v>
      </c>
      <c r="F1793">
        <v>11.4</v>
      </c>
      <c r="G1793">
        <v>82.7</v>
      </c>
      <c r="H1793" t="s">
        <v>13</v>
      </c>
      <c r="I1793" t="str">
        <f t="shared" si="27"/>
        <v>Alta</v>
      </c>
    </row>
    <row r="1794" spans="1:9">
      <c r="A1794" t="s">
        <v>172</v>
      </c>
      <c r="B1794">
        <v>2024</v>
      </c>
      <c r="C1794">
        <v>1</v>
      </c>
      <c r="D1794" t="s">
        <v>139</v>
      </c>
      <c r="E1794" t="s">
        <v>141</v>
      </c>
      <c r="F1794">
        <v>11.4</v>
      </c>
      <c r="G1794">
        <v>94.1</v>
      </c>
      <c r="H1794" t="s">
        <v>13</v>
      </c>
      <c r="I1794" t="str">
        <f t="shared" ref="I1794:I1857" si="28">IF(G1794&lt;50,"Baixa",IF(G1794&lt;75,"Média","Alta"))</f>
        <v>Alta</v>
      </c>
    </row>
    <row r="1795" spans="1:9">
      <c r="A1795" t="s">
        <v>176</v>
      </c>
      <c r="B1795">
        <v>2024</v>
      </c>
      <c r="C1795">
        <v>1</v>
      </c>
      <c r="D1795" t="s">
        <v>139</v>
      </c>
      <c r="E1795" t="s">
        <v>10</v>
      </c>
      <c r="F1795">
        <v>11.4</v>
      </c>
      <c r="G1795">
        <v>49.3</v>
      </c>
      <c r="H1795" t="s">
        <v>13</v>
      </c>
      <c r="I1795" t="str">
        <f t="shared" si="28"/>
        <v>Baixa</v>
      </c>
    </row>
    <row r="1796" spans="1:9">
      <c r="A1796" t="s">
        <v>188</v>
      </c>
      <c r="B1796">
        <v>2024</v>
      </c>
      <c r="C1796">
        <v>1</v>
      </c>
      <c r="D1796" t="s">
        <v>139</v>
      </c>
      <c r="E1796" t="s">
        <v>141</v>
      </c>
      <c r="F1796">
        <v>11.4</v>
      </c>
      <c r="G1796">
        <v>63.4</v>
      </c>
      <c r="H1796" t="s">
        <v>13</v>
      </c>
      <c r="I1796" t="str">
        <f t="shared" si="28"/>
        <v>Média</v>
      </c>
    </row>
    <row r="1797" spans="1:9">
      <c r="A1797" t="s">
        <v>79</v>
      </c>
      <c r="B1797">
        <v>2024</v>
      </c>
      <c r="C1797">
        <v>2</v>
      </c>
      <c r="D1797" t="s">
        <v>75</v>
      </c>
      <c r="E1797" t="s">
        <v>78</v>
      </c>
      <c r="F1797">
        <v>11.4</v>
      </c>
      <c r="G1797">
        <v>48.6</v>
      </c>
      <c r="H1797" t="s">
        <v>13</v>
      </c>
      <c r="I1797" t="str">
        <f t="shared" si="28"/>
        <v>Baixa</v>
      </c>
    </row>
    <row r="1798" spans="1:9">
      <c r="A1798" t="s">
        <v>123</v>
      </c>
      <c r="B1798">
        <v>2024</v>
      </c>
      <c r="C1798">
        <v>2</v>
      </c>
      <c r="D1798" t="s">
        <v>75</v>
      </c>
      <c r="E1798" t="s">
        <v>76</v>
      </c>
      <c r="F1798">
        <v>11.4</v>
      </c>
      <c r="G1798">
        <v>88.7</v>
      </c>
      <c r="H1798" t="s">
        <v>13</v>
      </c>
      <c r="I1798" t="str">
        <f t="shared" si="28"/>
        <v>Alta</v>
      </c>
    </row>
    <row r="1799" spans="1:9">
      <c r="A1799" t="s">
        <v>132</v>
      </c>
      <c r="B1799">
        <v>2024</v>
      </c>
      <c r="C1799">
        <v>2</v>
      </c>
      <c r="D1799" t="s">
        <v>75</v>
      </c>
      <c r="E1799" t="s">
        <v>77</v>
      </c>
      <c r="F1799">
        <v>11.4</v>
      </c>
      <c r="G1799">
        <v>58.1</v>
      </c>
      <c r="H1799" t="s">
        <v>13</v>
      </c>
      <c r="I1799" t="str">
        <f t="shared" si="28"/>
        <v>Média</v>
      </c>
    </row>
    <row r="1800" spans="1:9">
      <c r="A1800" t="s">
        <v>145</v>
      </c>
      <c r="B1800">
        <v>2024</v>
      </c>
      <c r="C1800">
        <v>2</v>
      </c>
      <c r="D1800" t="s">
        <v>139</v>
      </c>
      <c r="E1800" t="s">
        <v>140</v>
      </c>
      <c r="F1800">
        <v>11.4</v>
      </c>
      <c r="G1800">
        <v>84.3</v>
      </c>
      <c r="H1800" t="s">
        <v>13</v>
      </c>
      <c r="I1800" t="str">
        <f t="shared" si="28"/>
        <v>Alta</v>
      </c>
    </row>
    <row r="1801" spans="1:9">
      <c r="A1801" t="s">
        <v>175</v>
      </c>
      <c r="B1801">
        <v>2024</v>
      </c>
      <c r="C1801">
        <v>2</v>
      </c>
      <c r="D1801" t="s">
        <v>139</v>
      </c>
      <c r="E1801" t="s">
        <v>10</v>
      </c>
      <c r="F1801">
        <v>11.4</v>
      </c>
      <c r="G1801">
        <v>99.4</v>
      </c>
      <c r="H1801" t="s">
        <v>13</v>
      </c>
      <c r="I1801" t="str">
        <f t="shared" si="28"/>
        <v>Alta</v>
      </c>
    </row>
    <row r="1802" spans="1:9">
      <c r="A1802" t="s">
        <v>210</v>
      </c>
      <c r="B1802">
        <v>2025</v>
      </c>
      <c r="C1802">
        <v>1</v>
      </c>
      <c r="D1802" t="s">
        <v>9</v>
      </c>
      <c r="E1802" t="s">
        <v>12</v>
      </c>
      <c r="F1802">
        <v>11.4</v>
      </c>
      <c r="G1802">
        <v>75.5</v>
      </c>
      <c r="H1802" t="s">
        <v>13</v>
      </c>
      <c r="I1802" t="str">
        <f t="shared" si="28"/>
        <v>Alta</v>
      </c>
    </row>
    <row r="1803" spans="1:9">
      <c r="A1803" t="s">
        <v>276</v>
      </c>
      <c r="B1803">
        <v>2025</v>
      </c>
      <c r="C1803">
        <v>1</v>
      </c>
      <c r="D1803" t="s">
        <v>75</v>
      </c>
      <c r="E1803" t="s">
        <v>76</v>
      </c>
      <c r="F1803">
        <v>11.4</v>
      </c>
      <c r="G1803">
        <v>73.099999999999994</v>
      </c>
      <c r="H1803" t="s">
        <v>13</v>
      </c>
      <c r="I1803" t="str">
        <f t="shared" si="28"/>
        <v>Média</v>
      </c>
    </row>
    <row r="1804" spans="1:9">
      <c r="A1804" t="s">
        <v>324</v>
      </c>
      <c r="B1804">
        <v>2025</v>
      </c>
      <c r="C1804">
        <v>1</v>
      </c>
      <c r="D1804" t="s">
        <v>139</v>
      </c>
      <c r="E1804" t="s">
        <v>141</v>
      </c>
      <c r="F1804">
        <v>11.4</v>
      </c>
      <c r="G1804">
        <v>48.8</v>
      </c>
      <c r="H1804" t="s">
        <v>13</v>
      </c>
      <c r="I1804" t="str">
        <f t="shared" si="28"/>
        <v>Baixa</v>
      </c>
    </row>
    <row r="1805" spans="1:9">
      <c r="A1805" t="s">
        <v>354</v>
      </c>
      <c r="B1805">
        <v>2025</v>
      </c>
      <c r="C1805">
        <v>1</v>
      </c>
      <c r="D1805" t="s">
        <v>139</v>
      </c>
      <c r="E1805" t="s">
        <v>10</v>
      </c>
      <c r="F1805">
        <v>11.4</v>
      </c>
      <c r="G1805">
        <v>63.1</v>
      </c>
      <c r="H1805" t="s">
        <v>13</v>
      </c>
      <c r="I1805" t="str">
        <f t="shared" si="28"/>
        <v>Média</v>
      </c>
    </row>
    <row r="1806" spans="1:9">
      <c r="A1806" t="s">
        <v>357</v>
      </c>
      <c r="B1806">
        <v>2025</v>
      </c>
      <c r="C1806">
        <v>1</v>
      </c>
      <c r="D1806" t="s">
        <v>139</v>
      </c>
      <c r="E1806" t="s">
        <v>140</v>
      </c>
      <c r="F1806">
        <v>11.4</v>
      </c>
      <c r="G1806">
        <v>85.9</v>
      </c>
      <c r="H1806" t="s">
        <v>13</v>
      </c>
      <c r="I1806" t="str">
        <f t="shared" si="28"/>
        <v>Alta</v>
      </c>
    </row>
    <row r="1807" spans="1:9">
      <c r="A1807" t="s">
        <v>375</v>
      </c>
      <c r="B1807">
        <v>2025</v>
      </c>
      <c r="C1807">
        <v>1</v>
      </c>
      <c r="D1807" t="s">
        <v>139</v>
      </c>
      <c r="E1807" t="s">
        <v>140</v>
      </c>
      <c r="F1807">
        <v>11.4</v>
      </c>
      <c r="G1807">
        <v>48</v>
      </c>
      <c r="H1807" t="s">
        <v>13</v>
      </c>
      <c r="I1807" t="str">
        <f t="shared" si="28"/>
        <v>Baixa</v>
      </c>
    </row>
    <row r="1808" spans="1:9">
      <c r="A1808" t="s">
        <v>375</v>
      </c>
      <c r="B1808">
        <v>2025</v>
      </c>
      <c r="C1808">
        <v>1</v>
      </c>
      <c r="D1808" t="s">
        <v>139</v>
      </c>
      <c r="E1808" t="s">
        <v>10</v>
      </c>
      <c r="F1808">
        <v>11.4</v>
      </c>
      <c r="G1808">
        <v>66.599999999999994</v>
      </c>
      <c r="H1808" t="s">
        <v>13</v>
      </c>
      <c r="I1808" t="str">
        <f t="shared" si="28"/>
        <v>Média</v>
      </c>
    </row>
    <row r="1809" spans="1:9">
      <c r="A1809" t="s">
        <v>260</v>
      </c>
      <c r="B1809">
        <v>2025</v>
      </c>
      <c r="C1809">
        <v>2</v>
      </c>
      <c r="D1809" t="s">
        <v>9</v>
      </c>
      <c r="E1809" t="s">
        <v>10</v>
      </c>
      <c r="F1809">
        <v>11.4</v>
      </c>
      <c r="G1809">
        <v>93.4</v>
      </c>
      <c r="H1809" t="s">
        <v>13</v>
      </c>
      <c r="I1809" t="str">
        <f t="shared" si="28"/>
        <v>Alta</v>
      </c>
    </row>
    <row r="1810" spans="1:9">
      <c r="A1810" t="s">
        <v>342</v>
      </c>
      <c r="B1810">
        <v>2025</v>
      </c>
      <c r="C1810">
        <v>2</v>
      </c>
      <c r="D1810" t="s">
        <v>139</v>
      </c>
      <c r="E1810" t="s">
        <v>10</v>
      </c>
      <c r="F1810">
        <v>11.4</v>
      </c>
      <c r="G1810">
        <v>59.3</v>
      </c>
      <c r="H1810" t="s">
        <v>13</v>
      </c>
      <c r="I1810" t="str">
        <f t="shared" si="28"/>
        <v>Média</v>
      </c>
    </row>
    <row r="1811" spans="1:9">
      <c r="A1811" t="s">
        <v>411</v>
      </c>
      <c r="B1811">
        <v>2026</v>
      </c>
      <c r="C1811">
        <v>1</v>
      </c>
      <c r="D1811" t="s">
        <v>9</v>
      </c>
      <c r="E1811" t="s">
        <v>10</v>
      </c>
      <c r="F1811">
        <v>11.4</v>
      </c>
      <c r="G1811">
        <v>49.6</v>
      </c>
      <c r="H1811" t="s">
        <v>13</v>
      </c>
      <c r="I1811" t="str">
        <f t="shared" si="28"/>
        <v>Baixa</v>
      </c>
    </row>
    <row r="1812" spans="1:9">
      <c r="A1812" t="s">
        <v>442</v>
      </c>
      <c r="B1812">
        <v>2026</v>
      </c>
      <c r="C1812">
        <v>1</v>
      </c>
      <c r="D1812" t="s">
        <v>75</v>
      </c>
      <c r="E1812" t="s">
        <v>78</v>
      </c>
      <c r="F1812">
        <v>11.4</v>
      </c>
      <c r="G1812">
        <v>75</v>
      </c>
      <c r="H1812" t="s">
        <v>13</v>
      </c>
      <c r="I1812" t="str">
        <f t="shared" si="28"/>
        <v>Alta</v>
      </c>
    </row>
    <row r="1813" spans="1:9">
      <c r="A1813" t="s">
        <v>457</v>
      </c>
      <c r="B1813">
        <v>2026</v>
      </c>
      <c r="C1813">
        <v>1</v>
      </c>
      <c r="D1813" t="s">
        <v>75</v>
      </c>
      <c r="E1813" t="s">
        <v>76</v>
      </c>
      <c r="F1813">
        <v>11.4</v>
      </c>
      <c r="G1813">
        <v>87.8</v>
      </c>
      <c r="H1813" t="s">
        <v>13</v>
      </c>
      <c r="I1813" t="str">
        <f t="shared" si="28"/>
        <v>Alta</v>
      </c>
    </row>
    <row r="1814" spans="1:9">
      <c r="A1814" t="s">
        <v>401</v>
      </c>
      <c r="B1814">
        <v>2026</v>
      </c>
      <c r="C1814">
        <v>2</v>
      </c>
      <c r="D1814" t="s">
        <v>9</v>
      </c>
      <c r="E1814" t="s">
        <v>14</v>
      </c>
      <c r="F1814">
        <v>11.4</v>
      </c>
      <c r="G1814">
        <v>45.6</v>
      </c>
      <c r="H1814" t="s">
        <v>13</v>
      </c>
      <c r="I1814" t="str">
        <f t="shared" si="28"/>
        <v>Baixa</v>
      </c>
    </row>
    <row r="1815" spans="1:9">
      <c r="A1815" t="s">
        <v>410</v>
      </c>
      <c r="B1815">
        <v>2026</v>
      </c>
      <c r="C1815">
        <v>2</v>
      </c>
      <c r="D1815" t="s">
        <v>9</v>
      </c>
      <c r="E1815" t="s">
        <v>14</v>
      </c>
      <c r="F1815">
        <v>11.4</v>
      </c>
      <c r="G1815">
        <v>64.5</v>
      </c>
      <c r="H1815" t="s">
        <v>13</v>
      </c>
      <c r="I1815" t="str">
        <f t="shared" si="28"/>
        <v>Média</v>
      </c>
    </row>
    <row r="1816" spans="1:9">
      <c r="A1816" t="s">
        <v>439</v>
      </c>
      <c r="B1816">
        <v>2026</v>
      </c>
      <c r="C1816">
        <v>2</v>
      </c>
      <c r="D1816" t="s">
        <v>9</v>
      </c>
      <c r="E1816" t="s">
        <v>10</v>
      </c>
      <c r="F1816">
        <v>11.4</v>
      </c>
      <c r="G1816">
        <v>90.6</v>
      </c>
      <c r="H1816" t="s">
        <v>13</v>
      </c>
      <c r="I1816" t="str">
        <f t="shared" si="28"/>
        <v>Alta</v>
      </c>
    </row>
    <row r="1817" spans="1:9">
      <c r="A1817" t="s">
        <v>460</v>
      </c>
      <c r="B1817">
        <v>2026</v>
      </c>
      <c r="C1817">
        <v>2</v>
      </c>
      <c r="D1817" t="s">
        <v>75</v>
      </c>
      <c r="E1817" t="s">
        <v>76</v>
      </c>
      <c r="F1817">
        <v>11.4</v>
      </c>
      <c r="G1817">
        <v>89.8</v>
      </c>
      <c r="H1817" t="s">
        <v>13</v>
      </c>
      <c r="I1817" t="str">
        <f t="shared" si="28"/>
        <v>Alta</v>
      </c>
    </row>
    <row r="1818" spans="1:9">
      <c r="A1818" t="s">
        <v>478</v>
      </c>
      <c r="B1818">
        <v>2026</v>
      </c>
      <c r="C1818">
        <v>2</v>
      </c>
      <c r="D1818" t="s">
        <v>75</v>
      </c>
      <c r="E1818" t="s">
        <v>77</v>
      </c>
      <c r="F1818">
        <v>11.4</v>
      </c>
      <c r="G1818">
        <v>77.8</v>
      </c>
      <c r="H1818" t="s">
        <v>13</v>
      </c>
      <c r="I1818" t="str">
        <f t="shared" si="28"/>
        <v>Alta</v>
      </c>
    </row>
    <row r="1819" spans="1:9">
      <c r="A1819" t="s">
        <v>504</v>
      </c>
      <c r="B1819">
        <v>2026</v>
      </c>
      <c r="C1819">
        <v>2</v>
      </c>
      <c r="D1819" t="s">
        <v>139</v>
      </c>
      <c r="E1819" t="s">
        <v>140</v>
      </c>
      <c r="F1819">
        <v>11.4</v>
      </c>
      <c r="G1819">
        <v>48.6</v>
      </c>
      <c r="H1819" t="s">
        <v>13</v>
      </c>
      <c r="I1819" t="str">
        <f t="shared" si="28"/>
        <v>Baixa</v>
      </c>
    </row>
    <row r="1820" spans="1:9">
      <c r="A1820" t="s">
        <v>31</v>
      </c>
      <c r="B1820">
        <v>2024</v>
      </c>
      <c r="C1820">
        <v>1</v>
      </c>
      <c r="D1820" t="s">
        <v>9</v>
      </c>
      <c r="E1820" t="s">
        <v>12</v>
      </c>
      <c r="F1820">
        <v>11.5</v>
      </c>
      <c r="G1820">
        <v>61.2</v>
      </c>
      <c r="H1820" t="s">
        <v>13</v>
      </c>
      <c r="I1820" t="str">
        <f t="shared" si="28"/>
        <v>Média</v>
      </c>
    </row>
    <row r="1821" spans="1:9">
      <c r="A1821" t="s">
        <v>42</v>
      </c>
      <c r="B1821">
        <v>2024</v>
      </c>
      <c r="C1821">
        <v>1</v>
      </c>
      <c r="D1821" t="s">
        <v>9</v>
      </c>
      <c r="E1821" t="s">
        <v>14</v>
      </c>
      <c r="F1821">
        <v>11.5</v>
      </c>
      <c r="G1821">
        <v>81.2</v>
      </c>
      <c r="H1821" t="s">
        <v>13</v>
      </c>
      <c r="I1821" t="str">
        <f t="shared" si="28"/>
        <v>Alta</v>
      </c>
    </row>
    <row r="1822" spans="1:9">
      <c r="A1822" t="s">
        <v>84</v>
      </c>
      <c r="B1822">
        <v>2024</v>
      </c>
      <c r="C1822">
        <v>1</v>
      </c>
      <c r="D1822" t="s">
        <v>75</v>
      </c>
      <c r="E1822" t="s">
        <v>77</v>
      </c>
      <c r="F1822">
        <v>11.5</v>
      </c>
      <c r="G1822">
        <v>46.1</v>
      </c>
      <c r="H1822" t="s">
        <v>13</v>
      </c>
      <c r="I1822" t="str">
        <f t="shared" si="28"/>
        <v>Baixa</v>
      </c>
    </row>
    <row r="1823" spans="1:9">
      <c r="A1823" t="s">
        <v>95</v>
      </c>
      <c r="B1823">
        <v>2024</v>
      </c>
      <c r="C1823">
        <v>1</v>
      </c>
      <c r="D1823" t="s">
        <v>75</v>
      </c>
      <c r="E1823" t="s">
        <v>76</v>
      </c>
      <c r="F1823">
        <v>11.5</v>
      </c>
      <c r="G1823">
        <v>81.599999999999994</v>
      </c>
      <c r="H1823" t="s">
        <v>13</v>
      </c>
      <c r="I1823" t="str">
        <f t="shared" si="28"/>
        <v>Alta</v>
      </c>
    </row>
    <row r="1824" spans="1:9">
      <c r="A1824" t="s">
        <v>176</v>
      </c>
      <c r="B1824">
        <v>2024</v>
      </c>
      <c r="C1824">
        <v>1</v>
      </c>
      <c r="D1824" t="s">
        <v>139</v>
      </c>
      <c r="E1824" t="s">
        <v>141</v>
      </c>
      <c r="F1824">
        <v>11.5</v>
      </c>
      <c r="G1824">
        <v>84.6</v>
      </c>
      <c r="H1824" t="s">
        <v>13</v>
      </c>
      <c r="I1824" t="str">
        <f t="shared" si="28"/>
        <v>Alta</v>
      </c>
    </row>
    <row r="1825" spans="1:9">
      <c r="A1825" t="s">
        <v>185</v>
      </c>
      <c r="B1825">
        <v>2024</v>
      </c>
      <c r="C1825">
        <v>1</v>
      </c>
      <c r="D1825" t="s">
        <v>139</v>
      </c>
      <c r="E1825" t="s">
        <v>10</v>
      </c>
      <c r="F1825">
        <v>11.5</v>
      </c>
      <c r="G1825">
        <v>77.7</v>
      </c>
      <c r="H1825" t="s">
        <v>13</v>
      </c>
      <c r="I1825" t="str">
        <f t="shared" si="28"/>
        <v>Alta</v>
      </c>
    </row>
    <row r="1826" spans="1:9">
      <c r="A1826" t="s">
        <v>8</v>
      </c>
      <c r="B1826">
        <v>2024</v>
      </c>
      <c r="C1826">
        <v>2</v>
      </c>
      <c r="D1826" t="s">
        <v>9</v>
      </c>
      <c r="E1826" t="s">
        <v>12</v>
      </c>
      <c r="F1826">
        <v>11.5</v>
      </c>
      <c r="G1826">
        <v>86.6</v>
      </c>
      <c r="H1826" t="s">
        <v>13</v>
      </c>
      <c r="I1826" t="str">
        <f t="shared" si="28"/>
        <v>Alta</v>
      </c>
    </row>
    <row r="1827" spans="1:9">
      <c r="A1827" t="s">
        <v>47</v>
      </c>
      <c r="B1827">
        <v>2024</v>
      </c>
      <c r="C1827">
        <v>2</v>
      </c>
      <c r="D1827" t="s">
        <v>9</v>
      </c>
      <c r="E1827" t="s">
        <v>12</v>
      </c>
      <c r="F1827">
        <v>11.5</v>
      </c>
      <c r="G1827">
        <v>53.5</v>
      </c>
      <c r="H1827" t="s">
        <v>13</v>
      </c>
      <c r="I1827" t="str">
        <f t="shared" si="28"/>
        <v>Média</v>
      </c>
    </row>
    <row r="1828" spans="1:9">
      <c r="A1828" t="s">
        <v>96</v>
      </c>
      <c r="B1828">
        <v>2024</v>
      </c>
      <c r="C1828">
        <v>2</v>
      </c>
      <c r="D1828" t="s">
        <v>75</v>
      </c>
      <c r="E1828" t="s">
        <v>78</v>
      </c>
      <c r="F1828">
        <v>11.5</v>
      </c>
      <c r="G1828">
        <v>49</v>
      </c>
      <c r="H1828" t="s">
        <v>13</v>
      </c>
      <c r="I1828" t="str">
        <f t="shared" si="28"/>
        <v>Baixa</v>
      </c>
    </row>
    <row r="1829" spans="1:9">
      <c r="A1829" t="s">
        <v>104</v>
      </c>
      <c r="B1829">
        <v>2024</v>
      </c>
      <c r="C1829">
        <v>2</v>
      </c>
      <c r="D1829" t="s">
        <v>75</v>
      </c>
      <c r="E1829" t="s">
        <v>77</v>
      </c>
      <c r="F1829">
        <v>11.5</v>
      </c>
      <c r="G1829">
        <v>51.9</v>
      </c>
      <c r="H1829" t="s">
        <v>13</v>
      </c>
      <c r="I1829" t="str">
        <f t="shared" si="28"/>
        <v>Média</v>
      </c>
    </row>
    <row r="1830" spans="1:9">
      <c r="A1830" t="s">
        <v>153</v>
      </c>
      <c r="B1830">
        <v>2024</v>
      </c>
      <c r="C1830">
        <v>2</v>
      </c>
      <c r="D1830" t="s">
        <v>139</v>
      </c>
      <c r="E1830" t="s">
        <v>141</v>
      </c>
      <c r="F1830">
        <v>11.5</v>
      </c>
      <c r="G1830">
        <v>68.099999999999994</v>
      </c>
      <c r="H1830" t="s">
        <v>13</v>
      </c>
      <c r="I1830" t="str">
        <f t="shared" si="28"/>
        <v>Média</v>
      </c>
    </row>
    <row r="1831" spans="1:9">
      <c r="A1831" t="s">
        <v>185</v>
      </c>
      <c r="B1831">
        <v>2024</v>
      </c>
      <c r="C1831">
        <v>2</v>
      </c>
      <c r="D1831" t="s">
        <v>139</v>
      </c>
      <c r="E1831" t="s">
        <v>141</v>
      </c>
      <c r="F1831">
        <v>11.5</v>
      </c>
      <c r="G1831">
        <v>73.8</v>
      </c>
      <c r="H1831" t="s">
        <v>13</v>
      </c>
      <c r="I1831" t="str">
        <f t="shared" si="28"/>
        <v>Média</v>
      </c>
    </row>
    <row r="1832" spans="1:9">
      <c r="A1832" t="s">
        <v>226</v>
      </c>
      <c r="B1832">
        <v>2025</v>
      </c>
      <c r="C1832">
        <v>1</v>
      </c>
      <c r="D1832" t="s">
        <v>9</v>
      </c>
      <c r="E1832" t="s">
        <v>14</v>
      </c>
      <c r="F1832">
        <v>11.5</v>
      </c>
      <c r="G1832">
        <v>88</v>
      </c>
      <c r="H1832" t="s">
        <v>13</v>
      </c>
      <c r="I1832" t="str">
        <f t="shared" si="28"/>
        <v>Alta</v>
      </c>
    </row>
    <row r="1833" spans="1:9">
      <c r="A1833" t="s">
        <v>251</v>
      </c>
      <c r="B1833">
        <v>2025</v>
      </c>
      <c r="C1833">
        <v>1</v>
      </c>
      <c r="D1833" t="s">
        <v>9</v>
      </c>
      <c r="E1833" t="s">
        <v>14</v>
      </c>
      <c r="F1833">
        <v>11.5</v>
      </c>
      <c r="G1833">
        <v>87</v>
      </c>
      <c r="H1833" t="s">
        <v>13</v>
      </c>
      <c r="I1833" t="str">
        <f t="shared" si="28"/>
        <v>Alta</v>
      </c>
    </row>
    <row r="1834" spans="1:9">
      <c r="A1834" t="s">
        <v>270</v>
      </c>
      <c r="B1834">
        <v>2025</v>
      </c>
      <c r="C1834">
        <v>1</v>
      </c>
      <c r="D1834" t="s">
        <v>75</v>
      </c>
      <c r="E1834" t="s">
        <v>76</v>
      </c>
      <c r="F1834">
        <v>11.5</v>
      </c>
      <c r="G1834">
        <v>72.8</v>
      </c>
      <c r="H1834" t="s">
        <v>13</v>
      </c>
      <c r="I1834" t="str">
        <f t="shared" si="28"/>
        <v>Média</v>
      </c>
    </row>
    <row r="1835" spans="1:9">
      <c r="A1835" t="s">
        <v>306</v>
      </c>
      <c r="B1835">
        <v>2025</v>
      </c>
      <c r="C1835">
        <v>1</v>
      </c>
      <c r="D1835" t="s">
        <v>75</v>
      </c>
      <c r="E1835" t="s">
        <v>78</v>
      </c>
      <c r="F1835">
        <v>11.5</v>
      </c>
      <c r="G1835">
        <v>75.599999999999994</v>
      </c>
      <c r="H1835" t="s">
        <v>13</v>
      </c>
      <c r="I1835" t="str">
        <f t="shared" si="28"/>
        <v>Alta</v>
      </c>
    </row>
    <row r="1836" spans="1:9">
      <c r="A1836" t="s">
        <v>360</v>
      </c>
      <c r="B1836">
        <v>2025</v>
      </c>
      <c r="C1836">
        <v>1</v>
      </c>
      <c r="D1836" t="s">
        <v>139</v>
      </c>
      <c r="E1836" t="s">
        <v>141</v>
      </c>
      <c r="F1836">
        <v>11.5</v>
      </c>
      <c r="G1836">
        <v>56.4</v>
      </c>
      <c r="H1836" t="s">
        <v>13</v>
      </c>
      <c r="I1836" t="str">
        <f t="shared" si="28"/>
        <v>Média</v>
      </c>
    </row>
    <row r="1837" spans="1:9">
      <c r="A1837" t="s">
        <v>369</v>
      </c>
      <c r="B1837">
        <v>2025</v>
      </c>
      <c r="C1837">
        <v>1</v>
      </c>
      <c r="D1837" t="s">
        <v>139</v>
      </c>
      <c r="E1837" t="s">
        <v>141</v>
      </c>
      <c r="F1837">
        <v>11.5</v>
      </c>
      <c r="G1837">
        <v>99.7</v>
      </c>
      <c r="H1837" t="s">
        <v>13</v>
      </c>
      <c r="I1837" t="str">
        <f t="shared" si="28"/>
        <v>Alta</v>
      </c>
    </row>
    <row r="1838" spans="1:9">
      <c r="A1838" t="s">
        <v>379</v>
      </c>
      <c r="B1838">
        <v>2025</v>
      </c>
      <c r="C1838">
        <v>1</v>
      </c>
      <c r="D1838" t="s">
        <v>139</v>
      </c>
      <c r="E1838" t="s">
        <v>141</v>
      </c>
      <c r="F1838">
        <v>11.5</v>
      </c>
      <c r="G1838">
        <v>96.7</v>
      </c>
      <c r="H1838" t="s">
        <v>13</v>
      </c>
      <c r="I1838" t="str">
        <f t="shared" si="28"/>
        <v>Alta</v>
      </c>
    </row>
    <row r="1839" spans="1:9">
      <c r="A1839" t="s">
        <v>222</v>
      </c>
      <c r="B1839">
        <v>2025</v>
      </c>
      <c r="C1839">
        <v>2</v>
      </c>
      <c r="D1839" t="s">
        <v>9</v>
      </c>
      <c r="E1839" t="s">
        <v>14</v>
      </c>
      <c r="F1839">
        <v>11.5</v>
      </c>
      <c r="G1839">
        <v>61.6</v>
      </c>
      <c r="H1839" t="s">
        <v>13</v>
      </c>
      <c r="I1839" t="str">
        <f t="shared" si="28"/>
        <v>Média</v>
      </c>
    </row>
    <row r="1840" spans="1:9">
      <c r="A1840" t="s">
        <v>230</v>
      </c>
      <c r="B1840">
        <v>2025</v>
      </c>
      <c r="C1840">
        <v>2</v>
      </c>
      <c r="D1840" t="s">
        <v>9</v>
      </c>
      <c r="E1840" t="s">
        <v>14</v>
      </c>
      <c r="F1840">
        <v>11.5</v>
      </c>
      <c r="G1840">
        <v>68.099999999999994</v>
      </c>
      <c r="H1840" t="s">
        <v>13</v>
      </c>
      <c r="I1840" t="str">
        <f t="shared" si="28"/>
        <v>Média</v>
      </c>
    </row>
    <row r="1841" spans="1:9">
      <c r="A1841" t="s">
        <v>264</v>
      </c>
      <c r="B1841">
        <v>2025</v>
      </c>
      <c r="C1841">
        <v>2</v>
      </c>
      <c r="D1841" t="s">
        <v>75</v>
      </c>
      <c r="E1841" t="s">
        <v>76</v>
      </c>
      <c r="F1841">
        <v>11.5</v>
      </c>
      <c r="G1841">
        <v>54.6</v>
      </c>
      <c r="H1841" t="s">
        <v>13</v>
      </c>
      <c r="I1841" t="str">
        <f t="shared" si="28"/>
        <v>Média</v>
      </c>
    </row>
    <row r="1842" spans="1:9">
      <c r="A1842" t="s">
        <v>284</v>
      </c>
      <c r="B1842">
        <v>2025</v>
      </c>
      <c r="C1842">
        <v>2</v>
      </c>
      <c r="D1842" t="s">
        <v>75</v>
      </c>
      <c r="E1842" t="s">
        <v>78</v>
      </c>
      <c r="F1842">
        <v>11.5</v>
      </c>
      <c r="G1842">
        <v>65.7</v>
      </c>
      <c r="H1842" t="s">
        <v>13</v>
      </c>
      <c r="I1842" t="str">
        <f t="shared" si="28"/>
        <v>Média</v>
      </c>
    </row>
    <row r="1843" spans="1:9">
      <c r="A1843" t="s">
        <v>321</v>
      </c>
      <c r="B1843">
        <v>2025</v>
      </c>
      <c r="C1843">
        <v>2</v>
      </c>
      <c r="D1843" t="s">
        <v>139</v>
      </c>
      <c r="E1843" t="s">
        <v>141</v>
      </c>
      <c r="F1843">
        <v>11.5</v>
      </c>
      <c r="G1843">
        <v>68.599999999999994</v>
      </c>
      <c r="H1843" t="s">
        <v>13</v>
      </c>
      <c r="I1843" t="str">
        <f t="shared" si="28"/>
        <v>Média</v>
      </c>
    </row>
    <row r="1844" spans="1:9">
      <c r="A1844" t="s">
        <v>346</v>
      </c>
      <c r="B1844">
        <v>2025</v>
      </c>
      <c r="C1844">
        <v>2</v>
      </c>
      <c r="D1844" t="s">
        <v>139</v>
      </c>
      <c r="E1844" t="s">
        <v>10</v>
      </c>
      <c r="F1844">
        <v>11.5</v>
      </c>
      <c r="G1844">
        <v>62.7</v>
      </c>
      <c r="H1844" t="s">
        <v>13</v>
      </c>
      <c r="I1844" t="str">
        <f t="shared" si="28"/>
        <v>Média</v>
      </c>
    </row>
    <row r="1845" spans="1:9">
      <c r="A1845" t="s">
        <v>378</v>
      </c>
      <c r="B1845">
        <v>2025</v>
      </c>
      <c r="C1845">
        <v>2</v>
      </c>
      <c r="D1845" t="s">
        <v>139</v>
      </c>
      <c r="E1845" t="s">
        <v>140</v>
      </c>
      <c r="F1845">
        <v>11.5</v>
      </c>
      <c r="G1845">
        <v>99.5</v>
      </c>
      <c r="H1845" t="s">
        <v>13</v>
      </c>
      <c r="I1845" t="str">
        <f t="shared" si="28"/>
        <v>Alta</v>
      </c>
    </row>
    <row r="1846" spans="1:9">
      <c r="A1846" t="s">
        <v>383</v>
      </c>
      <c r="B1846">
        <v>2026</v>
      </c>
      <c r="C1846">
        <v>1</v>
      </c>
      <c r="D1846" t="s">
        <v>9</v>
      </c>
      <c r="E1846" t="s">
        <v>10</v>
      </c>
      <c r="F1846">
        <v>11.5</v>
      </c>
      <c r="G1846">
        <v>79</v>
      </c>
      <c r="H1846" t="s">
        <v>13</v>
      </c>
      <c r="I1846" t="str">
        <f t="shared" si="28"/>
        <v>Alta</v>
      </c>
    </row>
    <row r="1847" spans="1:9">
      <c r="A1847" t="s">
        <v>406</v>
      </c>
      <c r="B1847">
        <v>2026</v>
      </c>
      <c r="C1847">
        <v>1</v>
      </c>
      <c r="D1847" t="s">
        <v>9</v>
      </c>
      <c r="E1847" t="s">
        <v>12</v>
      </c>
      <c r="F1847">
        <v>11.5</v>
      </c>
      <c r="G1847">
        <v>85.4</v>
      </c>
      <c r="H1847" t="s">
        <v>13</v>
      </c>
      <c r="I1847" t="str">
        <f t="shared" si="28"/>
        <v>Alta</v>
      </c>
    </row>
    <row r="1848" spans="1:9">
      <c r="A1848" t="s">
        <v>431</v>
      </c>
      <c r="B1848">
        <v>2026</v>
      </c>
      <c r="C1848">
        <v>1</v>
      </c>
      <c r="D1848" t="s">
        <v>9</v>
      </c>
      <c r="E1848" t="s">
        <v>12</v>
      </c>
      <c r="F1848">
        <v>11.5</v>
      </c>
      <c r="G1848">
        <v>50.3</v>
      </c>
      <c r="H1848" t="s">
        <v>13</v>
      </c>
      <c r="I1848" t="str">
        <f t="shared" si="28"/>
        <v>Média</v>
      </c>
    </row>
    <row r="1849" spans="1:9">
      <c r="A1849" t="s">
        <v>446</v>
      </c>
      <c r="B1849">
        <v>2026</v>
      </c>
      <c r="C1849">
        <v>1</v>
      </c>
      <c r="D1849" t="s">
        <v>75</v>
      </c>
      <c r="E1849" t="s">
        <v>77</v>
      </c>
      <c r="F1849">
        <v>11.5</v>
      </c>
      <c r="G1849">
        <v>57.9</v>
      </c>
      <c r="H1849" t="s">
        <v>13</v>
      </c>
      <c r="I1849" t="str">
        <f t="shared" si="28"/>
        <v>Média</v>
      </c>
    </row>
    <row r="1850" spans="1:9">
      <c r="A1850" t="s">
        <v>446</v>
      </c>
      <c r="B1850">
        <v>2026</v>
      </c>
      <c r="C1850">
        <v>2</v>
      </c>
      <c r="D1850" t="s">
        <v>75</v>
      </c>
      <c r="E1850" t="s">
        <v>76</v>
      </c>
      <c r="F1850">
        <v>11.5</v>
      </c>
      <c r="G1850">
        <v>78.599999999999994</v>
      </c>
      <c r="H1850" t="s">
        <v>13</v>
      </c>
      <c r="I1850" t="str">
        <f t="shared" si="28"/>
        <v>Alta</v>
      </c>
    </row>
    <row r="1851" spans="1:9">
      <c r="A1851" t="s">
        <v>451</v>
      </c>
      <c r="B1851">
        <v>2026</v>
      </c>
      <c r="C1851">
        <v>2</v>
      </c>
      <c r="D1851" t="s">
        <v>75</v>
      </c>
      <c r="E1851" t="s">
        <v>77</v>
      </c>
      <c r="F1851">
        <v>11.5</v>
      </c>
      <c r="G1851">
        <v>57.3</v>
      </c>
      <c r="H1851" t="s">
        <v>13</v>
      </c>
      <c r="I1851" t="str">
        <f t="shared" si="28"/>
        <v>Média</v>
      </c>
    </row>
    <row r="1852" spans="1:9">
      <c r="A1852" t="s">
        <v>504</v>
      </c>
      <c r="B1852">
        <v>2026</v>
      </c>
      <c r="C1852">
        <v>2</v>
      </c>
      <c r="D1852" t="s">
        <v>139</v>
      </c>
      <c r="E1852" t="s">
        <v>10</v>
      </c>
      <c r="F1852">
        <v>11.5</v>
      </c>
      <c r="G1852">
        <v>57.2</v>
      </c>
      <c r="H1852" t="s">
        <v>13</v>
      </c>
      <c r="I1852" t="str">
        <f t="shared" si="28"/>
        <v>Média</v>
      </c>
    </row>
    <row r="1853" spans="1:9">
      <c r="A1853" t="s">
        <v>549</v>
      </c>
      <c r="B1853">
        <v>2026</v>
      </c>
      <c r="C1853">
        <v>2</v>
      </c>
      <c r="D1853" t="s">
        <v>139</v>
      </c>
      <c r="E1853" t="s">
        <v>140</v>
      </c>
      <c r="F1853">
        <v>11.5</v>
      </c>
      <c r="G1853">
        <v>58.1</v>
      </c>
      <c r="H1853" t="s">
        <v>13</v>
      </c>
      <c r="I1853" t="str">
        <f t="shared" si="28"/>
        <v>Média</v>
      </c>
    </row>
    <row r="1854" spans="1:9">
      <c r="A1854" t="s">
        <v>39</v>
      </c>
      <c r="B1854">
        <v>2024</v>
      </c>
      <c r="C1854">
        <v>1</v>
      </c>
      <c r="D1854" t="s">
        <v>9</v>
      </c>
      <c r="E1854" t="s">
        <v>12</v>
      </c>
      <c r="F1854">
        <v>11.6</v>
      </c>
      <c r="G1854">
        <v>80.099999999999994</v>
      </c>
      <c r="H1854" t="s">
        <v>13</v>
      </c>
      <c r="I1854" t="str">
        <f t="shared" si="28"/>
        <v>Alta</v>
      </c>
    </row>
    <row r="1855" spans="1:9">
      <c r="A1855" t="s">
        <v>71</v>
      </c>
      <c r="B1855">
        <v>2024</v>
      </c>
      <c r="C1855">
        <v>1</v>
      </c>
      <c r="D1855" t="s">
        <v>9</v>
      </c>
      <c r="E1855" t="s">
        <v>12</v>
      </c>
      <c r="F1855">
        <v>11.6</v>
      </c>
      <c r="G1855">
        <v>63.7</v>
      </c>
      <c r="H1855" t="s">
        <v>13</v>
      </c>
      <c r="I1855" t="str">
        <f t="shared" si="28"/>
        <v>Média</v>
      </c>
    </row>
    <row r="1856" spans="1:9">
      <c r="A1856" t="s">
        <v>86</v>
      </c>
      <c r="B1856">
        <v>2024</v>
      </c>
      <c r="C1856">
        <v>1</v>
      </c>
      <c r="D1856" t="s">
        <v>75</v>
      </c>
      <c r="E1856" t="s">
        <v>77</v>
      </c>
      <c r="F1856">
        <v>11.6</v>
      </c>
      <c r="G1856">
        <v>95.9</v>
      </c>
      <c r="H1856" t="s">
        <v>13</v>
      </c>
      <c r="I1856" t="str">
        <f t="shared" si="28"/>
        <v>Alta</v>
      </c>
    </row>
    <row r="1857" spans="1:9">
      <c r="A1857" t="s">
        <v>114</v>
      </c>
      <c r="B1857">
        <v>2024</v>
      </c>
      <c r="C1857">
        <v>1</v>
      </c>
      <c r="D1857" t="s">
        <v>75</v>
      </c>
      <c r="E1857" t="s">
        <v>76</v>
      </c>
      <c r="F1857">
        <v>11.6</v>
      </c>
      <c r="G1857">
        <v>98.6</v>
      </c>
      <c r="H1857" t="s">
        <v>13</v>
      </c>
      <c r="I1857" t="str">
        <f t="shared" si="28"/>
        <v>Alta</v>
      </c>
    </row>
    <row r="1858" spans="1:9">
      <c r="A1858" t="s">
        <v>127</v>
      </c>
      <c r="B1858">
        <v>2024</v>
      </c>
      <c r="C1858">
        <v>1</v>
      </c>
      <c r="D1858" t="s">
        <v>75</v>
      </c>
      <c r="E1858" t="s">
        <v>77</v>
      </c>
      <c r="F1858">
        <v>11.6</v>
      </c>
      <c r="G1858">
        <v>97.6</v>
      </c>
      <c r="H1858" t="s">
        <v>13</v>
      </c>
      <c r="I1858" t="str">
        <f t="shared" ref="I1858:I1921" si="29">IF(G1858&lt;50,"Baixa",IF(G1858&lt;75,"Média","Alta"))</f>
        <v>Alta</v>
      </c>
    </row>
    <row r="1859" spans="1:9">
      <c r="A1859" t="s">
        <v>172</v>
      </c>
      <c r="B1859">
        <v>2024</v>
      </c>
      <c r="C1859">
        <v>1</v>
      </c>
      <c r="D1859" t="s">
        <v>139</v>
      </c>
      <c r="E1859" t="s">
        <v>10</v>
      </c>
      <c r="F1859">
        <v>11.6</v>
      </c>
      <c r="G1859">
        <v>74</v>
      </c>
      <c r="H1859" t="s">
        <v>13</v>
      </c>
      <c r="I1859" t="str">
        <f t="shared" si="29"/>
        <v>Média</v>
      </c>
    </row>
    <row r="1860" spans="1:9">
      <c r="A1860" t="s">
        <v>181</v>
      </c>
      <c r="B1860">
        <v>2024</v>
      </c>
      <c r="C1860">
        <v>1</v>
      </c>
      <c r="D1860" t="s">
        <v>139</v>
      </c>
      <c r="E1860" t="s">
        <v>140</v>
      </c>
      <c r="F1860">
        <v>11.6</v>
      </c>
      <c r="G1860">
        <v>76.099999999999994</v>
      </c>
      <c r="H1860" t="s">
        <v>13</v>
      </c>
      <c r="I1860" t="str">
        <f t="shared" si="29"/>
        <v>Alta</v>
      </c>
    </row>
    <row r="1861" spans="1:9">
      <c r="A1861" t="s">
        <v>183</v>
      </c>
      <c r="B1861">
        <v>2024</v>
      </c>
      <c r="C1861">
        <v>1</v>
      </c>
      <c r="D1861" t="s">
        <v>139</v>
      </c>
      <c r="E1861" t="s">
        <v>141</v>
      </c>
      <c r="F1861">
        <v>11.6</v>
      </c>
      <c r="G1861">
        <v>50.3</v>
      </c>
      <c r="H1861" t="s">
        <v>13</v>
      </c>
      <c r="I1861" t="str">
        <f t="shared" si="29"/>
        <v>Média</v>
      </c>
    </row>
    <row r="1862" spans="1:9">
      <c r="A1862" t="s">
        <v>85</v>
      </c>
      <c r="B1862">
        <v>2024</v>
      </c>
      <c r="C1862">
        <v>2</v>
      </c>
      <c r="D1862" t="s">
        <v>75</v>
      </c>
      <c r="E1862" t="s">
        <v>76</v>
      </c>
      <c r="F1862">
        <v>11.6</v>
      </c>
      <c r="G1862">
        <v>73.5</v>
      </c>
      <c r="H1862" t="s">
        <v>13</v>
      </c>
      <c r="I1862" t="str">
        <f t="shared" si="29"/>
        <v>Média</v>
      </c>
    </row>
    <row r="1863" spans="1:9">
      <c r="A1863" t="s">
        <v>118</v>
      </c>
      <c r="B1863">
        <v>2024</v>
      </c>
      <c r="C1863">
        <v>2</v>
      </c>
      <c r="D1863" t="s">
        <v>75</v>
      </c>
      <c r="E1863" t="s">
        <v>76</v>
      </c>
      <c r="F1863">
        <v>11.6</v>
      </c>
      <c r="G1863">
        <v>80.400000000000006</v>
      </c>
      <c r="H1863" t="s">
        <v>13</v>
      </c>
      <c r="I1863" t="str">
        <f t="shared" si="29"/>
        <v>Alta</v>
      </c>
    </row>
    <row r="1864" spans="1:9">
      <c r="A1864" t="s">
        <v>144</v>
      </c>
      <c r="B1864">
        <v>2024</v>
      </c>
      <c r="C1864">
        <v>2</v>
      </c>
      <c r="D1864" t="s">
        <v>139</v>
      </c>
      <c r="E1864" t="s">
        <v>10</v>
      </c>
      <c r="F1864">
        <v>11.6</v>
      </c>
      <c r="G1864">
        <v>78</v>
      </c>
      <c r="H1864" t="s">
        <v>13</v>
      </c>
      <c r="I1864" t="str">
        <f t="shared" si="29"/>
        <v>Alta</v>
      </c>
    </row>
    <row r="1865" spans="1:9">
      <c r="A1865" t="s">
        <v>167</v>
      </c>
      <c r="B1865">
        <v>2024</v>
      </c>
      <c r="C1865">
        <v>2</v>
      </c>
      <c r="D1865" t="s">
        <v>139</v>
      </c>
      <c r="E1865" t="s">
        <v>140</v>
      </c>
      <c r="F1865">
        <v>11.6</v>
      </c>
      <c r="G1865">
        <v>71.400000000000006</v>
      </c>
      <c r="H1865" t="s">
        <v>13</v>
      </c>
      <c r="I1865" t="str">
        <f t="shared" si="29"/>
        <v>Média</v>
      </c>
    </row>
    <row r="1866" spans="1:9">
      <c r="A1866" t="s">
        <v>186</v>
      </c>
      <c r="B1866">
        <v>2024</v>
      </c>
      <c r="C1866">
        <v>2</v>
      </c>
      <c r="D1866" t="s">
        <v>139</v>
      </c>
      <c r="E1866" t="s">
        <v>10</v>
      </c>
      <c r="F1866">
        <v>11.6</v>
      </c>
      <c r="G1866">
        <v>64.5</v>
      </c>
      <c r="H1866" t="s">
        <v>13</v>
      </c>
      <c r="I1866" t="str">
        <f t="shared" si="29"/>
        <v>Média</v>
      </c>
    </row>
    <row r="1867" spans="1:9">
      <c r="A1867" t="s">
        <v>201</v>
      </c>
      <c r="B1867">
        <v>2025</v>
      </c>
      <c r="C1867">
        <v>1</v>
      </c>
      <c r="D1867" t="s">
        <v>9</v>
      </c>
      <c r="E1867" t="s">
        <v>14</v>
      </c>
      <c r="F1867">
        <v>11.6</v>
      </c>
      <c r="G1867">
        <v>72.2</v>
      </c>
      <c r="H1867" t="s">
        <v>13</v>
      </c>
      <c r="I1867" t="str">
        <f t="shared" si="29"/>
        <v>Média</v>
      </c>
    </row>
    <row r="1868" spans="1:9">
      <c r="A1868" t="s">
        <v>221</v>
      </c>
      <c r="B1868">
        <v>2025</v>
      </c>
      <c r="C1868">
        <v>1</v>
      </c>
      <c r="D1868" t="s">
        <v>9</v>
      </c>
      <c r="E1868" t="s">
        <v>12</v>
      </c>
      <c r="F1868">
        <v>11.6</v>
      </c>
      <c r="G1868">
        <v>78.8</v>
      </c>
      <c r="H1868" t="s">
        <v>13</v>
      </c>
      <c r="I1868" t="str">
        <f t="shared" si="29"/>
        <v>Alta</v>
      </c>
    </row>
    <row r="1869" spans="1:9">
      <c r="A1869" t="s">
        <v>271</v>
      </c>
      <c r="B1869">
        <v>2025</v>
      </c>
      <c r="C1869">
        <v>1</v>
      </c>
      <c r="D1869" t="s">
        <v>75</v>
      </c>
      <c r="E1869" t="s">
        <v>77</v>
      </c>
      <c r="F1869">
        <v>11.6</v>
      </c>
      <c r="G1869">
        <v>82.5</v>
      </c>
      <c r="H1869" t="s">
        <v>13</v>
      </c>
      <c r="I1869" t="str">
        <f t="shared" si="29"/>
        <v>Alta</v>
      </c>
    </row>
    <row r="1870" spans="1:9">
      <c r="A1870" t="s">
        <v>331</v>
      </c>
      <c r="B1870">
        <v>2025</v>
      </c>
      <c r="C1870">
        <v>1</v>
      </c>
      <c r="D1870" t="s">
        <v>139</v>
      </c>
      <c r="E1870" t="s">
        <v>10</v>
      </c>
      <c r="F1870">
        <v>11.6</v>
      </c>
      <c r="G1870">
        <v>62.7</v>
      </c>
      <c r="H1870" t="s">
        <v>13</v>
      </c>
      <c r="I1870" t="str">
        <f t="shared" si="29"/>
        <v>Média</v>
      </c>
    </row>
    <row r="1871" spans="1:9">
      <c r="A1871" t="s">
        <v>276</v>
      </c>
      <c r="B1871">
        <v>2025</v>
      </c>
      <c r="C1871">
        <v>2</v>
      </c>
      <c r="D1871" t="s">
        <v>75</v>
      </c>
      <c r="E1871" t="s">
        <v>78</v>
      </c>
      <c r="F1871">
        <v>11.6</v>
      </c>
      <c r="G1871">
        <v>45.4</v>
      </c>
      <c r="H1871" t="s">
        <v>13</v>
      </c>
      <c r="I1871" t="str">
        <f t="shared" si="29"/>
        <v>Baixa</v>
      </c>
    </row>
    <row r="1872" spans="1:9">
      <c r="A1872" t="s">
        <v>280</v>
      </c>
      <c r="B1872">
        <v>2025</v>
      </c>
      <c r="C1872">
        <v>2</v>
      </c>
      <c r="D1872" t="s">
        <v>75</v>
      </c>
      <c r="E1872" t="s">
        <v>77</v>
      </c>
      <c r="F1872">
        <v>11.6</v>
      </c>
      <c r="G1872">
        <v>79.5</v>
      </c>
      <c r="H1872" t="s">
        <v>13</v>
      </c>
      <c r="I1872" t="str">
        <f t="shared" si="29"/>
        <v>Alta</v>
      </c>
    </row>
    <row r="1873" spans="1:9">
      <c r="A1873" t="s">
        <v>354</v>
      </c>
      <c r="B1873">
        <v>2025</v>
      </c>
      <c r="C1873">
        <v>2</v>
      </c>
      <c r="D1873" t="s">
        <v>139</v>
      </c>
      <c r="E1873" t="s">
        <v>10</v>
      </c>
      <c r="F1873">
        <v>11.6</v>
      </c>
      <c r="G1873">
        <v>71.8</v>
      </c>
      <c r="H1873" t="s">
        <v>13</v>
      </c>
      <c r="I1873" t="str">
        <f t="shared" si="29"/>
        <v>Média</v>
      </c>
    </row>
    <row r="1874" spans="1:9">
      <c r="A1874" t="s">
        <v>359</v>
      </c>
      <c r="B1874">
        <v>2025</v>
      </c>
      <c r="C1874">
        <v>2</v>
      </c>
      <c r="D1874" t="s">
        <v>139</v>
      </c>
      <c r="E1874" t="s">
        <v>140</v>
      </c>
      <c r="F1874">
        <v>11.6</v>
      </c>
      <c r="G1874">
        <v>84.1</v>
      </c>
      <c r="H1874" t="s">
        <v>13</v>
      </c>
      <c r="I1874" t="str">
        <f t="shared" si="29"/>
        <v>Alta</v>
      </c>
    </row>
    <row r="1875" spans="1:9">
      <c r="A1875" t="s">
        <v>382</v>
      </c>
      <c r="B1875">
        <v>2026</v>
      </c>
      <c r="C1875">
        <v>1</v>
      </c>
      <c r="D1875" t="s">
        <v>9</v>
      </c>
      <c r="E1875" t="s">
        <v>14</v>
      </c>
      <c r="F1875">
        <v>11.6</v>
      </c>
      <c r="G1875">
        <v>82.5</v>
      </c>
      <c r="H1875" t="s">
        <v>13</v>
      </c>
      <c r="I1875" t="str">
        <f t="shared" si="29"/>
        <v>Alta</v>
      </c>
    </row>
    <row r="1876" spans="1:9">
      <c r="A1876" t="s">
        <v>423</v>
      </c>
      <c r="B1876">
        <v>2026</v>
      </c>
      <c r="C1876">
        <v>1</v>
      </c>
      <c r="D1876" t="s">
        <v>9</v>
      </c>
      <c r="E1876" t="s">
        <v>10</v>
      </c>
      <c r="F1876">
        <v>11.6</v>
      </c>
      <c r="G1876">
        <v>71.2</v>
      </c>
      <c r="H1876" t="s">
        <v>13</v>
      </c>
      <c r="I1876" t="str">
        <f t="shared" si="29"/>
        <v>Média</v>
      </c>
    </row>
    <row r="1877" spans="1:9">
      <c r="A1877" t="s">
        <v>457</v>
      </c>
      <c r="B1877">
        <v>2026</v>
      </c>
      <c r="C1877">
        <v>1</v>
      </c>
      <c r="D1877" t="s">
        <v>75</v>
      </c>
      <c r="E1877" t="s">
        <v>78</v>
      </c>
      <c r="F1877">
        <v>11.6</v>
      </c>
      <c r="G1877">
        <v>69</v>
      </c>
      <c r="H1877" t="s">
        <v>13</v>
      </c>
      <c r="I1877" t="str">
        <f t="shared" si="29"/>
        <v>Média</v>
      </c>
    </row>
    <row r="1878" spans="1:9">
      <c r="A1878" t="s">
        <v>527</v>
      </c>
      <c r="B1878">
        <v>2026</v>
      </c>
      <c r="C1878">
        <v>1</v>
      </c>
      <c r="D1878" t="s">
        <v>139</v>
      </c>
      <c r="E1878" t="s">
        <v>10</v>
      </c>
      <c r="F1878">
        <v>11.6</v>
      </c>
      <c r="G1878">
        <v>82</v>
      </c>
      <c r="H1878" t="s">
        <v>13</v>
      </c>
      <c r="I1878" t="str">
        <f t="shared" si="29"/>
        <v>Alta</v>
      </c>
    </row>
    <row r="1879" spans="1:9">
      <c r="A1879" t="s">
        <v>543</v>
      </c>
      <c r="B1879">
        <v>2026</v>
      </c>
      <c r="C1879">
        <v>1</v>
      </c>
      <c r="D1879" t="s">
        <v>139</v>
      </c>
      <c r="E1879" t="s">
        <v>10</v>
      </c>
      <c r="F1879">
        <v>11.6</v>
      </c>
      <c r="G1879">
        <v>45.6</v>
      </c>
      <c r="H1879" t="s">
        <v>13</v>
      </c>
      <c r="I1879" t="str">
        <f t="shared" si="29"/>
        <v>Baixa</v>
      </c>
    </row>
    <row r="1880" spans="1:9">
      <c r="A1880" t="s">
        <v>438</v>
      </c>
      <c r="B1880">
        <v>2026</v>
      </c>
      <c r="C1880">
        <v>2</v>
      </c>
      <c r="D1880" t="s">
        <v>9</v>
      </c>
      <c r="E1880" t="s">
        <v>10</v>
      </c>
      <c r="F1880">
        <v>11.6</v>
      </c>
      <c r="G1880">
        <v>84.6</v>
      </c>
      <c r="H1880" t="s">
        <v>13</v>
      </c>
      <c r="I1880" t="str">
        <f t="shared" si="29"/>
        <v>Alta</v>
      </c>
    </row>
    <row r="1881" spans="1:9">
      <c r="A1881" t="s">
        <v>486</v>
      </c>
      <c r="B1881">
        <v>2026</v>
      </c>
      <c r="C1881">
        <v>2</v>
      </c>
      <c r="D1881" t="s">
        <v>75</v>
      </c>
      <c r="E1881" t="s">
        <v>78</v>
      </c>
      <c r="F1881">
        <v>11.6</v>
      </c>
      <c r="G1881">
        <v>85</v>
      </c>
      <c r="H1881" t="s">
        <v>13</v>
      </c>
      <c r="I1881" t="str">
        <f t="shared" si="29"/>
        <v>Alta</v>
      </c>
    </row>
    <row r="1882" spans="1:9">
      <c r="A1882" t="s">
        <v>510</v>
      </c>
      <c r="B1882">
        <v>2026</v>
      </c>
      <c r="C1882">
        <v>2</v>
      </c>
      <c r="D1882" t="s">
        <v>139</v>
      </c>
      <c r="E1882" t="s">
        <v>10</v>
      </c>
      <c r="F1882">
        <v>11.6</v>
      </c>
      <c r="G1882">
        <v>67.8</v>
      </c>
      <c r="H1882" t="s">
        <v>13</v>
      </c>
      <c r="I1882" t="str">
        <f t="shared" si="29"/>
        <v>Média</v>
      </c>
    </row>
    <row r="1883" spans="1:9">
      <c r="A1883" t="s">
        <v>20</v>
      </c>
      <c r="B1883">
        <v>2024</v>
      </c>
      <c r="C1883">
        <v>1</v>
      </c>
      <c r="D1883" t="s">
        <v>9</v>
      </c>
      <c r="E1883" t="s">
        <v>10</v>
      </c>
      <c r="F1883">
        <v>11.7</v>
      </c>
      <c r="G1883">
        <v>79</v>
      </c>
      <c r="H1883" t="s">
        <v>13</v>
      </c>
      <c r="I1883" t="str">
        <f t="shared" si="29"/>
        <v>Alta</v>
      </c>
    </row>
    <row r="1884" spans="1:9">
      <c r="A1884" t="s">
        <v>36</v>
      </c>
      <c r="B1884">
        <v>2024</v>
      </c>
      <c r="C1884">
        <v>1</v>
      </c>
      <c r="D1884" t="s">
        <v>9</v>
      </c>
      <c r="E1884" t="s">
        <v>14</v>
      </c>
      <c r="F1884">
        <v>11.7</v>
      </c>
      <c r="G1884">
        <v>62.2</v>
      </c>
      <c r="H1884" t="s">
        <v>13</v>
      </c>
      <c r="I1884" t="str">
        <f t="shared" si="29"/>
        <v>Média</v>
      </c>
    </row>
    <row r="1885" spans="1:9">
      <c r="A1885" t="s">
        <v>53</v>
      </c>
      <c r="B1885">
        <v>2024</v>
      </c>
      <c r="C1885">
        <v>1</v>
      </c>
      <c r="D1885" t="s">
        <v>9</v>
      </c>
      <c r="E1885" t="s">
        <v>12</v>
      </c>
      <c r="F1885">
        <v>11.7</v>
      </c>
      <c r="G1885">
        <v>62.4</v>
      </c>
      <c r="H1885" t="s">
        <v>13</v>
      </c>
      <c r="I1885" t="str">
        <f t="shared" si="29"/>
        <v>Média</v>
      </c>
    </row>
    <row r="1886" spans="1:9">
      <c r="A1886" t="s">
        <v>93</v>
      </c>
      <c r="B1886">
        <v>2024</v>
      </c>
      <c r="C1886">
        <v>1</v>
      </c>
      <c r="D1886" t="s">
        <v>75</v>
      </c>
      <c r="E1886" t="s">
        <v>77</v>
      </c>
      <c r="F1886">
        <v>11.7</v>
      </c>
      <c r="G1886">
        <v>86.6</v>
      </c>
      <c r="H1886" t="s">
        <v>13</v>
      </c>
      <c r="I1886" t="str">
        <f t="shared" si="29"/>
        <v>Alta</v>
      </c>
    </row>
    <row r="1887" spans="1:9">
      <c r="A1887" t="s">
        <v>129</v>
      </c>
      <c r="B1887">
        <v>2024</v>
      </c>
      <c r="C1887">
        <v>1</v>
      </c>
      <c r="D1887" t="s">
        <v>75</v>
      </c>
      <c r="E1887" t="s">
        <v>78</v>
      </c>
      <c r="F1887">
        <v>11.7</v>
      </c>
      <c r="G1887">
        <v>84.1</v>
      </c>
      <c r="H1887" t="s">
        <v>13</v>
      </c>
      <c r="I1887" t="str">
        <f t="shared" si="29"/>
        <v>Alta</v>
      </c>
    </row>
    <row r="1888" spans="1:9">
      <c r="A1888" t="s">
        <v>152</v>
      </c>
      <c r="B1888">
        <v>2024</v>
      </c>
      <c r="C1888">
        <v>1</v>
      </c>
      <c r="D1888" t="s">
        <v>139</v>
      </c>
      <c r="E1888" t="s">
        <v>10</v>
      </c>
      <c r="F1888">
        <v>11.7</v>
      </c>
      <c r="G1888">
        <v>69.8</v>
      </c>
      <c r="H1888" t="s">
        <v>13</v>
      </c>
      <c r="I1888" t="str">
        <f t="shared" si="29"/>
        <v>Média</v>
      </c>
    </row>
    <row r="1889" spans="1:9">
      <c r="A1889" t="s">
        <v>177</v>
      </c>
      <c r="B1889">
        <v>2024</v>
      </c>
      <c r="C1889">
        <v>1</v>
      </c>
      <c r="D1889" t="s">
        <v>139</v>
      </c>
      <c r="E1889" t="s">
        <v>140</v>
      </c>
      <c r="F1889">
        <v>11.7</v>
      </c>
      <c r="G1889">
        <v>84.1</v>
      </c>
      <c r="H1889" t="s">
        <v>13</v>
      </c>
      <c r="I1889" t="str">
        <f t="shared" si="29"/>
        <v>Alta</v>
      </c>
    </row>
    <row r="1890" spans="1:9">
      <c r="A1890" t="s">
        <v>178</v>
      </c>
      <c r="B1890">
        <v>2024</v>
      </c>
      <c r="C1890">
        <v>1</v>
      </c>
      <c r="D1890" t="s">
        <v>139</v>
      </c>
      <c r="E1890" t="s">
        <v>141</v>
      </c>
      <c r="F1890">
        <v>11.7</v>
      </c>
      <c r="G1890">
        <v>56.6</v>
      </c>
      <c r="H1890" t="s">
        <v>13</v>
      </c>
      <c r="I1890" t="str">
        <f t="shared" si="29"/>
        <v>Média</v>
      </c>
    </row>
    <row r="1891" spans="1:9">
      <c r="A1891" t="s">
        <v>198</v>
      </c>
      <c r="B1891">
        <v>2024</v>
      </c>
      <c r="C1891">
        <v>1</v>
      </c>
      <c r="D1891" t="s">
        <v>139</v>
      </c>
      <c r="E1891" t="s">
        <v>10</v>
      </c>
      <c r="F1891">
        <v>11.7</v>
      </c>
      <c r="G1891">
        <v>70.099999999999994</v>
      </c>
      <c r="H1891" t="s">
        <v>13</v>
      </c>
      <c r="I1891" t="str">
        <f t="shared" si="29"/>
        <v>Média</v>
      </c>
    </row>
    <row r="1892" spans="1:9">
      <c r="A1892" t="s">
        <v>29</v>
      </c>
      <c r="B1892">
        <v>2024</v>
      </c>
      <c r="C1892">
        <v>2</v>
      </c>
      <c r="D1892" t="s">
        <v>9</v>
      </c>
      <c r="E1892" t="s">
        <v>12</v>
      </c>
      <c r="F1892">
        <v>11.7</v>
      </c>
      <c r="G1892">
        <v>84.5</v>
      </c>
      <c r="H1892" t="s">
        <v>13</v>
      </c>
      <c r="I1892" t="str">
        <f t="shared" si="29"/>
        <v>Alta</v>
      </c>
    </row>
    <row r="1893" spans="1:9">
      <c r="A1893" t="s">
        <v>40</v>
      </c>
      <c r="B1893">
        <v>2024</v>
      </c>
      <c r="C1893">
        <v>2</v>
      </c>
      <c r="D1893" t="s">
        <v>9</v>
      </c>
      <c r="E1893" t="s">
        <v>14</v>
      </c>
      <c r="F1893">
        <v>11.7</v>
      </c>
      <c r="G1893">
        <v>83.4</v>
      </c>
      <c r="H1893" t="s">
        <v>13</v>
      </c>
      <c r="I1893" t="str">
        <f t="shared" si="29"/>
        <v>Alta</v>
      </c>
    </row>
    <row r="1894" spans="1:9">
      <c r="A1894" t="s">
        <v>49</v>
      </c>
      <c r="B1894">
        <v>2024</v>
      </c>
      <c r="C1894">
        <v>2</v>
      </c>
      <c r="D1894" t="s">
        <v>9</v>
      </c>
      <c r="E1894" t="s">
        <v>10</v>
      </c>
      <c r="F1894">
        <v>11.7</v>
      </c>
      <c r="G1894">
        <v>67</v>
      </c>
      <c r="H1894" t="s">
        <v>13</v>
      </c>
      <c r="I1894" t="str">
        <f t="shared" si="29"/>
        <v>Média</v>
      </c>
    </row>
    <row r="1895" spans="1:9">
      <c r="A1895" t="s">
        <v>55</v>
      </c>
      <c r="B1895">
        <v>2024</v>
      </c>
      <c r="C1895">
        <v>2</v>
      </c>
      <c r="D1895" t="s">
        <v>9</v>
      </c>
      <c r="E1895" t="s">
        <v>14</v>
      </c>
      <c r="F1895">
        <v>11.7</v>
      </c>
      <c r="G1895">
        <v>95.2</v>
      </c>
      <c r="H1895" t="s">
        <v>13</v>
      </c>
      <c r="I1895" t="str">
        <f t="shared" si="29"/>
        <v>Alta</v>
      </c>
    </row>
    <row r="1896" spans="1:9">
      <c r="A1896" t="s">
        <v>155</v>
      </c>
      <c r="B1896">
        <v>2024</v>
      </c>
      <c r="C1896">
        <v>2</v>
      </c>
      <c r="D1896" t="s">
        <v>139</v>
      </c>
      <c r="E1896" t="s">
        <v>10</v>
      </c>
      <c r="F1896">
        <v>11.7</v>
      </c>
      <c r="G1896">
        <v>75.7</v>
      </c>
      <c r="H1896" t="s">
        <v>13</v>
      </c>
      <c r="I1896" t="str">
        <f t="shared" si="29"/>
        <v>Alta</v>
      </c>
    </row>
    <row r="1897" spans="1:9">
      <c r="A1897" t="s">
        <v>198</v>
      </c>
      <c r="B1897">
        <v>2024</v>
      </c>
      <c r="C1897">
        <v>2</v>
      </c>
      <c r="D1897" t="s">
        <v>139</v>
      </c>
      <c r="E1897" t="s">
        <v>141</v>
      </c>
      <c r="F1897">
        <v>11.7</v>
      </c>
      <c r="G1897">
        <v>66.8</v>
      </c>
      <c r="H1897" t="s">
        <v>13</v>
      </c>
      <c r="I1897" t="str">
        <f t="shared" si="29"/>
        <v>Média</v>
      </c>
    </row>
    <row r="1898" spans="1:9">
      <c r="A1898" t="s">
        <v>222</v>
      </c>
      <c r="B1898">
        <v>2025</v>
      </c>
      <c r="C1898">
        <v>1</v>
      </c>
      <c r="D1898" t="s">
        <v>9</v>
      </c>
      <c r="E1898" t="s">
        <v>14</v>
      </c>
      <c r="F1898">
        <v>11.7</v>
      </c>
      <c r="G1898">
        <v>73.7</v>
      </c>
      <c r="H1898" t="s">
        <v>13</v>
      </c>
      <c r="I1898" t="str">
        <f t="shared" si="29"/>
        <v>Média</v>
      </c>
    </row>
    <row r="1899" spans="1:9">
      <c r="A1899" t="s">
        <v>331</v>
      </c>
      <c r="B1899">
        <v>2025</v>
      </c>
      <c r="C1899">
        <v>1</v>
      </c>
      <c r="D1899" t="s">
        <v>139</v>
      </c>
      <c r="E1899" t="s">
        <v>141</v>
      </c>
      <c r="F1899">
        <v>11.7</v>
      </c>
      <c r="G1899">
        <v>61.6</v>
      </c>
      <c r="H1899" t="s">
        <v>13</v>
      </c>
      <c r="I1899" t="str">
        <f t="shared" si="29"/>
        <v>Média</v>
      </c>
    </row>
    <row r="1900" spans="1:9">
      <c r="A1900" t="s">
        <v>351</v>
      </c>
      <c r="B1900">
        <v>2025</v>
      </c>
      <c r="C1900">
        <v>1</v>
      </c>
      <c r="D1900" t="s">
        <v>139</v>
      </c>
      <c r="E1900" t="s">
        <v>10</v>
      </c>
      <c r="F1900">
        <v>11.7</v>
      </c>
      <c r="G1900">
        <v>73.7</v>
      </c>
      <c r="H1900" t="s">
        <v>13</v>
      </c>
      <c r="I1900" t="str">
        <f t="shared" si="29"/>
        <v>Média</v>
      </c>
    </row>
    <row r="1901" spans="1:9">
      <c r="A1901" t="s">
        <v>263</v>
      </c>
      <c r="B1901">
        <v>2025</v>
      </c>
      <c r="C1901">
        <v>2</v>
      </c>
      <c r="D1901" t="s">
        <v>75</v>
      </c>
      <c r="E1901" t="s">
        <v>78</v>
      </c>
      <c r="F1901">
        <v>11.7</v>
      </c>
      <c r="G1901">
        <v>54.4</v>
      </c>
      <c r="H1901" t="s">
        <v>13</v>
      </c>
      <c r="I1901" t="str">
        <f t="shared" si="29"/>
        <v>Média</v>
      </c>
    </row>
    <row r="1902" spans="1:9">
      <c r="A1902" t="s">
        <v>268</v>
      </c>
      <c r="B1902">
        <v>2025</v>
      </c>
      <c r="C1902">
        <v>2</v>
      </c>
      <c r="D1902" t="s">
        <v>75</v>
      </c>
      <c r="E1902" t="s">
        <v>78</v>
      </c>
      <c r="F1902">
        <v>11.7</v>
      </c>
      <c r="G1902">
        <v>69.7</v>
      </c>
      <c r="H1902" t="s">
        <v>13</v>
      </c>
      <c r="I1902" t="str">
        <f t="shared" si="29"/>
        <v>Média</v>
      </c>
    </row>
    <row r="1903" spans="1:9">
      <c r="A1903" t="s">
        <v>271</v>
      </c>
      <c r="B1903">
        <v>2025</v>
      </c>
      <c r="C1903">
        <v>2</v>
      </c>
      <c r="D1903" t="s">
        <v>75</v>
      </c>
      <c r="E1903" t="s">
        <v>78</v>
      </c>
      <c r="F1903">
        <v>11.7</v>
      </c>
      <c r="G1903">
        <v>74.900000000000006</v>
      </c>
      <c r="H1903" t="s">
        <v>13</v>
      </c>
      <c r="I1903" t="str">
        <f t="shared" si="29"/>
        <v>Média</v>
      </c>
    </row>
    <row r="1904" spans="1:9">
      <c r="A1904" t="s">
        <v>288</v>
      </c>
      <c r="B1904">
        <v>2025</v>
      </c>
      <c r="C1904">
        <v>2</v>
      </c>
      <c r="D1904" t="s">
        <v>75</v>
      </c>
      <c r="E1904" t="s">
        <v>77</v>
      </c>
      <c r="F1904">
        <v>11.7</v>
      </c>
      <c r="G1904">
        <v>97.7</v>
      </c>
      <c r="H1904" t="s">
        <v>13</v>
      </c>
      <c r="I1904" t="str">
        <f t="shared" si="29"/>
        <v>Alta</v>
      </c>
    </row>
    <row r="1905" spans="1:9">
      <c r="A1905" t="s">
        <v>295</v>
      </c>
      <c r="B1905">
        <v>2025</v>
      </c>
      <c r="C1905">
        <v>2</v>
      </c>
      <c r="D1905" t="s">
        <v>75</v>
      </c>
      <c r="E1905" t="s">
        <v>78</v>
      </c>
      <c r="F1905">
        <v>11.7</v>
      </c>
      <c r="G1905">
        <v>76.099999999999994</v>
      </c>
      <c r="H1905" t="s">
        <v>13</v>
      </c>
      <c r="I1905" t="str">
        <f t="shared" si="29"/>
        <v>Alta</v>
      </c>
    </row>
    <row r="1906" spans="1:9">
      <c r="A1906" t="s">
        <v>361</v>
      </c>
      <c r="B1906">
        <v>2025</v>
      </c>
      <c r="C1906">
        <v>2</v>
      </c>
      <c r="D1906" t="s">
        <v>139</v>
      </c>
      <c r="E1906" t="s">
        <v>10</v>
      </c>
      <c r="F1906">
        <v>11.7</v>
      </c>
      <c r="G1906">
        <v>82.4</v>
      </c>
      <c r="H1906" t="s">
        <v>13</v>
      </c>
      <c r="I1906" t="str">
        <f t="shared" si="29"/>
        <v>Alta</v>
      </c>
    </row>
    <row r="1907" spans="1:9">
      <c r="A1907" t="s">
        <v>379</v>
      </c>
      <c r="B1907">
        <v>2025</v>
      </c>
      <c r="C1907">
        <v>2</v>
      </c>
      <c r="D1907" t="s">
        <v>139</v>
      </c>
      <c r="E1907" t="s">
        <v>141</v>
      </c>
      <c r="F1907">
        <v>11.7</v>
      </c>
      <c r="G1907">
        <v>53.3</v>
      </c>
      <c r="H1907" t="s">
        <v>13</v>
      </c>
      <c r="I1907" t="str">
        <f t="shared" si="29"/>
        <v>Média</v>
      </c>
    </row>
    <row r="1908" spans="1:9">
      <c r="A1908" t="s">
        <v>402</v>
      </c>
      <c r="B1908">
        <v>2026</v>
      </c>
      <c r="C1908">
        <v>1</v>
      </c>
      <c r="D1908" t="s">
        <v>9</v>
      </c>
      <c r="E1908" t="s">
        <v>10</v>
      </c>
      <c r="F1908">
        <v>11.7</v>
      </c>
      <c r="G1908">
        <v>55</v>
      </c>
      <c r="H1908" t="s">
        <v>13</v>
      </c>
      <c r="I1908" t="str">
        <f t="shared" si="29"/>
        <v>Média</v>
      </c>
    </row>
    <row r="1909" spans="1:9">
      <c r="A1909" t="s">
        <v>414</v>
      </c>
      <c r="B1909">
        <v>2026</v>
      </c>
      <c r="C1909">
        <v>1</v>
      </c>
      <c r="D1909" t="s">
        <v>9</v>
      </c>
      <c r="E1909" t="s">
        <v>14</v>
      </c>
      <c r="F1909">
        <v>11.7</v>
      </c>
      <c r="G1909">
        <v>93.8</v>
      </c>
      <c r="H1909" t="s">
        <v>13</v>
      </c>
      <c r="I1909" t="str">
        <f t="shared" si="29"/>
        <v>Alta</v>
      </c>
    </row>
    <row r="1910" spans="1:9">
      <c r="A1910" t="s">
        <v>418</v>
      </c>
      <c r="B1910">
        <v>2026</v>
      </c>
      <c r="C1910">
        <v>1</v>
      </c>
      <c r="D1910" t="s">
        <v>9</v>
      </c>
      <c r="E1910" t="s">
        <v>14</v>
      </c>
      <c r="F1910">
        <v>11.7</v>
      </c>
      <c r="G1910">
        <v>78.400000000000006</v>
      </c>
      <c r="H1910" t="s">
        <v>13</v>
      </c>
      <c r="I1910" t="str">
        <f t="shared" si="29"/>
        <v>Alta</v>
      </c>
    </row>
    <row r="1911" spans="1:9">
      <c r="A1911" t="s">
        <v>449</v>
      </c>
      <c r="B1911">
        <v>2026</v>
      </c>
      <c r="C1911">
        <v>1</v>
      </c>
      <c r="D1911" t="s">
        <v>75</v>
      </c>
      <c r="E1911" t="s">
        <v>77</v>
      </c>
      <c r="F1911">
        <v>11.7</v>
      </c>
      <c r="G1911">
        <v>53.4</v>
      </c>
      <c r="H1911" t="s">
        <v>13</v>
      </c>
      <c r="I1911" t="str">
        <f t="shared" si="29"/>
        <v>Média</v>
      </c>
    </row>
    <row r="1912" spans="1:9">
      <c r="A1912" t="s">
        <v>507</v>
      </c>
      <c r="B1912">
        <v>2026</v>
      </c>
      <c r="C1912">
        <v>1</v>
      </c>
      <c r="D1912" t="s">
        <v>139</v>
      </c>
      <c r="E1912" t="s">
        <v>141</v>
      </c>
      <c r="F1912">
        <v>11.7</v>
      </c>
      <c r="G1912">
        <v>57.2</v>
      </c>
      <c r="H1912" t="s">
        <v>13</v>
      </c>
      <c r="I1912" t="str">
        <f t="shared" si="29"/>
        <v>Média</v>
      </c>
    </row>
    <row r="1913" spans="1:9">
      <c r="A1913" t="s">
        <v>404</v>
      </c>
      <c r="B1913">
        <v>2026</v>
      </c>
      <c r="C1913">
        <v>2</v>
      </c>
      <c r="D1913" t="s">
        <v>9</v>
      </c>
      <c r="E1913" t="s">
        <v>10</v>
      </c>
      <c r="F1913">
        <v>11.7</v>
      </c>
      <c r="G1913">
        <v>73.5</v>
      </c>
      <c r="H1913" t="s">
        <v>13</v>
      </c>
      <c r="I1913" t="str">
        <f t="shared" si="29"/>
        <v>Média</v>
      </c>
    </row>
    <row r="1914" spans="1:9">
      <c r="A1914" t="s">
        <v>551</v>
      </c>
      <c r="B1914">
        <v>2026</v>
      </c>
      <c r="C1914">
        <v>2</v>
      </c>
      <c r="D1914" t="s">
        <v>139</v>
      </c>
      <c r="E1914" t="s">
        <v>10</v>
      </c>
      <c r="F1914">
        <v>11.7</v>
      </c>
      <c r="G1914">
        <v>66.8</v>
      </c>
      <c r="H1914" t="s">
        <v>13</v>
      </c>
      <c r="I1914" t="str">
        <f t="shared" si="29"/>
        <v>Média</v>
      </c>
    </row>
    <row r="1915" spans="1:9">
      <c r="A1915" t="s">
        <v>16</v>
      </c>
      <c r="B1915">
        <v>2024</v>
      </c>
      <c r="C1915">
        <v>1</v>
      </c>
      <c r="D1915" t="s">
        <v>9</v>
      </c>
      <c r="E1915" t="s">
        <v>10</v>
      </c>
      <c r="F1915">
        <v>11.8</v>
      </c>
      <c r="G1915">
        <v>99.9</v>
      </c>
      <c r="H1915" t="s">
        <v>13</v>
      </c>
      <c r="I1915" t="str">
        <f t="shared" si="29"/>
        <v>Alta</v>
      </c>
    </row>
    <row r="1916" spans="1:9">
      <c r="A1916" t="s">
        <v>60</v>
      </c>
      <c r="B1916">
        <v>2024</v>
      </c>
      <c r="C1916">
        <v>1</v>
      </c>
      <c r="D1916" t="s">
        <v>9</v>
      </c>
      <c r="E1916" t="s">
        <v>12</v>
      </c>
      <c r="F1916">
        <v>11.8</v>
      </c>
      <c r="G1916">
        <v>54.9</v>
      </c>
      <c r="H1916" t="s">
        <v>13</v>
      </c>
      <c r="I1916" t="str">
        <f t="shared" si="29"/>
        <v>Média</v>
      </c>
    </row>
    <row r="1917" spans="1:9">
      <c r="A1917" t="s">
        <v>68</v>
      </c>
      <c r="B1917">
        <v>2024</v>
      </c>
      <c r="C1917">
        <v>1</v>
      </c>
      <c r="D1917" t="s">
        <v>9</v>
      </c>
      <c r="E1917" t="s">
        <v>10</v>
      </c>
      <c r="F1917">
        <v>11.8</v>
      </c>
      <c r="G1917">
        <v>94.6</v>
      </c>
      <c r="H1917" t="s">
        <v>13</v>
      </c>
      <c r="I1917" t="str">
        <f t="shared" si="29"/>
        <v>Alta</v>
      </c>
    </row>
    <row r="1918" spans="1:9">
      <c r="A1918" t="s">
        <v>85</v>
      </c>
      <c r="B1918">
        <v>2024</v>
      </c>
      <c r="C1918">
        <v>1</v>
      </c>
      <c r="D1918" t="s">
        <v>75</v>
      </c>
      <c r="E1918" t="s">
        <v>77</v>
      </c>
      <c r="F1918">
        <v>11.8</v>
      </c>
      <c r="G1918">
        <v>47.4</v>
      </c>
      <c r="H1918" t="s">
        <v>13</v>
      </c>
      <c r="I1918" t="str">
        <f t="shared" si="29"/>
        <v>Baixa</v>
      </c>
    </row>
    <row r="1919" spans="1:9">
      <c r="A1919" t="s">
        <v>164</v>
      </c>
      <c r="B1919">
        <v>2024</v>
      </c>
      <c r="C1919">
        <v>1</v>
      </c>
      <c r="D1919" t="s">
        <v>139</v>
      </c>
      <c r="E1919" t="s">
        <v>141</v>
      </c>
      <c r="F1919">
        <v>11.8</v>
      </c>
      <c r="G1919">
        <v>68</v>
      </c>
      <c r="H1919" t="s">
        <v>13</v>
      </c>
      <c r="I1919" t="str">
        <f t="shared" si="29"/>
        <v>Média</v>
      </c>
    </row>
    <row r="1920" spans="1:9">
      <c r="A1920" t="s">
        <v>120</v>
      </c>
      <c r="B1920">
        <v>2024</v>
      </c>
      <c r="C1920">
        <v>2</v>
      </c>
      <c r="D1920" t="s">
        <v>75</v>
      </c>
      <c r="E1920" t="s">
        <v>77</v>
      </c>
      <c r="F1920">
        <v>11.8</v>
      </c>
      <c r="G1920">
        <v>52.8</v>
      </c>
      <c r="H1920" t="s">
        <v>13</v>
      </c>
      <c r="I1920" t="str">
        <f t="shared" si="29"/>
        <v>Média</v>
      </c>
    </row>
    <row r="1921" spans="1:9">
      <c r="A1921" t="s">
        <v>149</v>
      </c>
      <c r="B1921">
        <v>2024</v>
      </c>
      <c r="C1921">
        <v>2</v>
      </c>
      <c r="D1921" t="s">
        <v>139</v>
      </c>
      <c r="E1921" t="s">
        <v>141</v>
      </c>
      <c r="F1921">
        <v>11.8</v>
      </c>
      <c r="G1921">
        <v>69.400000000000006</v>
      </c>
      <c r="H1921" t="s">
        <v>13</v>
      </c>
      <c r="I1921" t="str">
        <f t="shared" si="29"/>
        <v>Média</v>
      </c>
    </row>
    <row r="1922" spans="1:9">
      <c r="A1922" t="s">
        <v>166</v>
      </c>
      <c r="B1922">
        <v>2024</v>
      </c>
      <c r="C1922">
        <v>2</v>
      </c>
      <c r="D1922" t="s">
        <v>139</v>
      </c>
      <c r="E1922" t="s">
        <v>140</v>
      </c>
      <c r="F1922">
        <v>11.8</v>
      </c>
      <c r="G1922">
        <v>80.099999999999994</v>
      </c>
      <c r="H1922" t="s">
        <v>13</v>
      </c>
      <c r="I1922" t="str">
        <f t="shared" ref="I1922:I1985" si="30">IF(G1922&lt;50,"Baixa",IF(G1922&lt;75,"Média","Alta"))</f>
        <v>Alta</v>
      </c>
    </row>
    <row r="1923" spans="1:9">
      <c r="A1923" t="s">
        <v>220</v>
      </c>
      <c r="B1923">
        <v>2025</v>
      </c>
      <c r="C1923">
        <v>1</v>
      </c>
      <c r="D1923" t="s">
        <v>9</v>
      </c>
      <c r="E1923" t="s">
        <v>14</v>
      </c>
      <c r="F1923">
        <v>11.8</v>
      </c>
      <c r="G1923">
        <v>83.5</v>
      </c>
      <c r="H1923" t="s">
        <v>13</v>
      </c>
      <c r="I1923" t="str">
        <f t="shared" si="30"/>
        <v>Alta</v>
      </c>
    </row>
    <row r="1924" spans="1:9">
      <c r="A1924" t="s">
        <v>234</v>
      </c>
      <c r="B1924">
        <v>2025</v>
      </c>
      <c r="C1924">
        <v>1</v>
      </c>
      <c r="D1924" t="s">
        <v>9</v>
      </c>
      <c r="E1924" t="s">
        <v>12</v>
      </c>
      <c r="F1924">
        <v>11.8</v>
      </c>
      <c r="G1924">
        <v>84.2</v>
      </c>
      <c r="H1924" t="s">
        <v>13</v>
      </c>
      <c r="I1924" t="str">
        <f t="shared" si="30"/>
        <v>Alta</v>
      </c>
    </row>
    <row r="1925" spans="1:9">
      <c r="A1925" t="s">
        <v>272</v>
      </c>
      <c r="B1925">
        <v>2025</v>
      </c>
      <c r="C1925">
        <v>1</v>
      </c>
      <c r="D1925" t="s">
        <v>75</v>
      </c>
      <c r="E1925" t="s">
        <v>76</v>
      </c>
      <c r="F1925">
        <v>11.8</v>
      </c>
      <c r="G1925">
        <v>96.6</v>
      </c>
      <c r="H1925" t="s">
        <v>13</v>
      </c>
      <c r="I1925" t="str">
        <f t="shared" si="30"/>
        <v>Alta</v>
      </c>
    </row>
    <row r="1926" spans="1:9">
      <c r="A1926" t="s">
        <v>321</v>
      </c>
      <c r="B1926">
        <v>2025</v>
      </c>
      <c r="C1926">
        <v>1</v>
      </c>
      <c r="D1926" t="s">
        <v>139</v>
      </c>
      <c r="E1926" t="s">
        <v>140</v>
      </c>
      <c r="F1926">
        <v>11.8</v>
      </c>
      <c r="G1926">
        <v>71.8</v>
      </c>
      <c r="H1926" t="s">
        <v>13</v>
      </c>
      <c r="I1926" t="str">
        <f t="shared" si="30"/>
        <v>Média</v>
      </c>
    </row>
    <row r="1927" spans="1:9">
      <c r="A1927" t="s">
        <v>340</v>
      </c>
      <c r="B1927">
        <v>2025</v>
      </c>
      <c r="C1927">
        <v>1</v>
      </c>
      <c r="D1927" t="s">
        <v>139</v>
      </c>
      <c r="E1927" t="s">
        <v>10</v>
      </c>
      <c r="F1927">
        <v>11.8</v>
      </c>
      <c r="G1927">
        <v>90</v>
      </c>
      <c r="H1927" t="s">
        <v>13</v>
      </c>
      <c r="I1927" t="str">
        <f t="shared" si="30"/>
        <v>Alta</v>
      </c>
    </row>
    <row r="1928" spans="1:9">
      <c r="A1928" t="s">
        <v>341</v>
      </c>
      <c r="B1928">
        <v>2025</v>
      </c>
      <c r="C1928">
        <v>1</v>
      </c>
      <c r="D1928" t="s">
        <v>139</v>
      </c>
      <c r="E1928" t="s">
        <v>140</v>
      </c>
      <c r="F1928">
        <v>11.8</v>
      </c>
      <c r="G1928">
        <v>93.1</v>
      </c>
      <c r="H1928" t="s">
        <v>13</v>
      </c>
      <c r="I1928" t="str">
        <f t="shared" si="30"/>
        <v>Alta</v>
      </c>
    </row>
    <row r="1929" spans="1:9">
      <c r="A1929" t="s">
        <v>356</v>
      </c>
      <c r="B1929">
        <v>2025</v>
      </c>
      <c r="C1929">
        <v>1</v>
      </c>
      <c r="D1929" t="s">
        <v>139</v>
      </c>
      <c r="E1929" t="s">
        <v>141</v>
      </c>
      <c r="F1929">
        <v>11.8</v>
      </c>
      <c r="G1929">
        <v>61.4</v>
      </c>
      <c r="H1929" t="s">
        <v>13</v>
      </c>
      <c r="I1929" t="str">
        <f t="shared" si="30"/>
        <v>Média</v>
      </c>
    </row>
    <row r="1930" spans="1:9">
      <c r="A1930" t="s">
        <v>362</v>
      </c>
      <c r="B1930">
        <v>2025</v>
      </c>
      <c r="C1930">
        <v>1</v>
      </c>
      <c r="D1930" t="s">
        <v>139</v>
      </c>
      <c r="E1930" t="s">
        <v>10</v>
      </c>
      <c r="F1930">
        <v>11.8</v>
      </c>
      <c r="G1930">
        <v>54.9</v>
      </c>
      <c r="H1930" t="s">
        <v>13</v>
      </c>
      <c r="I1930" t="str">
        <f t="shared" si="30"/>
        <v>Média</v>
      </c>
    </row>
    <row r="1931" spans="1:9">
      <c r="A1931" t="s">
        <v>365</v>
      </c>
      <c r="B1931">
        <v>2025</v>
      </c>
      <c r="C1931">
        <v>1</v>
      </c>
      <c r="D1931" t="s">
        <v>139</v>
      </c>
      <c r="E1931" t="s">
        <v>141</v>
      </c>
      <c r="F1931">
        <v>11.8</v>
      </c>
      <c r="G1931">
        <v>76.900000000000006</v>
      </c>
      <c r="H1931" t="s">
        <v>13</v>
      </c>
      <c r="I1931" t="str">
        <f t="shared" si="30"/>
        <v>Alta</v>
      </c>
    </row>
    <row r="1932" spans="1:9">
      <c r="A1932" t="s">
        <v>230</v>
      </c>
      <c r="B1932">
        <v>2025</v>
      </c>
      <c r="C1932">
        <v>2</v>
      </c>
      <c r="D1932" t="s">
        <v>9</v>
      </c>
      <c r="E1932" t="s">
        <v>12</v>
      </c>
      <c r="F1932">
        <v>11.8</v>
      </c>
      <c r="G1932">
        <v>75</v>
      </c>
      <c r="H1932" t="s">
        <v>13</v>
      </c>
      <c r="I1932" t="str">
        <f t="shared" si="30"/>
        <v>Alta</v>
      </c>
    </row>
    <row r="1933" spans="1:9">
      <c r="A1933" t="s">
        <v>289</v>
      </c>
      <c r="B1933">
        <v>2025</v>
      </c>
      <c r="C1933">
        <v>2</v>
      </c>
      <c r="D1933" t="s">
        <v>75</v>
      </c>
      <c r="E1933" t="s">
        <v>77</v>
      </c>
      <c r="F1933">
        <v>11.8</v>
      </c>
      <c r="G1933">
        <v>56</v>
      </c>
      <c r="H1933" t="s">
        <v>13</v>
      </c>
      <c r="I1933" t="str">
        <f t="shared" si="30"/>
        <v>Média</v>
      </c>
    </row>
    <row r="1934" spans="1:9">
      <c r="A1934" t="s">
        <v>332</v>
      </c>
      <c r="B1934">
        <v>2025</v>
      </c>
      <c r="C1934">
        <v>2</v>
      </c>
      <c r="D1934" t="s">
        <v>139</v>
      </c>
      <c r="E1934" t="s">
        <v>140</v>
      </c>
      <c r="F1934">
        <v>11.8</v>
      </c>
      <c r="G1934">
        <v>78.099999999999994</v>
      </c>
      <c r="H1934" t="s">
        <v>13</v>
      </c>
      <c r="I1934" t="str">
        <f t="shared" si="30"/>
        <v>Alta</v>
      </c>
    </row>
    <row r="1935" spans="1:9">
      <c r="A1935" t="s">
        <v>360</v>
      </c>
      <c r="B1935">
        <v>2025</v>
      </c>
      <c r="C1935">
        <v>2</v>
      </c>
      <c r="D1935" t="s">
        <v>139</v>
      </c>
      <c r="E1935" t="s">
        <v>10</v>
      </c>
      <c r="F1935">
        <v>11.8</v>
      </c>
      <c r="G1935">
        <v>65.2</v>
      </c>
      <c r="H1935" t="s">
        <v>13</v>
      </c>
      <c r="I1935" t="str">
        <f t="shared" si="30"/>
        <v>Média</v>
      </c>
    </row>
    <row r="1936" spans="1:9">
      <c r="A1936" t="s">
        <v>366</v>
      </c>
      <c r="B1936">
        <v>2025</v>
      </c>
      <c r="C1936">
        <v>2</v>
      </c>
      <c r="D1936" t="s">
        <v>139</v>
      </c>
      <c r="E1936" t="s">
        <v>10</v>
      </c>
      <c r="F1936">
        <v>11.8</v>
      </c>
      <c r="G1936">
        <v>95.4</v>
      </c>
      <c r="H1936" t="s">
        <v>13</v>
      </c>
      <c r="I1936" t="str">
        <f t="shared" si="30"/>
        <v>Alta</v>
      </c>
    </row>
    <row r="1937" spans="1:9">
      <c r="A1937" t="s">
        <v>374</v>
      </c>
      <c r="B1937">
        <v>2025</v>
      </c>
      <c r="C1937">
        <v>2</v>
      </c>
      <c r="D1937" t="s">
        <v>139</v>
      </c>
      <c r="E1937" t="s">
        <v>141</v>
      </c>
      <c r="F1937">
        <v>11.8</v>
      </c>
      <c r="G1937">
        <v>64.2</v>
      </c>
      <c r="H1937" t="s">
        <v>13</v>
      </c>
      <c r="I1937" t="str">
        <f t="shared" si="30"/>
        <v>Média</v>
      </c>
    </row>
    <row r="1938" spans="1:9">
      <c r="A1938" t="s">
        <v>419</v>
      </c>
      <c r="B1938">
        <v>2026</v>
      </c>
      <c r="C1938">
        <v>1</v>
      </c>
      <c r="D1938" t="s">
        <v>9</v>
      </c>
      <c r="E1938" t="s">
        <v>12</v>
      </c>
      <c r="F1938">
        <v>11.8</v>
      </c>
      <c r="G1938">
        <v>61.4</v>
      </c>
      <c r="H1938" t="s">
        <v>13</v>
      </c>
      <c r="I1938" t="str">
        <f t="shared" si="30"/>
        <v>Média</v>
      </c>
    </row>
    <row r="1939" spans="1:9">
      <c r="A1939" t="s">
        <v>474</v>
      </c>
      <c r="B1939">
        <v>2026</v>
      </c>
      <c r="C1939">
        <v>1</v>
      </c>
      <c r="D1939" t="s">
        <v>75</v>
      </c>
      <c r="E1939" t="s">
        <v>77</v>
      </c>
      <c r="F1939">
        <v>11.8</v>
      </c>
      <c r="G1939">
        <v>68.400000000000006</v>
      </c>
      <c r="H1939" t="s">
        <v>13</v>
      </c>
      <c r="I1939" t="str">
        <f t="shared" si="30"/>
        <v>Média</v>
      </c>
    </row>
    <row r="1940" spans="1:9">
      <c r="A1940" t="s">
        <v>503</v>
      </c>
      <c r="B1940">
        <v>2026</v>
      </c>
      <c r="C1940">
        <v>1</v>
      </c>
      <c r="D1940" t="s">
        <v>139</v>
      </c>
      <c r="E1940" t="s">
        <v>10</v>
      </c>
      <c r="F1940">
        <v>11.8</v>
      </c>
      <c r="G1940">
        <v>95.1</v>
      </c>
      <c r="H1940" t="s">
        <v>13</v>
      </c>
      <c r="I1940" t="str">
        <f t="shared" si="30"/>
        <v>Alta</v>
      </c>
    </row>
    <row r="1941" spans="1:9">
      <c r="A1941" t="s">
        <v>518</v>
      </c>
      <c r="B1941">
        <v>2026</v>
      </c>
      <c r="C1941">
        <v>1</v>
      </c>
      <c r="D1941" t="s">
        <v>139</v>
      </c>
      <c r="E1941" t="s">
        <v>140</v>
      </c>
      <c r="F1941">
        <v>11.8</v>
      </c>
      <c r="G1941">
        <v>51.7</v>
      </c>
      <c r="H1941" t="s">
        <v>13</v>
      </c>
      <c r="I1941" t="str">
        <f t="shared" si="30"/>
        <v>Média</v>
      </c>
    </row>
    <row r="1942" spans="1:9">
      <c r="A1942" t="s">
        <v>541</v>
      </c>
      <c r="B1942">
        <v>2026</v>
      </c>
      <c r="C1942">
        <v>1</v>
      </c>
      <c r="D1942" t="s">
        <v>139</v>
      </c>
      <c r="E1942" t="s">
        <v>140</v>
      </c>
      <c r="F1942">
        <v>11.8</v>
      </c>
      <c r="G1942">
        <v>76.099999999999994</v>
      </c>
      <c r="H1942" t="s">
        <v>13</v>
      </c>
      <c r="I1942" t="str">
        <f t="shared" si="30"/>
        <v>Alta</v>
      </c>
    </row>
    <row r="1943" spans="1:9">
      <c r="A1943" t="s">
        <v>417</v>
      </c>
      <c r="B1943">
        <v>2026</v>
      </c>
      <c r="C1943">
        <v>2</v>
      </c>
      <c r="D1943" t="s">
        <v>9</v>
      </c>
      <c r="E1943" t="s">
        <v>14</v>
      </c>
      <c r="F1943">
        <v>11.8</v>
      </c>
      <c r="G1943">
        <v>48</v>
      </c>
      <c r="H1943" t="s">
        <v>13</v>
      </c>
      <c r="I1943" t="str">
        <f t="shared" si="30"/>
        <v>Baixa</v>
      </c>
    </row>
    <row r="1944" spans="1:9">
      <c r="A1944" t="s">
        <v>438</v>
      </c>
      <c r="B1944">
        <v>2026</v>
      </c>
      <c r="C1944">
        <v>2</v>
      </c>
      <c r="D1944" t="s">
        <v>9</v>
      </c>
      <c r="E1944" t="s">
        <v>12</v>
      </c>
      <c r="F1944">
        <v>11.8</v>
      </c>
      <c r="G1944">
        <v>57</v>
      </c>
      <c r="H1944" t="s">
        <v>13</v>
      </c>
      <c r="I1944" t="str">
        <f t="shared" si="30"/>
        <v>Média</v>
      </c>
    </row>
    <row r="1945" spans="1:9">
      <c r="A1945" t="s">
        <v>448</v>
      </c>
      <c r="B1945">
        <v>2026</v>
      </c>
      <c r="C1945">
        <v>2</v>
      </c>
      <c r="D1945" t="s">
        <v>75</v>
      </c>
      <c r="E1945" t="s">
        <v>77</v>
      </c>
      <c r="F1945">
        <v>11.8</v>
      </c>
      <c r="G1945">
        <v>80.2</v>
      </c>
      <c r="H1945" t="s">
        <v>13</v>
      </c>
      <c r="I1945" t="str">
        <f t="shared" si="30"/>
        <v>Alta</v>
      </c>
    </row>
    <row r="1946" spans="1:9">
      <c r="A1946" t="s">
        <v>471</v>
      </c>
      <c r="B1946">
        <v>2026</v>
      </c>
      <c r="C1946">
        <v>2</v>
      </c>
      <c r="D1946" t="s">
        <v>75</v>
      </c>
      <c r="E1946" t="s">
        <v>78</v>
      </c>
      <c r="F1946">
        <v>11.8</v>
      </c>
      <c r="G1946">
        <v>78</v>
      </c>
      <c r="H1946" t="s">
        <v>13</v>
      </c>
      <c r="I1946" t="str">
        <f t="shared" si="30"/>
        <v>Alta</v>
      </c>
    </row>
    <row r="1947" spans="1:9">
      <c r="A1947" t="s">
        <v>525</v>
      </c>
      <c r="B1947">
        <v>2026</v>
      </c>
      <c r="C1947">
        <v>2</v>
      </c>
      <c r="D1947" t="s">
        <v>139</v>
      </c>
      <c r="E1947" t="s">
        <v>10</v>
      </c>
      <c r="F1947">
        <v>11.8</v>
      </c>
      <c r="G1947">
        <v>84.3</v>
      </c>
      <c r="H1947" t="s">
        <v>13</v>
      </c>
      <c r="I1947" t="str">
        <f t="shared" si="30"/>
        <v>Alta</v>
      </c>
    </row>
    <row r="1948" spans="1:9">
      <c r="A1948" t="s">
        <v>535</v>
      </c>
      <c r="B1948">
        <v>2026</v>
      </c>
      <c r="C1948">
        <v>2</v>
      </c>
      <c r="D1948" t="s">
        <v>139</v>
      </c>
      <c r="E1948" t="s">
        <v>141</v>
      </c>
      <c r="F1948">
        <v>11.8</v>
      </c>
      <c r="G1948">
        <v>72.3</v>
      </c>
      <c r="H1948" t="s">
        <v>13</v>
      </c>
      <c r="I1948" t="str">
        <f t="shared" si="30"/>
        <v>Média</v>
      </c>
    </row>
    <row r="1949" spans="1:9">
      <c r="A1949" t="s">
        <v>27</v>
      </c>
      <c r="B1949">
        <v>2024</v>
      </c>
      <c r="C1949">
        <v>1</v>
      </c>
      <c r="D1949" t="s">
        <v>9</v>
      </c>
      <c r="E1949" t="s">
        <v>14</v>
      </c>
      <c r="F1949">
        <v>11.9</v>
      </c>
      <c r="G1949">
        <v>52</v>
      </c>
      <c r="H1949" t="s">
        <v>13</v>
      </c>
      <c r="I1949" t="str">
        <f t="shared" si="30"/>
        <v>Média</v>
      </c>
    </row>
    <row r="1950" spans="1:9">
      <c r="A1950" t="s">
        <v>55</v>
      </c>
      <c r="B1950">
        <v>2024</v>
      </c>
      <c r="C1950">
        <v>1</v>
      </c>
      <c r="D1950" t="s">
        <v>9</v>
      </c>
      <c r="E1950" t="s">
        <v>10</v>
      </c>
      <c r="F1950">
        <v>11.9</v>
      </c>
      <c r="G1950">
        <v>83.8</v>
      </c>
      <c r="H1950" t="s">
        <v>13</v>
      </c>
      <c r="I1950" t="str">
        <f t="shared" si="30"/>
        <v>Alta</v>
      </c>
    </row>
    <row r="1951" spans="1:9">
      <c r="A1951" t="s">
        <v>107</v>
      </c>
      <c r="B1951">
        <v>2024</v>
      </c>
      <c r="C1951">
        <v>1</v>
      </c>
      <c r="D1951" t="s">
        <v>75</v>
      </c>
      <c r="E1951" t="s">
        <v>78</v>
      </c>
      <c r="F1951">
        <v>11.9</v>
      </c>
      <c r="G1951">
        <v>66</v>
      </c>
      <c r="H1951" t="s">
        <v>13</v>
      </c>
      <c r="I1951" t="str">
        <f t="shared" si="30"/>
        <v>Média</v>
      </c>
    </row>
    <row r="1952" spans="1:9">
      <c r="A1952" t="s">
        <v>111</v>
      </c>
      <c r="B1952">
        <v>2024</v>
      </c>
      <c r="C1952">
        <v>1</v>
      </c>
      <c r="D1952" t="s">
        <v>75</v>
      </c>
      <c r="E1952" t="s">
        <v>76</v>
      </c>
      <c r="F1952">
        <v>11.9</v>
      </c>
      <c r="G1952">
        <v>65.7</v>
      </c>
      <c r="H1952" t="s">
        <v>13</v>
      </c>
      <c r="I1952" t="str">
        <f t="shared" si="30"/>
        <v>Média</v>
      </c>
    </row>
    <row r="1953" spans="1:9">
      <c r="A1953" t="s">
        <v>150</v>
      </c>
      <c r="B1953">
        <v>2024</v>
      </c>
      <c r="C1953">
        <v>1</v>
      </c>
      <c r="D1953" t="s">
        <v>139</v>
      </c>
      <c r="E1953" t="s">
        <v>10</v>
      </c>
      <c r="F1953">
        <v>11.9</v>
      </c>
      <c r="G1953">
        <v>68.099999999999994</v>
      </c>
      <c r="H1953" t="s">
        <v>13</v>
      </c>
      <c r="I1953" t="str">
        <f t="shared" si="30"/>
        <v>Média</v>
      </c>
    </row>
    <row r="1954" spans="1:9">
      <c r="A1954" t="s">
        <v>191</v>
      </c>
      <c r="B1954">
        <v>2024</v>
      </c>
      <c r="C1954">
        <v>1</v>
      </c>
      <c r="D1954" t="s">
        <v>139</v>
      </c>
      <c r="E1954" t="s">
        <v>141</v>
      </c>
      <c r="F1954">
        <v>11.9</v>
      </c>
      <c r="G1954">
        <v>55.9</v>
      </c>
      <c r="H1954" t="s">
        <v>13</v>
      </c>
      <c r="I1954" t="str">
        <f t="shared" si="30"/>
        <v>Média</v>
      </c>
    </row>
    <row r="1955" spans="1:9">
      <c r="A1955" t="s">
        <v>21</v>
      </c>
      <c r="B1955">
        <v>2024</v>
      </c>
      <c r="C1955">
        <v>2</v>
      </c>
      <c r="D1955" t="s">
        <v>9</v>
      </c>
      <c r="E1955" t="s">
        <v>14</v>
      </c>
      <c r="F1955">
        <v>11.9</v>
      </c>
      <c r="G1955">
        <v>50.6</v>
      </c>
      <c r="H1955" t="s">
        <v>13</v>
      </c>
      <c r="I1955" t="str">
        <f t="shared" si="30"/>
        <v>Média</v>
      </c>
    </row>
    <row r="1956" spans="1:9">
      <c r="A1956" t="s">
        <v>35</v>
      </c>
      <c r="B1956">
        <v>2024</v>
      </c>
      <c r="C1956">
        <v>2</v>
      </c>
      <c r="D1956" t="s">
        <v>9</v>
      </c>
      <c r="E1956" t="s">
        <v>10</v>
      </c>
      <c r="F1956">
        <v>11.9</v>
      </c>
      <c r="G1956">
        <v>57.8</v>
      </c>
      <c r="H1956" t="s">
        <v>13</v>
      </c>
      <c r="I1956" t="str">
        <f t="shared" si="30"/>
        <v>Média</v>
      </c>
    </row>
    <row r="1957" spans="1:9">
      <c r="A1957" t="s">
        <v>102</v>
      </c>
      <c r="B1957">
        <v>2024</v>
      </c>
      <c r="C1957">
        <v>2</v>
      </c>
      <c r="D1957" t="s">
        <v>75</v>
      </c>
      <c r="E1957" t="s">
        <v>77</v>
      </c>
      <c r="F1957">
        <v>11.9</v>
      </c>
      <c r="G1957">
        <v>76</v>
      </c>
      <c r="H1957" t="s">
        <v>13</v>
      </c>
      <c r="I1957" t="str">
        <f t="shared" si="30"/>
        <v>Alta</v>
      </c>
    </row>
    <row r="1958" spans="1:9">
      <c r="A1958" t="s">
        <v>132</v>
      </c>
      <c r="B1958">
        <v>2024</v>
      </c>
      <c r="C1958">
        <v>2</v>
      </c>
      <c r="D1958" t="s">
        <v>75</v>
      </c>
      <c r="E1958" t="s">
        <v>78</v>
      </c>
      <c r="F1958">
        <v>11.9</v>
      </c>
      <c r="G1958">
        <v>64.400000000000006</v>
      </c>
      <c r="H1958" t="s">
        <v>13</v>
      </c>
      <c r="I1958" t="str">
        <f t="shared" si="30"/>
        <v>Média</v>
      </c>
    </row>
    <row r="1959" spans="1:9">
      <c r="A1959" t="s">
        <v>142</v>
      </c>
      <c r="B1959">
        <v>2024</v>
      </c>
      <c r="C1959">
        <v>2</v>
      </c>
      <c r="D1959" t="s">
        <v>139</v>
      </c>
      <c r="E1959" t="s">
        <v>141</v>
      </c>
      <c r="F1959">
        <v>11.9</v>
      </c>
      <c r="G1959">
        <v>72.900000000000006</v>
      </c>
      <c r="H1959" t="s">
        <v>13</v>
      </c>
      <c r="I1959" t="str">
        <f t="shared" si="30"/>
        <v>Média</v>
      </c>
    </row>
    <row r="1960" spans="1:9">
      <c r="A1960" t="s">
        <v>148</v>
      </c>
      <c r="B1960">
        <v>2024</v>
      </c>
      <c r="C1960">
        <v>2</v>
      </c>
      <c r="D1960" t="s">
        <v>139</v>
      </c>
      <c r="E1960" t="s">
        <v>141</v>
      </c>
      <c r="F1960">
        <v>11.9</v>
      </c>
      <c r="G1960">
        <v>74.400000000000006</v>
      </c>
      <c r="H1960" t="s">
        <v>13</v>
      </c>
      <c r="I1960" t="str">
        <f t="shared" si="30"/>
        <v>Média</v>
      </c>
    </row>
    <row r="1961" spans="1:9">
      <c r="A1961" t="s">
        <v>158</v>
      </c>
      <c r="B1961">
        <v>2024</v>
      </c>
      <c r="C1961">
        <v>2</v>
      </c>
      <c r="D1961" t="s">
        <v>139</v>
      </c>
      <c r="E1961" t="s">
        <v>10</v>
      </c>
      <c r="F1961">
        <v>11.9</v>
      </c>
      <c r="G1961">
        <v>91.8</v>
      </c>
      <c r="H1961" t="s">
        <v>13</v>
      </c>
      <c r="I1961" t="str">
        <f t="shared" si="30"/>
        <v>Alta</v>
      </c>
    </row>
    <row r="1962" spans="1:9">
      <c r="A1962" t="s">
        <v>171</v>
      </c>
      <c r="B1962">
        <v>2024</v>
      </c>
      <c r="C1962">
        <v>2</v>
      </c>
      <c r="D1962" t="s">
        <v>139</v>
      </c>
      <c r="E1962" t="s">
        <v>140</v>
      </c>
      <c r="F1962">
        <v>11.9</v>
      </c>
      <c r="G1962">
        <v>99.7</v>
      </c>
      <c r="H1962" t="s">
        <v>13</v>
      </c>
      <c r="I1962" t="str">
        <f t="shared" si="30"/>
        <v>Alta</v>
      </c>
    </row>
    <row r="1963" spans="1:9">
      <c r="A1963" t="s">
        <v>192</v>
      </c>
      <c r="B1963">
        <v>2024</v>
      </c>
      <c r="C1963">
        <v>2</v>
      </c>
      <c r="D1963" t="s">
        <v>139</v>
      </c>
      <c r="E1963" t="s">
        <v>140</v>
      </c>
      <c r="F1963">
        <v>11.9</v>
      </c>
      <c r="G1963">
        <v>80.2</v>
      </c>
      <c r="H1963" t="s">
        <v>13</v>
      </c>
      <c r="I1963" t="str">
        <f t="shared" si="30"/>
        <v>Alta</v>
      </c>
    </row>
    <row r="1964" spans="1:9">
      <c r="A1964" t="s">
        <v>284</v>
      </c>
      <c r="B1964">
        <v>2025</v>
      </c>
      <c r="C1964">
        <v>1</v>
      </c>
      <c r="D1964" t="s">
        <v>75</v>
      </c>
      <c r="E1964" t="s">
        <v>77</v>
      </c>
      <c r="F1964">
        <v>11.9</v>
      </c>
      <c r="G1964">
        <v>63.8</v>
      </c>
      <c r="H1964" t="s">
        <v>13</v>
      </c>
      <c r="I1964" t="str">
        <f t="shared" si="30"/>
        <v>Média</v>
      </c>
    </row>
    <row r="1965" spans="1:9">
      <c r="A1965" t="s">
        <v>287</v>
      </c>
      <c r="B1965">
        <v>2025</v>
      </c>
      <c r="C1965">
        <v>1</v>
      </c>
      <c r="D1965" t="s">
        <v>75</v>
      </c>
      <c r="E1965" t="s">
        <v>77</v>
      </c>
      <c r="F1965">
        <v>11.9</v>
      </c>
      <c r="G1965">
        <v>76.400000000000006</v>
      </c>
      <c r="H1965" t="s">
        <v>13</v>
      </c>
      <c r="I1965" t="str">
        <f t="shared" si="30"/>
        <v>Alta</v>
      </c>
    </row>
    <row r="1966" spans="1:9">
      <c r="A1966" t="s">
        <v>307</v>
      </c>
      <c r="B1966">
        <v>2025</v>
      </c>
      <c r="C1966">
        <v>1</v>
      </c>
      <c r="D1966" t="s">
        <v>75</v>
      </c>
      <c r="E1966" t="s">
        <v>77</v>
      </c>
      <c r="F1966">
        <v>11.9</v>
      </c>
      <c r="G1966">
        <v>91.1</v>
      </c>
      <c r="H1966" t="s">
        <v>13</v>
      </c>
      <c r="I1966" t="str">
        <f t="shared" si="30"/>
        <v>Alta</v>
      </c>
    </row>
    <row r="1967" spans="1:9">
      <c r="A1967" t="s">
        <v>211</v>
      </c>
      <c r="B1967">
        <v>2025</v>
      </c>
      <c r="C1967">
        <v>2</v>
      </c>
      <c r="D1967" t="s">
        <v>9</v>
      </c>
      <c r="E1967" t="s">
        <v>10</v>
      </c>
      <c r="F1967">
        <v>11.9</v>
      </c>
      <c r="G1967">
        <v>90.7</v>
      </c>
      <c r="H1967" t="s">
        <v>13</v>
      </c>
      <c r="I1967" t="str">
        <f t="shared" si="30"/>
        <v>Alta</v>
      </c>
    </row>
    <row r="1968" spans="1:9">
      <c r="A1968" t="s">
        <v>272</v>
      </c>
      <c r="B1968">
        <v>2025</v>
      </c>
      <c r="C1968">
        <v>2</v>
      </c>
      <c r="D1968" t="s">
        <v>75</v>
      </c>
      <c r="E1968" t="s">
        <v>78</v>
      </c>
      <c r="F1968">
        <v>11.9</v>
      </c>
      <c r="G1968">
        <v>94.7</v>
      </c>
      <c r="H1968" t="s">
        <v>13</v>
      </c>
      <c r="I1968" t="str">
        <f t="shared" si="30"/>
        <v>Alta</v>
      </c>
    </row>
    <row r="1969" spans="1:9">
      <c r="A1969" t="s">
        <v>347</v>
      </c>
      <c r="B1969">
        <v>2025</v>
      </c>
      <c r="C1969">
        <v>2</v>
      </c>
      <c r="D1969" t="s">
        <v>139</v>
      </c>
      <c r="E1969" t="s">
        <v>10</v>
      </c>
      <c r="F1969">
        <v>11.9</v>
      </c>
      <c r="G1969">
        <v>67.099999999999994</v>
      </c>
      <c r="H1969" t="s">
        <v>13</v>
      </c>
      <c r="I1969" t="str">
        <f t="shared" si="30"/>
        <v>Média</v>
      </c>
    </row>
    <row r="1970" spans="1:9">
      <c r="A1970" t="s">
        <v>472</v>
      </c>
      <c r="B1970">
        <v>2026</v>
      </c>
      <c r="C1970">
        <v>1</v>
      </c>
      <c r="D1970" t="s">
        <v>75</v>
      </c>
      <c r="E1970" t="s">
        <v>78</v>
      </c>
      <c r="F1970">
        <v>11.9</v>
      </c>
      <c r="G1970">
        <v>52.6</v>
      </c>
      <c r="H1970" t="s">
        <v>13</v>
      </c>
      <c r="I1970" t="str">
        <f t="shared" si="30"/>
        <v>Média</v>
      </c>
    </row>
    <row r="1971" spans="1:9">
      <c r="A1971" t="s">
        <v>476</v>
      </c>
      <c r="B1971">
        <v>2026</v>
      </c>
      <c r="C1971">
        <v>1</v>
      </c>
      <c r="D1971" t="s">
        <v>75</v>
      </c>
      <c r="E1971" t="s">
        <v>77</v>
      </c>
      <c r="F1971">
        <v>11.9</v>
      </c>
      <c r="G1971">
        <v>67.599999999999994</v>
      </c>
      <c r="H1971" t="s">
        <v>13</v>
      </c>
      <c r="I1971" t="str">
        <f t="shared" si="30"/>
        <v>Média</v>
      </c>
    </row>
    <row r="1972" spans="1:9">
      <c r="A1972" t="s">
        <v>554</v>
      </c>
      <c r="B1972">
        <v>2026</v>
      </c>
      <c r="C1972">
        <v>1</v>
      </c>
      <c r="D1972" t="s">
        <v>139</v>
      </c>
      <c r="E1972" t="s">
        <v>140</v>
      </c>
      <c r="F1972">
        <v>11.9</v>
      </c>
      <c r="G1972">
        <v>63.7</v>
      </c>
      <c r="H1972" t="s">
        <v>13</v>
      </c>
      <c r="I1972" t="str">
        <f t="shared" si="30"/>
        <v>Média</v>
      </c>
    </row>
    <row r="1973" spans="1:9">
      <c r="A1973" t="s">
        <v>387</v>
      </c>
      <c r="B1973">
        <v>2026</v>
      </c>
      <c r="C1973">
        <v>2</v>
      </c>
      <c r="D1973" t="s">
        <v>9</v>
      </c>
      <c r="E1973" t="s">
        <v>10</v>
      </c>
      <c r="F1973">
        <v>11.9</v>
      </c>
      <c r="G1973">
        <v>57</v>
      </c>
      <c r="H1973" t="s">
        <v>13</v>
      </c>
      <c r="I1973" t="str">
        <f t="shared" si="30"/>
        <v>Média</v>
      </c>
    </row>
    <row r="1974" spans="1:9">
      <c r="A1974" t="s">
        <v>452</v>
      </c>
      <c r="B1974">
        <v>2026</v>
      </c>
      <c r="C1974">
        <v>2</v>
      </c>
      <c r="D1974" t="s">
        <v>75</v>
      </c>
      <c r="E1974" t="s">
        <v>78</v>
      </c>
      <c r="F1974">
        <v>11.9</v>
      </c>
      <c r="G1974">
        <v>66.599999999999994</v>
      </c>
      <c r="H1974" t="s">
        <v>13</v>
      </c>
      <c r="I1974" t="str">
        <f t="shared" si="30"/>
        <v>Média</v>
      </c>
    </row>
    <row r="1975" spans="1:9">
      <c r="A1975" t="s">
        <v>463</v>
      </c>
      <c r="B1975">
        <v>2026</v>
      </c>
      <c r="C1975">
        <v>2</v>
      </c>
      <c r="D1975" t="s">
        <v>75</v>
      </c>
      <c r="E1975" t="s">
        <v>78</v>
      </c>
      <c r="F1975">
        <v>11.9</v>
      </c>
      <c r="G1975">
        <v>67.3</v>
      </c>
      <c r="H1975" t="s">
        <v>13</v>
      </c>
      <c r="I1975" t="str">
        <f t="shared" si="30"/>
        <v>Média</v>
      </c>
    </row>
    <row r="1976" spans="1:9">
      <c r="A1976" t="s">
        <v>512</v>
      </c>
      <c r="B1976">
        <v>2026</v>
      </c>
      <c r="C1976">
        <v>2</v>
      </c>
      <c r="D1976" t="s">
        <v>139</v>
      </c>
      <c r="E1976" t="s">
        <v>10</v>
      </c>
      <c r="F1976">
        <v>11.9</v>
      </c>
      <c r="G1976">
        <v>73.8</v>
      </c>
      <c r="H1976" t="s">
        <v>13</v>
      </c>
      <c r="I1976" t="str">
        <f t="shared" si="30"/>
        <v>Média</v>
      </c>
    </row>
    <row r="1977" spans="1:9">
      <c r="A1977" t="s">
        <v>20</v>
      </c>
      <c r="B1977">
        <v>2024</v>
      </c>
      <c r="C1977">
        <v>1</v>
      </c>
      <c r="D1977" t="s">
        <v>9</v>
      </c>
      <c r="E1977" t="s">
        <v>12</v>
      </c>
      <c r="F1977">
        <v>12</v>
      </c>
      <c r="G1977">
        <v>96.6</v>
      </c>
      <c r="H1977" t="s">
        <v>13</v>
      </c>
      <c r="I1977" t="str">
        <f t="shared" si="30"/>
        <v>Alta</v>
      </c>
    </row>
    <row r="1978" spans="1:9">
      <c r="A1978" t="s">
        <v>66</v>
      </c>
      <c r="B1978">
        <v>2024</v>
      </c>
      <c r="C1978">
        <v>1</v>
      </c>
      <c r="D1978" t="s">
        <v>9</v>
      </c>
      <c r="E1978" t="s">
        <v>10</v>
      </c>
      <c r="F1978">
        <v>12</v>
      </c>
      <c r="G1978">
        <v>85.7</v>
      </c>
      <c r="H1978" t="s">
        <v>13</v>
      </c>
      <c r="I1978" t="str">
        <f t="shared" si="30"/>
        <v>Alta</v>
      </c>
    </row>
    <row r="1979" spans="1:9">
      <c r="A1979" t="s">
        <v>193</v>
      </c>
      <c r="B1979">
        <v>2024</v>
      </c>
      <c r="C1979">
        <v>1</v>
      </c>
      <c r="D1979" t="s">
        <v>139</v>
      </c>
      <c r="E1979" t="s">
        <v>141</v>
      </c>
      <c r="F1979">
        <v>12</v>
      </c>
      <c r="G1979">
        <v>93.6</v>
      </c>
      <c r="H1979" t="s">
        <v>13</v>
      </c>
      <c r="I1979" t="str">
        <f t="shared" si="30"/>
        <v>Alta</v>
      </c>
    </row>
    <row r="1980" spans="1:9">
      <c r="A1980" t="s">
        <v>27</v>
      </c>
      <c r="B1980">
        <v>2024</v>
      </c>
      <c r="C1980">
        <v>2</v>
      </c>
      <c r="D1980" t="s">
        <v>9</v>
      </c>
      <c r="E1980" t="s">
        <v>10</v>
      </c>
      <c r="F1980">
        <v>12</v>
      </c>
      <c r="G1980">
        <v>90</v>
      </c>
      <c r="H1980" t="s">
        <v>13</v>
      </c>
      <c r="I1980" t="str">
        <f t="shared" si="30"/>
        <v>Alta</v>
      </c>
    </row>
    <row r="1981" spans="1:9">
      <c r="A1981" t="s">
        <v>37</v>
      </c>
      <c r="B1981">
        <v>2024</v>
      </c>
      <c r="C1981">
        <v>2</v>
      </c>
      <c r="D1981" t="s">
        <v>9</v>
      </c>
      <c r="E1981" t="s">
        <v>10</v>
      </c>
      <c r="F1981">
        <v>12</v>
      </c>
      <c r="G1981">
        <v>93.6</v>
      </c>
      <c r="H1981" t="s">
        <v>13</v>
      </c>
      <c r="I1981" t="str">
        <f t="shared" si="30"/>
        <v>Alta</v>
      </c>
    </row>
    <row r="1982" spans="1:9">
      <c r="A1982" t="s">
        <v>43</v>
      </c>
      <c r="B1982">
        <v>2024</v>
      </c>
      <c r="C1982">
        <v>2</v>
      </c>
      <c r="D1982" t="s">
        <v>9</v>
      </c>
      <c r="E1982" t="s">
        <v>10</v>
      </c>
      <c r="F1982">
        <v>12</v>
      </c>
      <c r="G1982">
        <v>99.3</v>
      </c>
      <c r="H1982" t="s">
        <v>13</v>
      </c>
      <c r="I1982" t="str">
        <f t="shared" si="30"/>
        <v>Alta</v>
      </c>
    </row>
    <row r="1983" spans="1:9">
      <c r="A1983" t="s">
        <v>150</v>
      </c>
      <c r="B1983">
        <v>2024</v>
      </c>
      <c r="C1983">
        <v>2</v>
      </c>
      <c r="D1983" t="s">
        <v>139</v>
      </c>
      <c r="E1983" t="s">
        <v>10</v>
      </c>
      <c r="F1983">
        <v>12</v>
      </c>
      <c r="G1983">
        <v>81.400000000000006</v>
      </c>
      <c r="H1983" t="s">
        <v>13</v>
      </c>
      <c r="I1983" t="str">
        <f t="shared" si="30"/>
        <v>Alta</v>
      </c>
    </row>
    <row r="1984" spans="1:9">
      <c r="A1984" t="s">
        <v>174</v>
      </c>
      <c r="B1984">
        <v>2024</v>
      </c>
      <c r="C1984">
        <v>2</v>
      </c>
      <c r="D1984" t="s">
        <v>139</v>
      </c>
      <c r="E1984" t="s">
        <v>140</v>
      </c>
      <c r="F1984">
        <v>12</v>
      </c>
      <c r="G1984">
        <v>68.2</v>
      </c>
      <c r="H1984" t="s">
        <v>13</v>
      </c>
      <c r="I1984" t="str">
        <f t="shared" si="30"/>
        <v>Média</v>
      </c>
    </row>
    <row r="1985" spans="1:9">
      <c r="A1985" t="s">
        <v>224</v>
      </c>
      <c r="B1985">
        <v>2025</v>
      </c>
      <c r="C1985">
        <v>1</v>
      </c>
      <c r="D1985" t="s">
        <v>9</v>
      </c>
      <c r="E1985" t="s">
        <v>14</v>
      </c>
      <c r="F1985">
        <v>12</v>
      </c>
      <c r="G1985">
        <v>89.4</v>
      </c>
      <c r="H1985" t="s">
        <v>13</v>
      </c>
      <c r="I1985" t="str">
        <f t="shared" si="30"/>
        <v>Alta</v>
      </c>
    </row>
    <row r="1986" spans="1:9">
      <c r="A1986" t="s">
        <v>245</v>
      </c>
      <c r="B1986">
        <v>2025</v>
      </c>
      <c r="C1986">
        <v>1</v>
      </c>
      <c r="D1986" t="s">
        <v>9</v>
      </c>
      <c r="E1986" t="s">
        <v>14</v>
      </c>
      <c r="F1986">
        <v>12</v>
      </c>
      <c r="G1986">
        <v>73.5</v>
      </c>
      <c r="H1986" t="s">
        <v>13</v>
      </c>
      <c r="I1986" t="str">
        <f t="shared" ref="I1986:I2049" si="31">IF(G1986&lt;50,"Baixa",IF(G1986&lt;75,"Média","Alta"))</f>
        <v>Média</v>
      </c>
    </row>
    <row r="1987" spans="1:9">
      <c r="A1987" t="s">
        <v>280</v>
      </c>
      <c r="B1987">
        <v>2025</v>
      </c>
      <c r="C1987">
        <v>1</v>
      </c>
      <c r="D1987" t="s">
        <v>75</v>
      </c>
      <c r="E1987" t="s">
        <v>77</v>
      </c>
      <c r="F1987">
        <v>12</v>
      </c>
      <c r="G1987">
        <v>58.3</v>
      </c>
      <c r="H1987" t="s">
        <v>13</v>
      </c>
      <c r="I1987" t="str">
        <f t="shared" si="31"/>
        <v>Média</v>
      </c>
    </row>
    <row r="1988" spans="1:9">
      <c r="A1988" t="s">
        <v>310</v>
      </c>
      <c r="B1988">
        <v>2025</v>
      </c>
      <c r="C1988">
        <v>1</v>
      </c>
      <c r="D1988" t="s">
        <v>75</v>
      </c>
      <c r="E1988" t="s">
        <v>77</v>
      </c>
      <c r="F1988">
        <v>12</v>
      </c>
      <c r="G1988">
        <v>59.9</v>
      </c>
      <c r="H1988" t="s">
        <v>13</v>
      </c>
      <c r="I1988" t="str">
        <f t="shared" si="31"/>
        <v>Média</v>
      </c>
    </row>
    <row r="1989" spans="1:9">
      <c r="A1989" t="s">
        <v>323</v>
      </c>
      <c r="B1989">
        <v>2025</v>
      </c>
      <c r="C1989">
        <v>1</v>
      </c>
      <c r="D1989" t="s">
        <v>139</v>
      </c>
      <c r="E1989" t="s">
        <v>140</v>
      </c>
      <c r="F1989">
        <v>12</v>
      </c>
      <c r="G1989">
        <v>59.5</v>
      </c>
      <c r="H1989" t="s">
        <v>13</v>
      </c>
      <c r="I1989" t="str">
        <f t="shared" si="31"/>
        <v>Média</v>
      </c>
    </row>
    <row r="1990" spans="1:9">
      <c r="A1990" t="s">
        <v>338</v>
      </c>
      <c r="B1990">
        <v>2025</v>
      </c>
      <c r="C1990">
        <v>1</v>
      </c>
      <c r="D1990" t="s">
        <v>139</v>
      </c>
      <c r="E1990" t="s">
        <v>141</v>
      </c>
      <c r="F1990">
        <v>12</v>
      </c>
      <c r="G1990">
        <v>65.2</v>
      </c>
      <c r="H1990" t="s">
        <v>13</v>
      </c>
      <c r="I1990" t="str">
        <f t="shared" si="31"/>
        <v>Média</v>
      </c>
    </row>
    <row r="1991" spans="1:9">
      <c r="A1991" t="s">
        <v>360</v>
      </c>
      <c r="B1991">
        <v>2025</v>
      </c>
      <c r="C1991">
        <v>1</v>
      </c>
      <c r="D1991" t="s">
        <v>139</v>
      </c>
      <c r="E1991" t="s">
        <v>140</v>
      </c>
      <c r="F1991">
        <v>12</v>
      </c>
      <c r="G1991">
        <v>78.400000000000006</v>
      </c>
      <c r="H1991" t="s">
        <v>13</v>
      </c>
      <c r="I1991" t="str">
        <f t="shared" si="31"/>
        <v>Alta</v>
      </c>
    </row>
    <row r="1992" spans="1:9">
      <c r="A1992" t="s">
        <v>235</v>
      </c>
      <c r="B1992">
        <v>2025</v>
      </c>
      <c r="C1992">
        <v>2</v>
      </c>
      <c r="D1992" t="s">
        <v>9</v>
      </c>
      <c r="E1992" t="s">
        <v>12</v>
      </c>
      <c r="F1992">
        <v>12</v>
      </c>
      <c r="G1992">
        <v>68.7</v>
      </c>
      <c r="H1992" t="s">
        <v>13</v>
      </c>
      <c r="I1992" t="str">
        <f t="shared" si="31"/>
        <v>Média</v>
      </c>
    </row>
    <row r="1993" spans="1:9">
      <c r="A1993" t="s">
        <v>266</v>
      </c>
      <c r="B1993">
        <v>2025</v>
      </c>
      <c r="C1993">
        <v>2</v>
      </c>
      <c r="D1993" t="s">
        <v>75</v>
      </c>
      <c r="E1993" t="s">
        <v>78</v>
      </c>
      <c r="F1993">
        <v>12</v>
      </c>
      <c r="G1993">
        <v>98.7</v>
      </c>
      <c r="H1993" t="s">
        <v>13</v>
      </c>
      <c r="I1993" t="str">
        <f t="shared" si="31"/>
        <v>Alta</v>
      </c>
    </row>
    <row r="1994" spans="1:9">
      <c r="A1994" t="s">
        <v>333</v>
      </c>
      <c r="B1994">
        <v>2025</v>
      </c>
      <c r="C1994">
        <v>2</v>
      </c>
      <c r="D1994" t="s">
        <v>139</v>
      </c>
      <c r="E1994" t="s">
        <v>141</v>
      </c>
      <c r="F1994">
        <v>12</v>
      </c>
      <c r="G1994">
        <v>88.3</v>
      </c>
      <c r="H1994" t="s">
        <v>13</v>
      </c>
      <c r="I1994" t="str">
        <f t="shared" si="31"/>
        <v>Alta</v>
      </c>
    </row>
    <row r="1995" spans="1:9">
      <c r="A1995" t="s">
        <v>362</v>
      </c>
      <c r="B1995">
        <v>2025</v>
      </c>
      <c r="C1995">
        <v>2</v>
      </c>
      <c r="D1995" t="s">
        <v>139</v>
      </c>
      <c r="E1995" t="s">
        <v>140</v>
      </c>
      <c r="F1995">
        <v>12</v>
      </c>
      <c r="G1995">
        <v>90.6</v>
      </c>
      <c r="H1995" t="s">
        <v>13</v>
      </c>
      <c r="I1995" t="str">
        <f t="shared" si="31"/>
        <v>Alta</v>
      </c>
    </row>
    <row r="1996" spans="1:9">
      <c r="A1996" t="s">
        <v>369</v>
      </c>
      <c r="B1996">
        <v>2025</v>
      </c>
      <c r="C1996">
        <v>2</v>
      </c>
      <c r="D1996" t="s">
        <v>139</v>
      </c>
      <c r="E1996" t="s">
        <v>141</v>
      </c>
      <c r="F1996">
        <v>12</v>
      </c>
      <c r="G1996">
        <v>66.099999999999994</v>
      </c>
      <c r="H1996" t="s">
        <v>13</v>
      </c>
      <c r="I1996" t="str">
        <f t="shared" si="31"/>
        <v>Média</v>
      </c>
    </row>
    <row r="1997" spans="1:9">
      <c r="A1997" t="s">
        <v>439</v>
      </c>
      <c r="B1997">
        <v>2026</v>
      </c>
      <c r="C1997">
        <v>1</v>
      </c>
      <c r="D1997" t="s">
        <v>9</v>
      </c>
      <c r="E1997" t="s">
        <v>14</v>
      </c>
      <c r="F1997">
        <v>12</v>
      </c>
      <c r="G1997">
        <v>88.9</v>
      </c>
      <c r="H1997" t="s">
        <v>13</v>
      </c>
      <c r="I1997" t="str">
        <f t="shared" si="31"/>
        <v>Alta</v>
      </c>
    </row>
    <row r="1998" spans="1:9">
      <c r="A1998" t="s">
        <v>445</v>
      </c>
      <c r="B1998">
        <v>2026</v>
      </c>
      <c r="C1998">
        <v>1</v>
      </c>
      <c r="D1998" t="s">
        <v>75</v>
      </c>
      <c r="E1998" t="s">
        <v>78</v>
      </c>
      <c r="F1998">
        <v>12</v>
      </c>
      <c r="G1998">
        <v>86</v>
      </c>
      <c r="H1998" t="s">
        <v>13</v>
      </c>
      <c r="I1998" t="str">
        <f t="shared" si="31"/>
        <v>Alta</v>
      </c>
    </row>
    <row r="1999" spans="1:9">
      <c r="A1999" t="s">
        <v>482</v>
      </c>
      <c r="B1999">
        <v>2026</v>
      </c>
      <c r="C1999">
        <v>1</v>
      </c>
      <c r="D1999" t="s">
        <v>75</v>
      </c>
      <c r="E1999" t="s">
        <v>76</v>
      </c>
      <c r="F1999">
        <v>12</v>
      </c>
      <c r="G1999">
        <v>59.8</v>
      </c>
      <c r="H1999" t="s">
        <v>13</v>
      </c>
      <c r="I1999" t="str">
        <f t="shared" si="31"/>
        <v>Média</v>
      </c>
    </row>
    <row r="2000" spans="1:9">
      <c r="A2000" t="s">
        <v>531</v>
      </c>
      <c r="B2000">
        <v>2026</v>
      </c>
      <c r="C2000">
        <v>1</v>
      </c>
      <c r="D2000" t="s">
        <v>139</v>
      </c>
      <c r="E2000" t="s">
        <v>140</v>
      </c>
      <c r="F2000">
        <v>12</v>
      </c>
      <c r="G2000">
        <v>72.599999999999994</v>
      </c>
      <c r="H2000" t="s">
        <v>13</v>
      </c>
      <c r="I2000" t="str">
        <f t="shared" si="31"/>
        <v>Média</v>
      </c>
    </row>
    <row r="2001" spans="1:9">
      <c r="A2001" t="s">
        <v>413</v>
      </c>
      <c r="B2001">
        <v>2026</v>
      </c>
      <c r="C2001">
        <v>2</v>
      </c>
      <c r="D2001" t="s">
        <v>9</v>
      </c>
      <c r="E2001" t="s">
        <v>12</v>
      </c>
      <c r="F2001">
        <v>12</v>
      </c>
      <c r="G2001">
        <v>87.3</v>
      </c>
      <c r="H2001" t="s">
        <v>13</v>
      </c>
      <c r="I2001" t="str">
        <f t="shared" si="31"/>
        <v>Alta</v>
      </c>
    </row>
    <row r="2002" spans="1:9">
      <c r="A2002" t="s">
        <v>414</v>
      </c>
      <c r="B2002">
        <v>2026</v>
      </c>
      <c r="C2002">
        <v>2</v>
      </c>
      <c r="D2002" t="s">
        <v>9</v>
      </c>
      <c r="E2002" t="s">
        <v>14</v>
      </c>
      <c r="F2002">
        <v>12</v>
      </c>
      <c r="G2002">
        <v>64.400000000000006</v>
      </c>
      <c r="H2002" t="s">
        <v>13</v>
      </c>
      <c r="I2002" t="str">
        <f t="shared" si="31"/>
        <v>Média</v>
      </c>
    </row>
    <row r="2003" spans="1:9">
      <c r="A2003" t="s">
        <v>416</v>
      </c>
      <c r="B2003">
        <v>2026</v>
      </c>
      <c r="C2003">
        <v>2</v>
      </c>
      <c r="D2003" t="s">
        <v>9</v>
      </c>
      <c r="E2003" t="s">
        <v>10</v>
      </c>
      <c r="F2003">
        <v>12</v>
      </c>
      <c r="G2003">
        <v>46.1</v>
      </c>
      <c r="H2003" t="s">
        <v>13</v>
      </c>
      <c r="I2003" t="str">
        <f t="shared" si="31"/>
        <v>Baixa</v>
      </c>
    </row>
    <row r="2004" spans="1:9">
      <c r="A2004" t="s">
        <v>421</v>
      </c>
      <c r="B2004">
        <v>2026</v>
      </c>
      <c r="C2004">
        <v>2</v>
      </c>
      <c r="D2004" t="s">
        <v>9</v>
      </c>
      <c r="E2004" t="s">
        <v>12</v>
      </c>
      <c r="F2004">
        <v>12</v>
      </c>
      <c r="G2004">
        <v>68.099999999999994</v>
      </c>
      <c r="H2004" t="s">
        <v>13</v>
      </c>
      <c r="I2004" t="str">
        <f t="shared" si="31"/>
        <v>Média</v>
      </c>
    </row>
    <row r="2005" spans="1:9">
      <c r="A2005" t="s">
        <v>459</v>
      </c>
      <c r="B2005">
        <v>2026</v>
      </c>
      <c r="C2005">
        <v>2</v>
      </c>
      <c r="D2005" t="s">
        <v>75</v>
      </c>
      <c r="E2005" t="s">
        <v>77</v>
      </c>
      <c r="F2005">
        <v>12</v>
      </c>
      <c r="G2005">
        <v>72.8</v>
      </c>
      <c r="H2005" t="s">
        <v>13</v>
      </c>
      <c r="I2005" t="str">
        <f t="shared" si="31"/>
        <v>Média</v>
      </c>
    </row>
    <row r="2006" spans="1:9">
      <c r="A2006" t="s">
        <v>478</v>
      </c>
      <c r="B2006">
        <v>2026</v>
      </c>
      <c r="C2006">
        <v>2</v>
      </c>
      <c r="D2006" t="s">
        <v>75</v>
      </c>
      <c r="E2006" t="s">
        <v>76</v>
      </c>
      <c r="F2006">
        <v>12</v>
      </c>
      <c r="G2006">
        <v>74.8</v>
      </c>
      <c r="H2006" t="s">
        <v>13</v>
      </c>
      <c r="I2006" t="str">
        <f t="shared" si="31"/>
        <v>Média</v>
      </c>
    </row>
    <row r="2007" spans="1:9">
      <c r="A2007" t="s">
        <v>488</v>
      </c>
      <c r="B2007">
        <v>2026</v>
      </c>
      <c r="C2007">
        <v>2</v>
      </c>
      <c r="D2007" t="s">
        <v>75</v>
      </c>
      <c r="E2007" t="s">
        <v>76</v>
      </c>
      <c r="F2007">
        <v>12</v>
      </c>
      <c r="G2007">
        <v>88.8</v>
      </c>
      <c r="H2007" t="s">
        <v>13</v>
      </c>
      <c r="I2007" t="str">
        <f t="shared" si="31"/>
        <v>Alta</v>
      </c>
    </row>
    <row r="2008" spans="1:9">
      <c r="A2008" t="s">
        <v>508</v>
      </c>
      <c r="B2008">
        <v>2026</v>
      </c>
      <c r="C2008">
        <v>2</v>
      </c>
      <c r="D2008" t="s">
        <v>139</v>
      </c>
      <c r="E2008" t="s">
        <v>140</v>
      </c>
      <c r="F2008">
        <v>12</v>
      </c>
      <c r="G2008">
        <v>93.4</v>
      </c>
      <c r="H2008" t="s">
        <v>13</v>
      </c>
      <c r="I2008" t="str">
        <f t="shared" si="31"/>
        <v>Alta</v>
      </c>
    </row>
    <row r="2009" spans="1:9">
      <c r="A2009" t="s">
        <v>542</v>
      </c>
      <c r="B2009">
        <v>2026</v>
      </c>
      <c r="C2009">
        <v>2</v>
      </c>
      <c r="D2009" t="s">
        <v>139</v>
      </c>
      <c r="E2009" t="s">
        <v>140</v>
      </c>
      <c r="F2009">
        <v>12</v>
      </c>
      <c r="G2009">
        <v>53</v>
      </c>
      <c r="H2009" t="s">
        <v>13</v>
      </c>
      <c r="I2009" t="str">
        <f t="shared" si="31"/>
        <v>Média</v>
      </c>
    </row>
    <row r="2010" spans="1:9">
      <c r="A2010" t="s">
        <v>553</v>
      </c>
      <c r="B2010">
        <v>2026</v>
      </c>
      <c r="C2010">
        <v>2</v>
      </c>
      <c r="D2010" t="s">
        <v>139</v>
      </c>
      <c r="E2010" t="s">
        <v>10</v>
      </c>
      <c r="F2010">
        <v>12</v>
      </c>
      <c r="G2010">
        <v>73.7</v>
      </c>
      <c r="H2010" t="s">
        <v>13</v>
      </c>
      <c r="I2010" t="str">
        <f t="shared" si="31"/>
        <v>Média</v>
      </c>
    </row>
    <row r="2011" spans="1:9">
      <c r="A2011" t="s">
        <v>30</v>
      </c>
      <c r="B2011">
        <v>2024</v>
      </c>
      <c r="C2011">
        <v>1</v>
      </c>
      <c r="D2011" t="s">
        <v>9</v>
      </c>
      <c r="E2011" t="s">
        <v>14</v>
      </c>
      <c r="F2011">
        <v>12.1</v>
      </c>
      <c r="G2011">
        <v>82.7</v>
      </c>
      <c r="H2011" t="s">
        <v>13</v>
      </c>
      <c r="I2011" t="str">
        <f t="shared" si="31"/>
        <v>Alta</v>
      </c>
    </row>
    <row r="2012" spans="1:9">
      <c r="A2012" t="s">
        <v>35</v>
      </c>
      <c r="B2012">
        <v>2024</v>
      </c>
      <c r="C2012">
        <v>1</v>
      </c>
      <c r="D2012" t="s">
        <v>9</v>
      </c>
      <c r="E2012" t="s">
        <v>12</v>
      </c>
      <c r="F2012">
        <v>12.1</v>
      </c>
      <c r="G2012">
        <v>80.900000000000006</v>
      </c>
      <c r="H2012" t="s">
        <v>13</v>
      </c>
      <c r="I2012" t="str">
        <f t="shared" si="31"/>
        <v>Alta</v>
      </c>
    </row>
    <row r="2013" spans="1:9">
      <c r="A2013" t="s">
        <v>52</v>
      </c>
      <c r="B2013">
        <v>2024</v>
      </c>
      <c r="C2013">
        <v>1</v>
      </c>
      <c r="D2013" t="s">
        <v>9</v>
      </c>
      <c r="E2013" t="s">
        <v>14</v>
      </c>
      <c r="F2013">
        <v>12.1</v>
      </c>
      <c r="G2013">
        <v>61.5</v>
      </c>
      <c r="H2013" t="s">
        <v>13</v>
      </c>
      <c r="I2013" t="str">
        <f t="shared" si="31"/>
        <v>Média</v>
      </c>
    </row>
    <row r="2014" spans="1:9">
      <c r="A2014" t="s">
        <v>59</v>
      </c>
      <c r="B2014">
        <v>2024</v>
      </c>
      <c r="C2014">
        <v>1</v>
      </c>
      <c r="D2014" t="s">
        <v>9</v>
      </c>
      <c r="E2014" t="s">
        <v>14</v>
      </c>
      <c r="F2014">
        <v>12.1</v>
      </c>
      <c r="G2014">
        <v>60.4</v>
      </c>
      <c r="H2014" t="s">
        <v>13</v>
      </c>
      <c r="I2014" t="str">
        <f t="shared" si="31"/>
        <v>Média</v>
      </c>
    </row>
    <row r="2015" spans="1:9">
      <c r="A2015" t="s">
        <v>73</v>
      </c>
      <c r="B2015">
        <v>2024</v>
      </c>
      <c r="C2015">
        <v>1</v>
      </c>
      <c r="D2015" t="s">
        <v>9</v>
      </c>
      <c r="E2015" t="s">
        <v>14</v>
      </c>
      <c r="F2015">
        <v>12.1</v>
      </c>
      <c r="G2015">
        <v>90.6</v>
      </c>
      <c r="H2015" t="s">
        <v>13</v>
      </c>
      <c r="I2015" t="str">
        <f t="shared" si="31"/>
        <v>Alta</v>
      </c>
    </row>
    <row r="2016" spans="1:9">
      <c r="A2016" t="s">
        <v>80</v>
      </c>
      <c r="B2016">
        <v>2024</v>
      </c>
      <c r="C2016">
        <v>1</v>
      </c>
      <c r="D2016" t="s">
        <v>75</v>
      </c>
      <c r="E2016" t="s">
        <v>77</v>
      </c>
      <c r="F2016">
        <v>12.1</v>
      </c>
      <c r="G2016">
        <v>65.599999999999994</v>
      </c>
      <c r="H2016" t="s">
        <v>13</v>
      </c>
      <c r="I2016" t="str">
        <f t="shared" si="31"/>
        <v>Média</v>
      </c>
    </row>
    <row r="2017" spans="1:9">
      <c r="A2017" t="s">
        <v>107</v>
      </c>
      <c r="B2017">
        <v>2024</v>
      </c>
      <c r="C2017">
        <v>1</v>
      </c>
      <c r="D2017" t="s">
        <v>75</v>
      </c>
      <c r="E2017" t="s">
        <v>77</v>
      </c>
      <c r="F2017">
        <v>12.1</v>
      </c>
      <c r="G2017">
        <v>72.099999999999994</v>
      </c>
      <c r="H2017" t="s">
        <v>13</v>
      </c>
      <c r="I2017" t="str">
        <f t="shared" si="31"/>
        <v>Média</v>
      </c>
    </row>
    <row r="2018" spans="1:9">
      <c r="A2018" t="s">
        <v>153</v>
      </c>
      <c r="B2018">
        <v>2024</v>
      </c>
      <c r="C2018">
        <v>1</v>
      </c>
      <c r="D2018" t="s">
        <v>139</v>
      </c>
      <c r="E2018" t="s">
        <v>10</v>
      </c>
      <c r="F2018">
        <v>12.1</v>
      </c>
      <c r="G2018">
        <v>75.5</v>
      </c>
      <c r="H2018" t="s">
        <v>13</v>
      </c>
      <c r="I2018" t="str">
        <f t="shared" si="31"/>
        <v>Alta</v>
      </c>
    </row>
    <row r="2019" spans="1:9">
      <c r="A2019" t="s">
        <v>198</v>
      </c>
      <c r="B2019">
        <v>2024</v>
      </c>
      <c r="C2019">
        <v>1</v>
      </c>
      <c r="D2019" t="s">
        <v>139</v>
      </c>
      <c r="E2019" t="s">
        <v>141</v>
      </c>
      <c r="F2019">
        <v>12.1</v>
      </c>
      <c r="G2019">
        <v>70.8</v>
      </c>
      <c r="H2019" t="s">
        <v>13</v>
      </c>
      <c r="I2019" t="str">
        <f t="shared" si="31"/>
        <v>Média</v>
      </c>
    </row>
    <row r="2020" spans="1:9">
      <c r="A2020" t="s">
        <v>17</v>
      </c>
      <c r="B2020">
        <v>2024</v>
      </c>
      <c r="C2020">
        <v>2</v>
      </c>
      <c r="D2020" t="s">
        <v>9</v>
      </c>
      <c r="E2020" t="s">
        <v>12</v>
      </c>
      <c r="F2020">
        <v>12.1</v>
      </c>
      <c r="G2020">
        <v>78.2</v>
      </c>
      <c r="H2020" t="s">
        <v>13</v>
      </c>
      <c r="I2020" t="str">
        <f t="shared" si="31"/>
        <v>Alta</v>
      </c>
    </row>
    <row r="2021" spans="1:9">
      <c r="A2021" t="s">
        <v>89</v>
      </c>
      <c r="B2021">
        <v>2024</v>
      </c>
      <c r="C2021">
        <v>2</v>
      </c>
      <c r="D2021" t="s">
        <v>75</v>
      </c>
      <c r="E2021" t="s">
        <v>76</v>
      </c>
      <c r="F2021">
        <v>12.1</v>
      </c>
      <c r="G2021">
        <v>74.400000000000006</v>
      </c>
      <c r="H2021" t="s">
        <v>13</v>
      </c>
      <c r="I2021" t="str">
        <f t="shared" si="31"/>
        <v>Média</v>
      </c>
    </row>
    <row r="2022" spans="1:9">
      <c r="A2022" t="s">
        <v>128</v>
      </c>
      <c r="B2022">
        <v>2024</v>
      </c>
      <c r="C2022">
        <v>2</v>
      </c>
      <c r="D2022" t="s">
        <v>75</v>
      </c>
      <c r="E2022" t="s">
        <v>76</v>
      </c>
      <c r="F2022">
        <v>12.1</v>
      </c>
      <c r="G2022">
        <v>62.9</v>
      </c>
      <c r="H2022" t="s">
        <v>13</v>
      </c>
      <c r="I2022" t="str">
        <f t="shared" si="31"/>
        <v>Média</v>
      </c>
    </row>
    <row r="2023" spans="1:9">
      <c r="A2023" t="s">
        <v>144</v>
      </c>
      <c r="B2023">
        <v>2024</v>
      </c>
      <c r="C2023">
        <v>2</v>
      </c>
      <c r="D2023" t="s">
        <v>139</v>
      </c>
      <c r="E2023" t="s">
        <v>141</v>
      </c>
      <c r="F2023">
        <v>12.1</v>
      </c>
      <c r="G2023">
        <v>80.099999999999994</v>
      </c>
      <c r="H2023" t="s">
        <v>13</v>
      </c>
      <c r="I2023" t="str">
        <f t="shared" si="31"/>
        <v>Alta</v>
      </c>
    </row>
    <row r="2024" spans="1:9">
      <c r="A2024" t="s">
        <v>161</v>
      </c>
      <c r="B2024">
        <v>2024</v>
      </c>
      <c r="C2024">
        <v>2</v>
      </c>
      <c r="D2024" t="s">
        <v>139</v>
      </c>
      <c r="E2024" t="s">
        <v>140</v>
      </c>
      <c r="F2024">
        <v>12.1</v>
      </c>
      <c r="G2024">
        <v>91.2</v>
      </c>
      <c r="H2024" t="s">
        <v>13</v>
      </c>
      <c r="I2024" t="str">
        <f t="shared" si="31"/>
        <v>Alta</v>
      </c>
    </row>
    <row r="2025" spans="1:9">
      <c r="A2025" t="s">
        <v>256</v>
      </c>
      <c r="B2025">
        <v>2025</v>
      </c>
      <c r="C2025">
        <v>1</v>
      </c>
      <c r="D2025" t="s">
        <v>9</v>
      </c>
      <c r="E2025" t="s">
        <v>12</v>
      </c>
      <c r="F2025">
        <v>12.1</v>
      </c>
      <c r="G2025">
        <v>62.3</v>
      </c>
      <c r="H2025" t="s">
        <v>13</v>
      </c>
      <c r="I2025" t="str">
        <f t="shared" si="31"/>
        <v>Média</v>
      </c>
    </row>
    <row r="2026" spans="1:9">
      <c r="A2026" t="s">
        <v>315</v>
      </c>
      <c r="B2026">
        <v>2025</v>
      </c>
      <c r="C2026">
        <v>1</v>
      </c>
      <c r="D2026" t="s">
        <v>75</v>
      </c>
      <c r="E2026" t="s">
        <v>77</v>
      </c>
      <c r="F2026">
        <v>12.1</v>
      </c>
      <c r="G2026">
        <v>79.8</v>
      </c>
      <c r="H2026" t="s">
        <v>13</v>
      </c>
      <c r="I2026" t="str">
        <f t="shared" si="31"/>
        <v>Alta</v>
      </c>
    </row>
    <row r="2027" spans="1:9">
      <c r="A2027" t="s">
        <v>364</v>
      </c>
      <c r="B2027">
        <v>2025</v>
      </c>
      <c r="C2027">
        <v>1</v>
      </c>
      <c r="D2027" t="s">
        <v>139</v>
      </c>
      <c r="E2027" t="s">
        <v>140</v>
      </c>
      <c r="F2027">
        <v>12.1</v>
      </c>
      <c r="G2027">
        <v>76.900000000000006</v>
      </c>
      <c r="H2027" t="s">
        <v>13</v>
      </c>
      <c r="I2027" t="str">
        <f t="shared" si="31"/>
        <v>Alta</v>
      </c>
    </row>
    <row r="2028" spans="1:9">
      <c r="A2028" t="s">
        <v>270</v>
      </c>
      <c r="B2028">
        <v>2025</v>
      </c>
      <c r="C2028">
        <v>2</v>
      </c>
      <c r="D2028" t="s">
        <v>75</v>
      </c>
      <c r="E2028" t="s">
        <v>76</v>
      </c>
      <c r="F2028">
        <v>12.1</v>
      </c>
      <c r="G2028">
        <v>92.1</v>
      </c>
      <c r="H2028" t="s">
        <v>13</v>
      </c>
      <c r="I2028" t="str">
        <f t="shared" si="31"/>
        <v>Alta</v>
      </c>
    </row>
    <row r="2029" spans="1:9">
      <c r="A2029" t="s">
        <v>275</v>
      </c>
      <c r="B2029">
        <v>2025</v>
      </c>
      <c r="C2029">
        <v>2</v>
      </c>
      <c r="D2029" t="s">
        <v>75</v>
      </c>
      <c r="E2029" t="s">
        <v>77</v>
      </c>
      <c r="F2029">
        <v>12.1</v>
      </c>
      <c r="G2029">
        <v>73</v>
      </c>
      <c r="H2029" t="s">
        <v>13</v>
      </c>
      <c r="I2029" t="str">
        <f t="shared" si="31"/>
        <v>Média</v>
      </c>
    </row>
    <row r="2030" spans="1:9">
      <c r="A2030" t="s">
        <v>296</v>
      </c>
      <c r="B2030">
        <v>2025</v>
      </c>
      <c r="C2030">
        <v>2</v>
      </c>
      <c r="D2030" t="s">
        <v>75</v>
      </c>
      <c r="E2030" t="s">
        <v>77</v>
      </c>
      <c r="F2030">
        <v>12.1</v>
      </c>
      <c r="G2030">
        <v>60.5</v>
      </c>
      <c r="H2030" t="s">
        <v>13</v>
      </c>
      <c r="I2030" t="str">
        <f t="shared" si="31"/>
        <v>Média</v>
      </c>
    </row>
    <row r="2031" spans="1:9">
      <c r="A2031" t="s">
        <v>310</v>
      </c>
      <c r="B2031">
        <v>2025</v>
      </c>
      <c r="C2031">
        <v>2</v>
      </c>
      <c r="D2031" t="s">
        <v>75</v>
      </c>
      <c r="E2031" t="s">
        <v>78</v>
      </c>
      <c r="F2031">
        <v>12.1</v>
      </c>
      <c r="G2031">
        <v>91.7</v>
      </c>
      <c r="H2031" t="s">
        <v>13</v>
      </c>
      <c r="I2031" t="str">
        <f t="shared" si="31"/>
        <v>Alta</v>
      </c>
    </row>
    <row r="2032" spans="1:9">
      <c r="A2032" t="s">
        <v>322</v>
      </c>
      <c r="B2032">
        <v>2025</v>
      </c>
      <c r="C2032">
        <v>2</v>
      </c>
      <c r="D2032" t="s">
        <v>139</v>
      </c>
      <c r="E2032" t="s">
        <v>10</v>
      </c>
      <c r="F2032">
        <v>12.1</v>
      </c>
      <c r="G2032">
        <v>65.599999999999994</v>
      </c>
      <c r="H2032" t="s">
        <v>13</v>
      </c>
      <c r="I2032" t="str">
        <f t="shared" si="31"/>
        <v>Média</v>
      </c>
    </row>
    <row r="2033" spans="1:9">
      <c r="A2033" t="s">
        <v>348</v>
      </c>
      <c r="B2033">
        <v>2025</v>
      </c>
      <c r="C2033">
        <v>2</v>
      </c>
      <c r="D2033" t="s">
        <v>139</v>
      </c>
      <c r="E2033" t="s">
        <v>10</v>
      </c>
      <c r="F2033">
        <v>12.1</v>
      </c>
      <c r="G2033">
        <v>45.7</v>
      </c>
      <c r="H2033" t="s">
        <v>13</v>
      </c>
      <c r="I2033" t="str">
        <f t="shared" si="31"/>
        <v>Baixa</v>
      </c>
    </row>
    <row r="2034" spans="1:9">
      <c r="A2034" t="s">
        <v>382</v>
      </c>
      <c r="B2034">
        <v>2026</v>
      </c>
      <c r="C2034">
        <v>1</v>
      </c>
      <c r="D2034" t="s">
        <v>9</v>
      </c>
      <c r="E2034" t="s">
        <v>10</v>
      </c>
      <c r="F2034">
        <v>12.1</v>
      </c>
      <c r="G2034">
        <v>88.4</v>
      </c>
      <c r="H2034" t="s">
        <v>13</v>
      </c>
      <c r="I2034" t="str">
        <f t="shared" si="31"/>
        <v>Alta</v>
      </c>
    </row>
    <row r="2035" spans="1:9">
      <c r="A2035" t="s">
        <v>468</v>
      </c>
      <c r="B2035">
        <v>2026</v>
      </c>
      <c r="C2035">
        <v>1</v>
      </c>
      <c r="D2035" t="s">
        <v>75</v>
      </c>
      <c r="E2035" t="s">
        <v>78</v>
      </c>
      <c r="F2035">
        <v>12.1</v>
      </c>
      <c r="G2035">
        <v>72.900000000000006</v>
      </c>
      <c r="H2035" t="s">
        <v>13</v>
      </c>
      <c r="I2035" t="str">
        <f t="shared" si="31"/>
        <v>Média</v>
      </c>
    </row>
    <row r="2036" spans="1:9">
      <c r="A2036" t="s">
        <v>484</v>
      </c>
      <c r="B2036">
        <v>2026</v>
      </c>
      <c r="C2036">
        <v>1</v>
      </c>
      <c r="D2036" t="s">
        <v>75</v>
      </c>
      <c r="E2036" t="s">
        <v>77</v>
      </c>
      <c r="F2036">
        <v>12.1</v>
      </c>
      <c r="G2036">
        <v>86.1</v>
      </c>
      <c r="H2036" t="s">
        <v>13</v>
      </c>
      <c r="I2036" t="str">
        <f t="shared" si="31"/>
        <v>Alta</v>
      </c>
    </row>
    <row r="2037" spans="1:9">
      <c r="A2037" t="s">
        <v>511</v>
      </c>
      <c r="B2037">
        <v>2026</v>
      </c>
      <c r="C2037">
        <v>1</v>
      </c>
      <c r="D2037" t="s">
        <v>139</v>
      </c>
      <c r="E2037" t="s">
        <v>10</v>
      </c>
      <c r="F2037">
        <v>12.1</v>
      </c>
      <c r="G2037">
        <v>83.5</v>
      </c>
      <c r="H2037" t="s">
        <v>13</v>
      </c>
      <c r="I2037" t="str">
        <f t="shared" si="31"/>
        <v>Alta</v>
      </c>
    </row>
    <row r="2038" spans="1:9">
      <c r="A2038" t="s">
        <v>550</v>
      </c>
      <c r="B2038">
        <v>2026</v>
      </c>
      <c r="C2038">
        <v>1</v>
      </c>
      <c r="D2038" t="s">
        <v>139</v>
      </c>
      <c r="E2038" t="s">
        <v>141</v>
      </c>
      <c r="F2038">
        <v>12.1</v>
      </c>
      <c r="G2038">
        <v>71.5</v>
      </c>
      <c r="H2038" t="s">
        <v>13</v>
      </c>
      <c r="I2038" t="str">
        <f t="shared" si="31"/>
        <v>Média</v>
      </c>
    </row>
    <row r="2039" spans="1:9">
      <c r="A2039" t="s">
        <v>414</v>
      </c>
      <c r="B2039">
        <v>2026</v>
      </c>
      <c r="C2039">
        <v>2</v>
      </c>
      <c r="D2039" t="s">
        <v>9</v>
      </c>
      <c r="E2039" t="s">
        <v>10</v>
      </c>
      <c r="F2039">
        <v>12.1</v>
      </c>
      <c r="G2039">
        <v>77.2</v>
      </c>
      <c r="H2039" t="s">
        <v>13</v>
      </c>
      <c r="I2039" t="str">
        <f t="shared" si="31"/>
        <v>Alta</v>
      </c>
    </row>
    <row r="2040" spans="1:9">
      <c r="A2040" t="s">
        <v>429</v>
      </c>
      <c r="B2040">
        <v>2026</v>
      </c>
      <c r="C2040">
        <v>2</v>
      </c>
      <c r="D2040" t="s">
        <v>9</v>
      </c>
      <c r="E2040" t="s">
        <v>10</v>
      </c>
      <c r="F2040">
        <v>12.1</v>
      </c>
      <c r="G2040">
        <v>78</v>
      </c>
      <c r="H2040" t="s">
        <v>13</v>
      </c>
      <c r="I2040" t="str">
        <f t="shared" si="31"/>
        <v>Alta</v>
      </c>
    </row>
    <row r="2041" spans="1:9">
      <c r="A2041" t="s">
        <v>455</v>
      </c>
      <c r="B2041">
        <v>2026</v>
      </c>
      <c r="C2041">
        <v>2</v>
      </c>
      <c r="D2041" t="s">
        <v>75</v>
      </c>
      <c r="E2041" t="s">
        <v>76</v>
      </c>
      <c r="F2041">
        <v>12.1</v>
      </c>
      <c r="G2041">
        <v>60.8</v>
      </c>
      <c r="H2041" t="s">
        <v>13</v>
      </c>
      <c r="I2041" t="str">
        <f t="shared" si="31"/>
        <v>Média</v>
      </c>
    </row>
    <row r="2042" spans="1:9">
      <c r="A2042" t="s">
        <v>516</v>
      </c>
      <c r="B2042">
        <v>2026</v>
      </c>
      <c r="C2042">
        <v>2</v>
      </c>
      <c r="D2042" t="s">
        <v>139</v>
      </c>
      <c r="E2042" t="s">
        <v>10</v>
      </c>
      <c r="F2042">
        <v>12.1</v>
      </c>
      <c r="G2042">
        <v>70.900000000000006</v>
      </c>
      <c r="H2042" t="s">
        <v>13</v>
      </c>
      <c r="I2042" t="str">
        <f t="shared" si="31"/>
        <v>Média</v>
      </c>
    </row>
    <row r="2043" spans="1:9">
      <c r="A2043" t="s">
        <v>555</v>
      </c>
      <c r="B2043">
        <v>2026</v>
      </c>
      <c r="C2043">
        <v>2</v>
      </c>
      <c r="D2043" t="s">
        <v>139</v>
      </c>
      <c r="E2043" t="s">
        <v>140</v>
      </c>
      <c r="F2043">
        <v>12.1</v>
      </c>
      <c r="G2043">
        <v>65.099999999999994</v>
      </c>
      <c r="H2043" t="s">
        <v>13</v>
      </c>
      <c r="I2043" t="str">
        <f t="shared" si="31"/>
        <v>Média</v>
      </c>
    </row>
    <row r="2044" spans="1:9">
      <c r="A2044" t="s">
        <v>27</v>
      </c>
      <c r="B2044">
        <v>2024</v>
      </c>
      <c r="C2044">
        <v>1</v>
      </c>
      <c r="D2044" t="s">
        <v>9</v>
      </c>
      <c r="E2044" t="s">
        <v>10</v>
      </c>
      <c r="F2044">
        <v>12.2</v>
      </c>
      <c r="G2044">
        <v>57.7</v>
      </c>
      <c r="H2044" t="s">
        <v>13</v>
      </c>
      <c r="I2044" t="str">
        <f t="shared" si="31"/>
        <v>Média</v>
      </c>
    </row>
    <row r="2045" spans="1:9">
      <c r="A2045" t="s">
        <v>154</v>
      </c>
      <c r="B2045">
        <v>2024</v>
      </c>
      <c r="C2045">
        <v>1</v>
      </c>
      <c r="D2045" t="s">
        <v>139</v>
      </c>
      <c r="E2045" t="s">
        <v>140</v>
      </c>
      <c r="F2045">
        <v>12.2</v>
      </c>
      <c r="G2045">
        <v>51.4</v>
      </c>
      <c r="H2045" t="s">
        <v>13</v>
      </c>
      <c r="I2045" t="str">
        <f t="shared" si="31"/>
        <v>Média</v>
      </c>
    </row>
    <row r="2046" spans="1:9">
      <c r="A2046" t="s">
        <v>164</v>
      </c>
      <c r="B2046">
        <v>2024</v>
      </c>
      <c r="C2046">
        <v>1</v>
      </c>
      <c r="D2046" t="s">
        <v>139</v>
      </c>
      <c r="E2046" t="s">
        <v>140</v>
      </c>
      <c r="F2046">
        <v>12.2</v>
      </c>
      <c r="G2046">
        <v>65.599999999999994</v>
      </c>
      <c r="H2046" t="s">
        <v>13</v>
      </c>
      <c r="I2046" t="str">
        <f t="shared" si="31"/>
        <v>Média</v>
      </c>
    </row>
    <row r="2047" spans="1:9">
      <c r="A2047" t="s">
        <v>192</v>
      </c>
      <c r="B2047">
        <v>2024</v>
      </c>
      <c r="C2047">
        <v>1</v>
      </c>
      <c r="D2047" t="s">
        <v>139</v>
      </c>
      <c r="E2047" t="s">
        <v>141</v>
      </c>
      <c r="F2047">
        <v>12.2</v>
      </c>
      <c r="G2047">
        <v>76.400000000000006</v>
      </c>
      <c r="H2047" t="s">
        <v>13</v>
      </c>
      <c r="I2047" t="str">
        <f t="shared" si="31"/>
        <v>Alta</v>
      </c>
    </row>
    <row r="2048" spans="1:9">
      <c r="A2048" t="s">
        <v>197</v>
      </c>
      <c r="B2048">
        <v>2024</v>
      </c>
      <c r="C2048">
        <v>1</v>
      </c>
      <c r="D2048" t="s">
        <v>139</v>
      </c>
      <c r="E2048" t="s">
        <v>141</v>
      </c>
      <c r="F2048">
        <v>12.2</v>
      </c>
      <c r="G2048">
        <v>73.900000000000006</v>
      </c>
      <c r="H2048" t="s">
        <v>13</v>
      </c>
      <c r="I2048" t="str">
        <f t="shared" si="31"/>
        <v>Média</v>
      </c>
    </row>
    <row r="2049" spans="1:9">
      <c r="A2049" t="s">
        <v>32</v>
      </c>
      <c r="B2049">
        <v>2024</v>
      </c>
      <c r="C2049">
        <v>2</v>
      </c>
      <c r="D2049" t="s">
        <v>9</v>
      </c>
      <c r="E2049" t="s">
        <v>14</v>
      </c>
      <c r="F2049">
        <v>12.2</v>
      </c>
      <c r="G2049">
        <v>89.6</v>
      </c>
      <c r="H2049" t="s">
        <v>13</v>
      </c>
      <c r="I2049" t="str">
        <f t="shared" si="31"/>
        <v>Alta</v>
      </c>
    </row>
    <row r="2050" spans="1:9">
      <c r="A2050" t="s">
        <v>71</v>
      </c>
      <c r="B2050">
        <v>2024</v>
      </c>
      <c r="C2050">
        <v>2</v>
      </c>
      <c r="D2050" t="s">
        <v>9</v>
      </c>
      <c r="E2050" t="s">
        <v>12</v>
      </c>
      <c r="F2050">
        <v>12.2</v>
      </c>
      <c r="G2050">
        <v>69.599999999999994</v>
      </c>
      <c r="H2050" t="s">
        <v>13</v>
      </c>
      <c r="I2050" t="str">
        <f t="shared" ref="I2050:I2113" si="32">IF(G2050&lt;50,"Baixa",IF(G2050&lt;75,"Média","Alta"))</f>
        <v>Média</v>
      </c>
    </row>
    <row r="2051" spans="1:9">
      <c r="A2051" t="s">
        <v>83</v>
      </c>
      <c r="B2051">
        <v>2024</v>
      </c>
      <c r="C2051">
        <v>2</v>
      </c>
      <c r="D2051" t="s">
        <v>75</v>
      </c>
      <c r="E2051" t="s">
        <v>78</v>
      </c>
      <c r="F2051">
        <v>12.2</v>
      </c>
      <c r="G2051">
        <v>52.8</v>
      </c>
      <c r="H2051" t="s">
        <v>13</v>
      </c>
      <c r="I2051" t="str">
        <f t="shared" si="32"/>
        <v>Média</v>
      </c>
    </row>
    <row r="2052" spans="1:9">
      <c r="A2052" t="s">
        <v>107</v>
      </c>
      <c r="B2052">
        <v>2024</v>
      </c>
      <c r="C2052">
        <v>2</v>
      </c>
      <c r="D2052" t="s">
        <v>75</v>
      </c>
      <c r="E2052" t="s">
        <v>76</v>
      </c>
      <c r="F2052">
        <v>12.2</v>
      </c>
      <c r="G2052">
        <v>74.599999999999994</v>
      </c>
      <c r="H2052" t="s">
        <v>13</v>
      </c>
      <c r="I2052" t="str">
        <f t="shared" si="32"/>
        <v>Média</v>
      </c>
    </row>
    <row r="2053" spans="1:9">
      <c r="A2053" t="s">
        <v>182</v>
      </c>
      <c r="B2053">
        <v>2024</v>
      </c>
      <c r="C2053">
        <v>2</v>
      </c>
      <c r="D2053" t="s">
        <v>139</v>
      </c>
      <c r="E2053" t="s">
        <v>140</v>
      </c>
      <c r="F2053">
        <v>12.2</v>
      </c>
      <c r="G2053">
        <v>79.099999999999994</v>
      </c>
      <c r="H2053" t="s">
        <v>13</v>
      </c>
      <c r="I2053" t="str">
        <f t="shared" si="32"/>
        <v>Alta</v>
      </c>
    </row>
    <row r="2054" spans="1:9">
      <c r="A2054" t="s">
        <v>193</v>
      </c>
      <c r="B2054">
        <v>2024</v>
      </c>
      <c r="C2054">
        <v>2</v>
      </c>
      <c r="D2054" t="s">
        <v>139</v>
      </c>
      <c r="E2054" t="s">
        <v>10</v>
      </c>
      <c r="F2054">
        <v>12.2</v>
      </c>
      <c r="G2054">
        <v>99.5</v>
      </c>
      <c r="H2054" t="s">
        <v>13</v>
      </c>
      <c r="I2054" t="str">
        <f t="shared" si="32"/>
        <v>Alta</v>
      </c>
    </row>
    <row r="2055" spans="1:9">
      <c r="A2055" t="s">
        <v>197</v>
      </c>
      <c r="B2055">
        <v>2024</v>
      </c>
      <c r="C2055">
        <v>2</v>
      </c>
      <c r="D2055" t="s">
        <v>139</v>
      </c>
      <c r="E2055" t="s">
        <v>141</v>
      </c>
      <c r="F2055">
        <v>12.2</v>
      </c>
      <c r="G2055">
        <v>64.3</v>
      </c>
      <c r="H2055" t="s">
        <v>13</v>
      </c>
      <c r="I2055" t="str">
        <f t="shared" si="32"/>
        <v>Média</v>
      </c>
    </row>
    <row r="2056" spans="1:9">
      <c r="A2056" t="s">
        <v>217</v>
      </c>
      <c r="B2056">
        <v>2025</v>
      </c>
      <c r="C2056">
        <v>1</v>
      </c>
      <c r="D2056" t="s">
        <v>9</v>
      </c>
      <c r="E2056" t="s">
        <v>10</v>
      </c>
      <c r="F2056">
        <v>12.2</v>
      </c>
      <c r="G2056">
        <v>86.7</v>
      </c>
      <c r="H2056" t="s">
        <v>13</v>
      </c>
      <c r="I2056" t="str">
        <f t="shared" si="32"/>
        <v>Alta</v>
      </c>
    </row>
    <row r="2057" spans="1:9">
      <c r="A2057" t="s">
        <v>238</v>
      </c>
      <c r="B2057">
        <v>2025</v>
      </c>
      <c r="C2057">
        <v>1</v>
      </c>
      <c r="D2057" t="s">
        <v>9</v>
      </c>
      <c r="E2057" t="s">
        <v>12</v>
      </c>
      <c r="F2057">
        <v>12.2</v>
      </c>
      <c r="G2057">
        <v>49.9</v>
      </c>
      <c r="H2057" t="s">
        <v>13</v>
      </c>
      <c r="I2057" t="str">
        <f t="shared" si="32"/>
        <v>Baixa</v>
      </c>
    </row>
    <row r="2058" spans="1:9">
      <c r="A2058" t="s">
        <v>314</v>
      </c>
      <c r="B2058">
        <v>2025</v>
      </c>
      <c r="C2058">
        <v>1</v>
      </c>
      <c r="D2058" t="s">
        <v>75</v>
      </c>
      <c r="E2058" t="s">
        <v>78</v>
      </c>
      <c r="F2058">
        <v>12.2</v>
      </c>
      <c r="G2058">
        <v>79.099999999999994</v>
      </c>
      <c r="H2058" t="s">
        <v>13</v>
      </c>
      <c r="I2058" t="str">
        <f t="shared" si="32"/>
        <v>Alta</v>
      </c>
    </row>
    <row r="2059" spans="1:9">
      <c r="A2059" t="s">
        <v>339</v>
      </c>
      <c r="B2059">
        <v>2025</v>
      </c>
      <c r="C2059">
        <v>1</v>
      </c>
      <c r="D2059" t="s">
        <v>139</v>
      </c>
      <c r="E2059" t="s">
        <v>10</v>
      </c>
      <c r="F2059">
        <v>12.2</v>
      </c>
      <c r="G2059">
        <v>66.7</v>
      </c>
      <c r="H2059" t="s">
        <v>13</v>
      </c>
      <c r="I2059" t="str">
        <f t="shared" si="32"/>
        <v>Média</v>
      </c>
    </row>
    <row r="2060" spans="1:9">
      <c r="A2060" t="s">
        <v>351</v>
      </c>
      <c r="B2060">
        <v>2025</v>
      </c>
      <c r="C2060">
        <v>1</v>
      </c>
      <c r="D2060" t="s">
        <v>139</v>
      </c>
      <c r="E2060" t="s">
        <v>141</v>
      </c>
      <c r="F2060">
        <v>12.2</v>
      </c>
      <c r="G2060">
        <v>68.400000000000006</v>
      </c>
      <c r="H2060" t="s">
        <v>13</v>
      </c>
      <c r="I2060" t="str">
        <f t="shared" si="32"/>
        <v>Média</v>
      </c>
    </row>
    <row r="2061" spans="1:9">
      <c r="A2061" t="s">
        <v>367</v>
      </c>
      <c r="B2061">
        <v>2025</v>
      </c>
      <c r="C2061">
        <v>1</v>
      </c>
      <c r="D2061" t="s">
        <v>139</v>
      </c>
      <c r="E2061" t="s">
        <v>141</v>
      </c>
      <c r="F2061">
        <v>12.2</v>
      </c>
      <c r="G2061">
        <v>90.3</v>
      </c>
      <c r="H2061" t="s">
        <v>13</v>
      </c>
      <c r="I2061" t="str">
        <f t="shared" si="32"/>
        <v>Alta</v>
      </c>
    </row>
    <row r="2062" spans="1:9">
      <c r="A2062" t="s">
        <v>217</v>
      </c>
      <c r="B2062">
        <v>2025</v>
      </c>
      <c r="C2062">
        <v>2</v>
      </c>
      <c r="D2062" t="s">
        <v>9</v>
      </c>
      <c r="E2062" t="s">
        <v>12</v>
      </c>
      <c r="F2062">
        <v>12.2</v>
      </c>
      <c r="G2062">
        <v>64.400000000000006</v>
      </c>
      <c r="H2062" t="s">
        <v>13</v>
      </c>
      <c r="I2062" t="str">
        <f t="shared" si="32"/>
        <v>Média</v>
      </c>
    </row>
    <row r="2063" spans="1:9">
      <c r="A2063" t="s">
        <v>227</v>
      </c>
      <c r="B2063">
        <v>2025</v>
      </c>
      <c r="C2063">
        <v>2</v>
      </c>
      <c r="D2063" t="s">
        <v>9</v>
      </c>
      <c r="E2063" t="s">
        <v>12</v>
      </c>
      <c r="F2063">
        <v>12.2</v>
      </c>
      <c r="G2063">
        <v>62.1</v>
      </c>
      <c r="H2063" t="s">
        <v>13</v>
      </c>
      <c r="I2063" t="str">
        <f t="shared" si="32"/>
        <v>Média</v>
      </c>
    </row>
    <row r="2064" spans="1:9">
      <c r="A2064" t="s">
        <v>241</v>
      </c>
      <c r="B2064">
        <v>2025</v>
      </c>
      <c r="C2064">
        <v>2</v>
      </c>
      <c r="D2064" t="s">
        <v>9</v>
      </c>
      <c r="E2064" t="s">
        <v>14</v>
      </c>
      <c r="F2064">
        <v>12.2</v>
      </c>
      <c r="G2064">
        <v>82.3</v>
      </c>
      <c r="H2064" t="s">
        <v>13</v>
      </c>
      <c r="I2064" t="str">
        <f t="shared" si="32"/>
        <v>Alta</v>
      </c>
    </row>
    <row r="2065" spans="1:9">
      <c r="A2065" t="s">
        <v>368</v>
      </c>
      <c r="B2065">
        <v>2025</v>
      </c>
      <c r="C2065">
        <v>2</v>
      </c>
      <c r="D2065" t="s">
        <v>139</v>
      </c>
      <c r="E2065" t="s">
        <v>141</v>
      </c>
      <c r="F2065">
        <v>12.2</v>
      </c>
      <c r="G2065">
        <v>89</v>
      </c>
      <c r="H2065" t="s">
        <v>13</v>
      </c>
      <c r="I2065" t="str">
        <f t="shared" si="32"/>
        <v>Alta</v>
      </c>
    </row>
    <row r="2066" spans="1:9">
      <c r="A2066" t="s">
        <v>372</v>
      </c>
      <c r="B2066">
        <v>2025</v>
      </c>
      <c r="C2066">
        <v>2</v>
      </c>
      <c r="D2066" t="s">
        <v>139</v>
      </c>
      <c r="E2066" t="s">
        <v>140</v>
      </c>
      <c r="F2066">
        <v>12.2</v>
      </c>
      <c r="G2066">
        <v>69.7</v>
      </c>
      <c r="H2066" t="s">
        <v>13</v>
      </c>
      <c r="I2066" t="str">
        <f t="shared" si="32"/>
        <v>Média</v>
      </c>
    </row>
    <row r="2067" spans="1:9">
      <c r="A2067" t="s">
        <v>412</v>
      </c>
      <c r="B2067">
        <v>2026</v>
      </c>
      <c r="C2067">
        <v>1</v>
      </c>
      <c r="D2067" t="s">
        <v>9</v>
      </c>
      <c r="E2067" t="s">
        <v>12</v>
      </c>
      <c r="F2067">
        <v>12.2</v>
      </c>
      <c r="G2067">
        <v>48.9</v>
      </c>
      <c r="H2067" t="s">
        <v>13</v>
      </c>
      <c r="I2067" t="str">
        <f t="shared" si="32"/>
        <v>Baixa</v>
      </c>
    </row>
    <row r="2068" spans="1:9">
      <c r="A2068" t="s">
        <v>470</v>
      </c>
      <c r="B2068">
        <v>2026</v>
      </c>
      <c r="C2068">
        <v>1</v>
      </c>
      <c r="D2068" t="s">
        <v>75</v>
      </c>
      <c r="E2068" t="s">
        <v>78</v>
      </c>
      <c r="F2068">
        <v>12.2</v>
      </c>
      <c r="G2068">
        <v>60.8</v>
      </c>
      <c r="H2068" t="s">
        <v>13</v>
      </c>
      <c r="I2068" t="str">
        <f t="shared" si="32"/>
        <v>Média</v>
      </c>
    </row>
    <row r="2069" spans="1:9">
      <c r="A2069" t="s">
        <v>513</v>
      </c>
      <c r="B2069">
        <v>2026</v>
      </c>
      <c r="C2069">
        <v>1</v>
      </c>
      <c r="D2069" t="s">
        <v>139</v>
      </c>
      <c r="E2069" t="s">
        <v>141</v>
      </c>
      <c r="F2069">
        <v>12.2</v>
      </c>
      <c r="G2069">
        <v>95.6</v>
      </c>
      <c r="H2069" t="s">
        <v>13</v>
      </c>
      <c r="I2069" t="str">
        <f t="shared" si="32"/>
        <v>Alta</v>
      </c>
    </row>
    <row r="2070" spans="1:9">
      <c r="A2070" t="s">
        <v>527</v>
      </c>
      <c r="B2070">
        <v>2026</v>
      </c>
      <c r="C2070">
        <v>1</v>
      </c>
      <c r="D2070" t="s">
        <v>139</v>
      </c>
      <c r="E2070" t="s">
        <v>141</v>
      </c>
      <c r="F2070">
        <v>12.2</v>
      </c>
      <c r="G2070">
        <v>77.099999999999994</v>
      </c>
      <c r="H2070" t="s">
        <v>13</v>
      </c>
      <c r="I2070" t="str">
        <f t="shared" si="32"/>
        <v>Alta</v>
      </c>
    </row>
    <row r="2071" spans="1:9">
      <c r="A2071" t="s">
        <v>450</v>
      </c>
      <c r="B2071">
        <v>2026</v>
      </c>
      <c r="C2071">
        <v>2</v>
      </c>
      <c r="D2071" t="s">
        <v>75</v>
      </c>
      <c r="E2071" t="s">
        <v>78</v>
      </c>
      <c r="F2071">
        <v>12.2</v>
      </c>
      <c r="G2071">
        <v>67.2</v>
      </c>
      <c r="H2071" t="s">
        <v>13</v>
      </c>
      <c r="I2071" t="str">
        <f t="shared" si="32"/>
        <v>Média</v>
      </c>
    </row>
    <row r="2072" spans="1:9">
      <c r="A2072" t="s">
        <v>476</v>
      </c>
      <c r="B2072">
        <v>2026</v>
      </c>
      <c r="C2072">
        <v>2</v>
      </c>
      <c r="D2072" t="s">
        <v>75</v>
      </c>
      <c r="E2072" t="s">
        <v>78</v>
      </c>
      <c r="F2072">
        <v>12.2</v>
      </c>
      <c r="G2072">
        <v>68.5</v>
      </c>
      <c r="H2072" t="s">
        <v>13</v>
      </c>
      <c r="I2072" t="str">
        <f t="shared" si="32"/>
        <v>Média</v>
      </c>
    </row>
    <row r="2073" spans="1:9">
      <c r="A2073" t="s">
        <v>540</v>
      </c>
      <c r="B2073">
        <v>2026</v>
      </c>
      <c r="C2073">
        <v>2</v>
      </c>
      <c r="D2073" t="s">
        <v>139</v>
      </c>
      <c r="E2073" t="s">
        <v>141</v>
      </c>
      <c r="F2073">
        <v>12.2</v>
      </c>
      <c r="G2073">
        <v>94.7</v>
      </c>
      <c r="H2073" t="s">
        <v>13</v>
      </c>
      <c r="I2073" t="str">
        <f t="shared" si="32"/>
        <v>Alta</v>
      </c>
    </row>
    <row r="2074" spans="1:9">
      <c r="A2074" t="s">
        <v>25</v>
      </c>
      <c r="B2074">
        <v>2024</v>
      </c>
      <c r="C2074">
        <v>1</v>
      </c>
      <c r="D2074" t="s">
        <v>9</v>
      </c>
      <c r="E2074" t="s">
        <v>12</v>
      </c>
      <c r="F2074">
        <v>12.3</v>
      </c>
      <c r="G2074">
        <v>84.8</v>
      </c>
      <c r="H2074" t="s">
        <v>13</v>
      </c>
      <c r="I2074" t="str">
        <f t="shared" si="32"/>
        <v>Alta</v>
      </c>
    </row>
    <row r="2075" spans="1:9">
      <c r="A2075" t="s">
        <v>35</v>
      </c>
      <c r="B2075">
        <v>2024</v>
      </c>
      <c r="C2075">
        <v>1</v>
      </c>
      <c r="D2075" t="s">
        <v>9</v>
      </c>
      <c r="E2075" t="s">
        <v>14</v>
      </c>
      <c r="F2075">
        <v>12.3</v>
      </c>
      <c r="G2075">
        <v>80.099999999999994</v>
      </c>
      <c r="H2075" t="s">
        <v>13</v>
      </c>
      <c r="I2075" t="str">
        <f t="shared" si="32"/>
        <v>Alta</v>
      </c>
    </row>
    <row r="2076" spans="1:9">
      <c r="A2076" t="s">
        <v>60</v>
      </c>
      <c r="B2076">
        <v>2024</v>
      </c>
      <c r="C2076">
        <v>1</v>
      </c>
      <c r="D2076" t="s">
        <v>9</v>
      </c>
      <c r="E2076" t="s">
        <v>14</v>
      </c>
      <c r="F2076">
        <v>12.3</v>
      </c>
      <c r="G2076">
        <v>59.2</v>
      </c>
      <c r="H2076" t="s">
        <v>13</v>
      </c>
      <c r="I2076" t="str">
        <f t="shared" si="32"/>
        <v>Média</v>
      </c>
    </row>
    <row r="2077" spans="1:9">
      <c r="A2077" t="s">
        <v>118</v>
      </c>
      <c r="B2077">
        <v>2024</v>
      </c>
      <c r="C2077">
        <v>1</v>
      </c>
      <c r="D2077" t="s">
        <v>75</v>
      </c>
      <c r="E2077" t="s">
        <v>76</v>
      </c>
      <c r="F2077">
        <v>12.3</v>
      </c>
      <c r="G2077">
        <v>84.5</v>
      </c>
      <c r="H2077" t="s">
        <v>13</v>
      </c>
      <c r="I2077" t="str">
        <f t="shared" si="32"/>
        <v>Alta</v>
      </c>
    </row>
    <row r="2078" spans="1:9">
      <c r="A2078" t="s">
        <v>161</v>
      </c>
      <c r="B2078">
        <v>2024</v>
      </c>
      <c r="C2078">
        <v>1</v>
      </c>
      <c r="D2078" t="s">
        <v>139</v>
      </c>
      <c r="E2078" t="s">
        <v>141</v>
      </c>
      <c r="F2078">
        <v>12.3</v>
      </c>
      <c r="G2078">
        <v>88.2</v>
      </c>
      <c r="H2078" t="s">
        <v>13</v>
      </c>
      <c r="I2078" t="str">
        <f t="shared" si="32"/>
        <v>Alta</v>
      </c>
    </row>
    <row r="2079" spans="1:9">
      <c r="A2079" t="s">
        <v>180</v>
      </c>
      <c r="B2079">
        <v>2024</v>
      </c>
      <c r="C2079">
        <v>1</v>
      </c>
      <c r="D2079" t="s">
        <v>139</v>
      </c>
      <c r="E2079" t="s">
        <v>10</v>
      </c>
      <c r="F2079">
        <v>12.3</v>
      </c>
      <c r="G2079">
        <v>99.1</v>
      </c>
      <c r="H2079" t="s">
        <v>13</v>
      </c>
      <c r="I2079" t="str">
        <f t="shared" si="32"/>
        <v>Alta</v>
      </c>
    </row>
    <row r="2080" spans="1:9">
      <c r="A2080" t="s">
        <v>189</v>
      </c>
      <c r="B2080">
        <v>2024</v>
      </c>
      <c r="C2080">
        <v>1</v>
      </c>
      <c r="D2080" t="s">
        <v>139</v>
      </c>
      <c r="E2080" t="s">
        <v>10</v>
      </c>
      <c r="F2080">
        <v>12.3</v>
      </c>
      <c r="G2080">
        <v>66.900000000000006</v>
      </c>
      <c r="H2080" t="s">
        <v>13</v>
      </c>
      <c r="I2080" t="str">
        <f t="shared" si="32"/>
        <v>Média</v>
      </c>
    </row>
    <row r="2081" spans="1:9">
      <c r="A2081" t="s">
        <v>22</v>
      </c>
      <c r="B2081">
        <v>2024</v>
      </c>
      <c r="C2081">
        <v>2</v>
      </c>
      <c r="D2081" t="s">
        <v>9</v>
      </c>
      <c r="E2081" t="s">
        <v>12</v>
      </c>
      <c r="F2081">
        <v>12.3</v>
      </c>
      <c r="G2081">
        <v>49.2</v>
      </c>
      <c r="H2081" t="s">
        <v>13</v>
      </c>
      <c r="I2081" t="str">
        <f t="shared" si="32"/>
        <v>Baixa</v>
      </c>
    </row>
    <row r="2082" spans="1:9">
      <c r="A2082" t="s">
        <v>49</v>
      </c>
      <c r="B2082">
        <v>2024</v>
      </c>
      <c r="C2082">
        <v>2</v>
      </c>
      <c r="D2082" t="s">
        <v>9</v>
      </c>
      <c r="E2082" t="s">
        <v>14</v>
      </c>
      <c r="F2082">
        <v>12.3</v>
      </c>
      <c r="G2082">
        <v>81.2</v>
      </c>
      <c r="H2082" t="s">
        <v>13</v>
      </c>
      <c r="I2082" t="str">
        <f t="shared" si="32"/>
        <v>Alta</v>
      </c>
    </row>
    <row r="2083" spans="1:9">
      <c r="A2083" t="s">
        <v>88</v>
      </c>
      <c r="B2083">
        <v>2024</v>
      </c>
      <c r="C2083">
        <v>2</v>
      </c>
      <c r="D2083" t="s">
        <v>75</v>
      </c>
      <c r="E2083" t="s">
        <v>76</v>
      </c>
      <c r="F2083">
        <v>12.3</v>
      </c>
      <c r="G2083">
        <v>56.5</v>
      </c>
      <c r="H2083" t="s">
        <v>13</v>
      </c>
      <c r="I2083" t="str">
        <f t="shared" si="32"/>
        <v>Média</v>
      </c>
    </row>
    <row r="2084" spans="1:9">
      <c r="A2084" t="s">
        <v>94</v>
      </c>
      <c r="B2084">
        <v>2024</v>
      </c>
      <c r="C2084">
        <v>2</v>
      </c>
      <c r="D2084" t="s">
        <v>75</v>
      </c>
      <c r="E2084" t="s">
        <v>76</v>
      </c>
      <c r="F2084">
        <v>12.3</v>
      </c>
      <c r="G2084">
        <v>58.3</v>
      </c>
      <c r="H2084" t="s">
        <v>13</v>
      </c>
      <c r="I2084" t="str">
        <f t="shared" si="32"/>
        <v>Média</v>
      </c>
    </row>
    <row r="2085" spans="1:9">
      <c r="A2085" t="s">
        <v>123</v>
      </c>
      <c r="B2085">
        <v>2024</v>
      </c>
      <c r="C2085">
        <v>2</v>
      </c>
      <c r="D2085" t="s">
        <v>75</v>
      </c>
      <c r="E2085" t="s">
        <v>77</v>
      </c>
      <c r="F2085">
        <v>12.3</v>
      </c>
      <c r="G2085">
        <v>86.4</v>
      </c>
      <c r="H2085" t="s">
        <v>13</v>
      </c>
      <c r="I2085" t="str">
        <f t="shared" si="32"/>
        <v>Alta</v>
      </c>
    </row>
    <row r="2086" spans="1:9">
      <c r="A2086" t="s">
        <v>136</v>
      </c>
      <c r="B2086">
        <v>2024</v>
      </c>
      <c r="C2086">
        <v>2</v>
      </c>
      <c r="D2086" t="s">
        <v>75</v>
      </c>
      <c r="E2086" t="s">
        <v>78</v>
      </c>
      <c r="F2086">
        <v>12.3</v>
      </c>
      <c r="G2086">
        <v>92.5</v>
      </c>
      <c r="H2086" t="s">
        <v>13</v>
      </c>
      <c r="I2086" t="str">
        <f t="shared" si="32"/>
        <v>Alta</v>
      </c>
    </row>
    <row r="2087" spans="1:9">
      <c r="A2087" t="s">
        <v>171</v>
      </c>
      <c r="B2087">
        <v>2024</v>
      </c>
      <c r="C2087">
        <v>2</v>
      </c>
      <c r="D2087" t="s">
        <v>139</v>
      </c>
      <c r="E2087" t="s">
        <v>141</v>
      </c>
      <c r="F2087">
        <v>12.3</v>
      </c>
      <c r="G2087">
        <v>65.3</v>
      </c>
      <c r="H2087" t="s">
        <v>13</v>
      </c>
      <c r="I2087" t="str">
        <f t="shared" si="32"/>
        <v>Média</v>
      </c>
    </row>
    <row r="2088" spans="1:9">
      <c r="A2088" t="s">
        <v>305</v>
      </c>
      <c r="B2088">
        <v>2025</v>
      </c>
      <c r="C2088">
        <v>1</v>
      </c>
      <c r="D2088" t="s">
        <v>75</v>
      </c>
      <c r="E2088" t="s">
        <v>76</v>
      </c>
      <c r="F2088">
        <v>12.3</v>
      </c>
      <c r="G2088">
        <v>84.2</v>
      </c>
      <c r="H2088" t="s">
        <v>13</v>
      </c>
      <c r="I2088" t="str">
        <f t="shared" si="32"/>
        <v>Alta</v>
      </c>
    </row>
    <row r="2089" spans="1:9">
      <c r="A2089" t="s">
        <v>323</v>
      </c>
      <c r="B2089">
        <v>2025</v>
      </c>
      <c r="C2089">
        <v>1</v>
      </c>
      <c r="D2089" t="s">
        <v>139</v>
      </c>
      <c r="E2089" t="s">
        <v>141</v>
      </c>
      <c r="F2089">
        <v>12.3</v>
      </c>
      <c r="G2089">
        <v>61.4</v>
      </c>
      <c r="H2089" t="s">
        <v>13</v>
      </c>
      <c r="I2089" t="str">
        <f t="shared" si="32"/>
        <v>Média</v>
      </c>
    </row>
    <row r="2090" spans="1:9">
      <c r="A2090" t="s">
        <v>333</v>
      </c>
      <c r="B2090">
        <v>2025</v>
      </c>
      <c r="C2090">
        <v>1</v>
      </c>
      <c r="D2090" t="s">
        <v>139</v>
      </c>
      <c r="E2090" t="s">
        <v>10</v>
      </c>
      <c r="F2090">
        <v>12.3</v>
      </c>
      <c r="G2090">
        <v>79</v>
      </c>
      <c r="H2090" t="s">
        <v>13</v>
      </c>
      <c r="I2090" t="str">
        <f t="shared" si="32"/>
        <v>Alta</v>
      </c>
    </row>
    <row r="2091" spans="1:9">
      <c r="A2091" t="s">
        <v>208</v>
      </c>
      <c r="B2091">
        <v>2025</v>
      </c>
      <c r="C2091">
        <v>2</v>
      </c>
      <c r="D2091" t="s">
        <v>9</v>
      </c>
      <c r="E2091" t="s">
        <v>14</v>
      </c>
      <c r="F2091">
        <v>12.3</v>
      </c>
      <c r="G2091">
        <v>98.7</v>
      </c>
      <c r="H2091" t="s">
        <v>13</v>
      </c>
      <c r="I2091" t="str">
        <f t="shared" si="32"/>
        <v>Alta</v>
      </c>
    </row>
    <row r="2092" spans="1:9">
      <c r="A2092" t="s">
        <v>211</v>
      </c>
      <c r="B2092">
        <v>2025</v>
      </c>
      <c r="C2092">
        <v>2</v>
      </c>
      <c r="D2092" t="s">
        <v>9</v>
      </c>
      <c r="E2092" t="s">
        <v>12</v>
      </c>
      <c r="F2092">
        <v>12.3</v>
      </c>
      <c r="G2092">
        <v>94.6</v>
      </c>
      <c r="H2092" t="s">
        <v>13</v>
      </c>
      <c r="I2092" t="str">
        <f t="shared" si="32"/>
        <v>Alta</v>
      </c>
    </row>
    <row r="2093" spans="1:9">
      <c r="A2093" t="s">
        <v>228</v>
      </c>
      <c r="B2093">
        <v>2025</v>
      </c>
      <c r="C2093">
        <v>2</v>
      </c>
      <c r="D2093" t="s">
        <v>9</v>
      </c>
      <c r="E2093" t="s">
        <v>10</v>
      </c>
      <c r="F2093">
        <v>12.3</v>
      </c>
      <c r="G2093">
        <v>63.1</v>
      </c>
      <c r="H2093" t="s">
        <v>13</v>
      </c>
      <c r="I2093" t="str">
        <f t="shared" si="32"/>
        <v>Média</v>
      </c>
    </row>
    <row r="2094" spans="1:9">
      <c r="A2094" t="s">
        <v>243</v>
      </c>
      <c r="B2094">
        <v>2025</v>
      </c>
      <c r="C2094">
        <v>2</v>
      </c>
      <c r="D2094" t="s">
        <v>9</v>
      </c>
      <c r="E2094" t="s">
        <v>10</v>
      </c>
      <c r="F2094">
        <v>12.3</v>
      </c>
      <c r="G2094">
        <v>96.8</v>
      </c>
      <c r="H2094" t="s">
        <v>13</v>
      </c>
      <c r="I2094" t="str">
        <f t="shared" si="32"/>
        <v>Alta</v>
      </c>
    </row>
    <row r="2095" spans="1:9">
      <c r="A2095" t="s">
        <v>247</v>
      </c>
      <c r="B2095">
        <v>2025</v>
      </c>
      <c r="C2095">
        <v>2</v>
      </c>
      <c r="D2095" t="s">
        <v>9</v>
      </c>
      <c r="E2095" t="s">
        <v>10</v>
      </c>
      <c r="F2095">
        <v>12.3</v>
      </c>
      <c r="G2095">
        <v>79.7</v>
      </c>
      <c r="H2095" t="s">
        <v>13</v>
      </c>
      <c r="I2095" t="str">
        <f t="shared" si="32"/>
        <v>Alta</v>
      </c>
    </row>
    <row r="2096" spans="1:9">
      <c r="A2096" t="s">
        <v>302</v>
      </c>
      <c r="B2096">
        <v>2025</v>
      </c>
      <c r="C2096">
        <v>2</v>
      </c>
      <c r="D2096" t="s">
        <v>75</v>
      </c>
      <c r="E2096" t="s">
        <v>77</v>
      </c>
      <c r="F2096">
        <v>12.3</v>
      </c>
      <c r="G2096">
        <v>60.7</v>
      </c>
      <c r="H2096" t="s">
        <v>13</v>
      </c>
      <c r="I2096" t="str">
        <f t="shared" si="32"/>
        <v>Média</v>
      </c>
    </row>
    <row r="2097" spans="1:9">
      <c r="A2097" t="s">
        <v>309</v>
      </c>
      <c r="B2097">
        <v>2025</v>
      </c>
      <c r="C2097">
        <v>2</v>
      </c>
      <c r="D2097" t="s">
        <v>75</v>
      </c>
      <c r="E2097" t="s">
        <v>78</v>
      </c>
      <c r="F2097">
        <v>12.3</v>
      </c>
      <c r="G2097">
        <v>97.1</v>
      </c>
      <c r="H2097" t="s">
        <v>13</v>
      </c>
      <c r="I2097" t="str">
        <f t="shared" si="32"/>
        <v>Alta</v>
      </c>
    </row>
    <row r="2098" spans="1:9">
      <c r="A2098" t="s">
        <v>367</v>
      </c>
      <c r="B2098">
        <v>2025</v>
      </c>
      <c r="C2098">
        <v>2</v>
      </c>
      <c r="D2098" t="s">
        <v>139</v>
      </c>
      <c r="E2098" t="s">
        <v>10</v>
      </c>
      <c r="F2098">
        <v>12.3</v>
      </c>
      <c r="G2098">
        <v>78.5</v>
      </c>
      <c r="H2098" t="s">
        <v>13</v>
      </c>
      <c r="I2098" t="str">
        <f t="shared" si="32"/>
        <v>Alta</v>
      </c>
    </row>
    <row r="2099" spans="1:9">
      <c r="A2099" t="s">
        <v>416</v>
      </c>
      <c r="B2099">
        <v>2026</v>
      </c>
      <c r="C2099">
        <v>1</v>
      </c>
      <c r="D2099" t="s">
        <v>9</v>
      </c>
      <c r="E2099" t="s">
        <v>12</v>
      </c>
      <c r="F2099">
        <v>12.3</v>
      </c>
      <c r="G2099">
        <v>83.4</v>
      </c>
      <c r="H2099" t="s">
        <v>13</v>
      </c>
      <c r="I2099" t="str">
        <f t="shared" si="32"/>
        <v>Alta</v>
      </c>
    </row>
    <row r="2100" spans="1:9">
      <c r="A2100" t="s">
        <v>416</v>
      </c>
      <c r="B2100">
        <v>2026</v>
      </c>
      <c r="C2100">
        <v>1</v>
      </c>
      <c r="D2100" t="s">
        <v>9</v>
      </c>
      <c r="E2100" t="s">
        <v>14</v>
      </c>
      <c r="F2100">
        <v>12.3</v>
      </c>
      <c r="G2100">
        <v>79.5</v>
      </c>
      <c r="H2100" t="s">
        <v>13</v>
      </c>
      <c r="I2100" t="str">
        <f t="shared" si="32"/>
        <v>Alta</v>
      </c>
    </row>
    <row r="2101" spans="1:9">
      <c r="A2101" t="s">
        <v>448</v>
      </c>
      <c r="B2101">
        <v>2026</v>
      </c>
      <c r="C2101">
        <v>1</v>
      </c>
      <c r="D2101" t="s">
        <v>75</v>
      </c>
      <c r="E2101" t="s">
        <v>78</v>
      </c>
      <c r="F2101">
        <v>12.3</v>
      </c>
      <c r="G2101">
        <v>63.1</v>
      </c>
      <c r="H2101" t="s">
        <v>13</v>
      </c>
      <c r="I2101" t="str">
        <f t="shared" si="32"/>
        <v>Média</v>
      </c>
    </row>
    <row r="2102" spans="1:9">
      <c r="A2102" t="s">
        <v>450</v>
      </c>
      <c r="B2102">
        <v>2026</v>
      </c>
      <c r="C2102">
        <v>1</v>
      </c>
      <c r="D2102" t="s">
        <v>75</v>
      </c>
      <c r="E2102" t="s">
        <v>77</v>
      </c>
      <c r="F2102">
        <v>12.3</v>
      </c>
      <c r="G2102">
        <v>93.2</v>
      </c>
      <c r="H2102" t="s">
        <v>13</v>
      </c>
      <c r="I2102" t="str">
        <f t="shared" si="32"/>
        <v>Alta</v>
      </c>
    </row>
    <row r="2103" spans="1:9">
      <c r="A2103" t="s">
        <v>463</v>
      </c>
      <c r="B2103">
        <v>2026</v>
      </c>
      <c r="C2103">
        <v>1</v>
      </c>
      <c r="D2103" t="s">
        <v>75</v>
      </c>
      <c r="E2103" t="s">
        <v>77</v>
      </c>
      <c r="F2103">
        <v>12.3</v>
      </c>
      <c r="G2103">
        <v>85.2</v>
      </c>
      <c r="H2103" t="s">
        <v>13</v>
      </c>
      <c r="I2103" t="str">
        <f t="shared" si="32"/>
        <v>Alta</v>
      </c>
    </row>
    <row r="2104" spans="1:9">
      <c r="A2104" t="s">
        <v>442</v>
      </c>
      <c r="B2104">
        <v>2026</v>
      </c>
      <c r="C2104">
        <v>2</v>
      </c>
      <c r="D2104" t="s">
        <v>75</v>
      </c>
      <c r="E2104" t="s">
        <v>76</v>
      </c>
      <c r="F2104">
        <v>12.3</v>
      </c>
      <c r="G2104">
        <v>59.1</v>
      </c>
      <c r="H2104" t="s">
        <v>13</v>
      </c>
      <c r="I2104" t="str">
        <f t="shared" si="32"/>
        <v>Média</v>
      </c>
    </row>
    <row r="2105" spans="1:9">
      <c r="A2105" t="s">
        <v>468</v>
      </c>
      <c r="B2105">
        <v>2026</v>
      </c>
      <c r="C2105">
        <v>2</v>
      </c>
      <c r="D2105" t="s">
        <v>75</v>
      </c>
      <c r="E2105" t="s">
        <v>78</v>
      </c>
      <c r="F2105">
        <v>12.3</v>
      </c>
      <c r="G2105">
        <v>85.3</v>
      </c>
      <c r="H2105" t="s">
        <v>13</v>
      </c>
      <c r="I2105" t="str">
        <f t="shared" si="32"/>
        <v>Alta</v>
      </c>
    </row>
    <row r="2106" spans="1:9">
      <c r="A2106" t="s">
        <v>529</v>
      </c>
      <c r="B2106">
        <v>2026</v>
      </c>
      <c r="C2106">
        <v>2</v>
      </c>
      <c r="D2106" t="s">
        <v>139</v>
      </c>
      <c r="E2106" t="s">
        <v>141</v>
      </c>
      <c r="F2106">
        <v>12.3</v>
      </c>
      <c r="G2106">
        <v>75.5</v>
      </c>
      <c r="H2106" t="s">
        <v>13</v>
      </c>
      <c r="I2106" t="str">
        <f t="shared" si="32"/>
        <v>Alta</v>
      </c>
    </row>
    <row r="2107" spans="1:9">
      <c r="A2107" t="s">
        <v>538</v>
      </c>
      <c r="B2107">
        <v>2026</v>
      </c>
      <c r="C2107">
        <v>2</v>
      </c>
      <c r="D2107" t="s">
        <v>139</v>
      </c>
      <c r="E2107" t="s">
        <v>10</v>
      </c>
      <c r="F2107">
        <v>12.3</v>
      </c>
      <c r="G2107">
        <v>62.9</v>
      </c>
      <c r="H2107" t="s">
        <v>13</v>
      </c>
      <c r="I2107" t="str">
        <f t="shared" si="32"/>
        <v>Média</v>
      </c>
    </row>
    <row r="2108" spans="1:9">
      <c r="A2108" t="s">
        <v>539</v>
      </c>
      <c r="B2108">
        <v>2026</v>
      </c>
      <c r="C2108">
        <v>2</v>
      </c>
      <c r="D2108" t="s">
        <v>139</v>
      </c>
      <c r="E2108" t="s">
        <v>10</v>
      </c>
      <c r="F2108">
        <v>12.3</v>
      </c>
      <c r="G2108">
        <v>99.6</v>
      </c>
      <c r="H2108" t="s">
        <v>13</v>
      </c>
      <c r="I2108" t="str">
        <f t="shared" si="32"/>
        <v>Alta</v>
      </c>
    </row>
    <row r="2109" spans="1:9">
      <c r="A2109" t="s">
        <v>560</v>
      </c>
      <c r="B2109">
        <v>2026</v>
      </c>
      <c r="C2109">
        <v>2</v>
      </c>
      <c r="D2109" t="s">
        <v>139</v>
      </c>
      <c r="E2109" t="s">
        <v>10</v>
      </c>
      <c r="F2109">
        <v>12.3</v>
      </c>
      <c r="G2109">
        <v>73.400000000000006</v>
      </c>
      <c r="H2109" t="s">
        <v>13</v>
      </c>
      <c r="I2109" t="str">
        <f t="shared" si="32"/>
        <v>Média</v>
      </c>
    </row>
    <row r="2110" spans="1:9">
      <c r="A2110" t="s">
        <v>54</v>
      </c>
      <c r="B2110">
        <v>2024</v>
      </c>
      <c r="C2110">
        <v>1</v>
      </c>
      <c r="D2110" t="s">
        <v>9</v>
      </c>
      <c r="E2110" t="s">
        <v>14</v>
      </c>
      <c r="F2110">
        <v>12.4</v>
      </c>
      <c r="G2110">
        <v>45.1</v>
      </c>
      <c r="H2110" t="s">
        <v>13</v>
      </c>
      <c r="I2110" t="str">
        <f t="shared" si="32"/>
        <v>Baixa</v>
      </c>
    </row>
    <row r="2111" spans="1:9">
      <c r="A2111" t="s">
        <v>69</v>
      </c>
      <c r="B2111">
        <v>2024</v>
      </c>
      <c r="C2111">
        <v>1</v>
      </c>
      <c r="D2111" t="s">
        <v>9</v>
      </c>
      <c r="E2111" t="s">
        <v>12</v>
      </c>
      <c r="F2111">
        <v>12.4</v>
      </c>
      <c r="G2111">
        <v>96.8</v>
      </c>
      <c r="H2111" t="s">
        <v>13</v>
      </c>
      <c r="I2111" t="str">
        <f t="shared" si="32"/>
        <v>Alta</v>
      </c>
    </row>
    <row r="2112" spans="1:9">
      <c r="A2112" t="s">
        <v>162</v>
      </c>
      <c r="B2112">
        <v>2024</v>
      </c>
      <c r="C2112">
        <v>1</v>
      </c>
      <c r="D2112" t="s">
        <v>139</v>
      </c>
      <c r="E2112" t="s">
        <v>141</v>
      </c>
      <c r="F2112">
        <v>12.4</v>
      </c>
      <c r="G2112">
        <v>75.099999999999994</v>
      </c>
      <c r="H2112" t="s">
        <v>13</v>
      </c>
      <c r="I2112" t="str">
        <f t="shared" si="32"/>
        <v>Alta</v>
      </c>
    </row>
    <row r="2113" spans="1:9">
      <c r="A2113" t="s">
        <v>167</v>
      </c>
      <c r="B2113">
        <v>2024</v>
      </c>
      <c r="C2113">
        <v>1</v>
      </c>
      <c r="D2113" t="s">
        <v>139</v>
      </c>
      <c r="E2113" t="s">
        <v>141</v>
      </c>
      <c r="F2113">
        <v>12.4</v>
      </c>
      <c r="G2113">
        <v>95.6</v>
      </c>
      <c r="H2113" t="s">
        <v>13</v>
      </c>
      <c r="I2113" t="str">
        <f t="shared" si="32"/>
        <v>Alta</v>
      </c>
    </row>
    <row r="2114" spans="1:9">
      <c r="A2114" t="s">
        <v>25</v>
      </c>
      <c r="B2114">
        <v>2024</v>
      </c>
      <c r="C2114">
        <v>2</v>
      </c>
      <c r="D2114" t="s">
        <v>9</v>
      </c>
      <c r="E2114" t="s">
        <v>12</v>
      </c>
      <c r="F2114">
        <v>12.4</v>
      </c>
      <c r="G2114">
        <v>89.9</v>
      </c>
      <c r="H2114" t="s">
        <v>13</v>
      </c>
      <c r="I2114" t="str">
        <f t="shared" ref="I2114:I2177" si="33">IF(G2114&lt;50,"Baixa",IF(G2114&lt;75,"Média","Alta"))</f>
        <v>Alta</v>
      </c>
    </row>
    <row r="2115" spans="1:9">
      <c r="A2115" t="s">
        <v>44</v>
      </c>
      <c r="B2115">
        <v>2024</v>
      </c>
      <c r="C2115">
        <v>2</v>
      </c>
      <c r="D2115" t="s">
        <v>9</v>
      </c>
      <c r="E2115" t="s">
        <v>14</v>
      </c>
      <c r="F2115">
        <v>12.4</v>
      </c>
      <c r="G2115">
        <v>96.5</v>
      </c>
      <c r="H2115" t="s">
        <v>13</v>
      </c>
      <c r="I2115" t="str">
        <f t="shared" si="33"/>
        <v>Alta</v>
      </c>
    </row>
    <row r="2116" spans="1:9">
      <c r="A2116" t="s">
        <v>60</v>
      </c>
      <c r="B2116">
        <v>2024</v>
      </c>
      <c r="C2116">
        <v>2</v>
      </c>
      <c r="D2116" t="s">
        <v>9</v>
      </c>
      <c r="E2116" t="s">
        <v>12</v>
      </c>
      <c r="F2116">
        <v>12.4</v>
      </c>
      <c r="G2116">
        <v>84.3</v>
      </c>
      <c r="H2116" t="s">
        <v>13</v>
      </c>
      <c r="I2116" t="str">
        <f t="shared" si="33"/>
        <v>Alta</v>
      </c>
    </row>
    <row r="2117" spans="1:9">
      <c r="A2117" t="s">
        <v>82</v>
      </c>
      <c r="B2117">
        <v>2024</v>
      </c>
      <c r="C2117">
        <v>2</v>
      </c>
      <c r="D2117" t="s">
        <v>75</v>
      </c>
      <c r="E2117" t="s">
        <v>76</v>
      </c>
      <c r="F2117">
        <v>12.4</v>
      </c>
      <c r="G2117">
        <v>82.6</v>
      </c>
      <c r="H2117" t="s">
        <v>13</v>
      </c>
      <c r="I2117" t="str">
        <f t="shared" si="33"/>
        <v>Alta</v>
      </c>
    </row>
    <row r="2118" spans="1:9">
      <c r="A2118" t="s">
        <v>100</v>
      </c>
      <c r="B2118">
        <v>2024</v>
      </c>
      <c r="C2118">
        <v>2</v>
      </c>
      <c r="D2118" t="s">
        <v>75</v>
      </c>
      <c r="E2118" t="s">
        <v>78</v>
      </c>
      <c r="F2118">
        <v>12.4</v>
      </c>
      <c r="G2118">
        <v>70.2</v>
      </c>
      <c r="H2118" t="s">
        <v>13</v>
      </c>
      <c r="I2118" t="str">
        <f t="shared" si="33"/>
        <v>Média</v>
      </c>
    </row>
    <row r="2119" spans="1:9">
      <c r="A2119" t="s">
        <v>207</v>
      </c>
      <c r="B2119">
        <v>2025</v>
      </c>
      <c r="C2119">
        <v>1</v>
      </c>
      <c r="D2119" t="s">
        <v>9</v>
      </c>
      <c r="E2119" t="s">
        <v>14</v>
      </c>
      <c r="F2119">
        <v>12.4</v>
      </c>
      <c r="G2119">
        <v>72.400000000000006</v>
      </c>
      <c r="H2119" t="s">
        <v>13</v>
      </c>
      <c r="I2119" t="str">
        <f t="shared" si="33"/>
        <v>Média</v>
      </c>
    </row>
    <row r="2120" spans="1:9">
      <c r="A2120" t="s">
        <v>223</v>
      </c>
      <c r="B2120">
        <v>2025</v>
      </c>
      <c r="C2120">
        <v>1</v>
      </c>
      <c r="D2120" t="s">
        <v>9</v>
      </c>
      <c r="E2120" t="s">
        <v>10</v>
      </c>
      <c r="F2120">
        <v>12.4</v>
      </c>
      <c r="G2120">
        <v>98</v>
      </c>
      <c r="H2120" t="s">
        <v>13</v>
      </c>
      <c r="I2120" t="str">
        <f t="shared" si="33"/>
        <v>Alta</v>
      </c>
    </row>
    <row r="2121" spans="1:9">
      <c r="A2121" t="s">
        <v>241</v>
      </c>
      <c r="B2121">
        <v>2025</v>
      </c>
      <c r="C2121">
        <v>1</v>
      </c>
      <c r="D2121" t="s">
        <v>9</v>
      </c>
      <c r="E2121" t="s">
        <v>14</v>
      </c>
      <c r="F2121">
        <v>12.4</v>
      </c>
      <c r="G2121">
        <v>90.1</v>
      </c>
      <c r="H2121" t="s">
        <v>13</v>
      </c>
      <c r="I2121" t="str">
        <f t="shared" si="33"/>
        <v>Alta</v>
      </c>
    </row>
    <row r="2122" spans="1:9">
      <c r="A2122" t="s">
        <v>258</v>
      </c>
      <c r="B2122">
        <v>2025</v>
      </c>
      <c r="C2122">
        <v>1</v>
      </c>
      <c r="D2122" t="s">
        <v>9</v>
      </c>
      <c r="E2122" t="s">
        <v>12</v>
      </c>
      <c r="F2122">
        <v>12.4</v>
      </c>
      <c r="G2122">
        <v>62.2</v>
      </c>
      <c r="H2122" t="s">
        <v>13</v>
      </c>
      <c r="I2122" t="str">
        <f t="shared" si="33"/>
        <v>Média</v>
      </c>
    </row>
    <row r="2123" spans="1:9">
      <c r="A2123" t="s">
        <v>347</v>
      </c>
      <c r="B2123">
        <v>2025</v>
      </c>
      <c r="C2123">
        <v>1</v>
      </c>
      <c r="D2123" t="s">
        <v>139</v>
      </c>
      <c r="E2123" t="s">
        <v>140</v>
      </c>
      <c r="F2123">
        <v>12.4</v>
      </c>
      <c r="G2123">
        <v>87.4</v>
      </c>
      <c r="H2123" t="s">
        <v>13</v>
      </c>
      <c r="I2123" t="str">
        <f t="shared" si="33"/>
        <v>Alta</v>
      </c>
    </row>
    <row r="2124" spans="1:9">
      <c r="A2124" t="s">
        <v>356</v>
      </c>
      <c r="B2124">
        <v>2025</v>
      </c>
      <c r="C2124">
        <v>1</v>
      </c>
      <c r="D2124" t="s">
        <v>139</v>
      </c>
      <c r="E2124" t="s">
        <v>10</v>
      </c>
      <c r="F2124">
        <v>12.4</v>
      </c>
      <c r="G2124">
        <v>78.900000000000006</v>
      </c>
      <c r="H2124" t="s">
        <v>13</v>
      </c>
      <c r="I2124" t="str">
        <f t="shared" si="33"/>
        <v>Alta</v>
      </c>
    </row>
    <row r="2125" spans="1:9">
      <c r="A2125" t="s">
        <v>357</v>
      </c>
      <c r="B2125">
        <v>2025</v>
      </c>
      <c r="C2125">
        <v>1</v>
      </c>
      <c r="D2125" t="s">
        <v>139</v>
      </c>
      <c r="E2125" t="s">
        <v>10</v>
      </c>
      <c r="F2125">
        <v>12.4</v>
      </c>
      <c r="G2125">
        <v>86.7</v>
      </c>
      <c r="H2125" t="s">
        <v>13</v>
      </c>
      <c r="I2125" t="str">
        <f t="shared" si="33"/>
        <v>Alta</v>
      </c>
    </row>
    <row r="2126" spans="1:9">
      <c r="A2126" t="s">
        <v>207</v>
      </c>
      <c r="B2126">
        <v>2025</v>
      </c>
      <c r="C2126">
        <v>2</v>
      </c>
      <c r="D2126" t="s">
        <v>9</v>
      </c>
      <c r="E2126" t="s">
        <v>10</v>
      </c>
      <c r="F2126">
        <v>12.4</v>
      </c>
      <c r="G2126">
        <v>83.9</v>
      </c>
      <c r="H2126" t="s">
        <v>13</v>
      </c>
      <c r="I2126" t="str">
        <f t="shared" si="33"/>
        <v>Alta</v>
      </c>
    </row>
    <row r="2127" spans="1:9">
      <c r="A2127" t="s">
        <v>259</v>
      </c>
      <c r="B2127">
        <v>2025</v>
      </c>
      <c r="C2127">
        <v>2</v>
      </c>
      <c r="D2127" t="s">
        <v>9</v>
      </c>
      <c r="E2127" t="s">
        <v>12</v>
      </c>
      <c r="F2127">
        <v>12.4</v>
      </c>
      <c r="G2127">
        <v>81.599999999999994</v>
      </c>
      <c r="H2127" t="s">
        <v>13</v>
      </c>
      <c r="I2127" t="str">
        <f t="shared" si="33"/>
        <v>Alta</v>
      </c>
    </row>
    <row r="2128" spans="1:9">
      <c r="A2128" t="s">
        <v>287</v>
      </c>
      <c r="B2128">
        <v>2025</v>
      </c>
      <c r="C2128">
        <v>2</v>
      </c>
      <c r="D2128" t="s">
        <v>75</v>
      </c>
      <c r="E2128" t="s">
        <v>77</v>
      </c>
      <c r="F2128">
        <v>12.4</v>
      </c>
      <c r="G2128">
        <v>71.099999999999994</v>
      </c>
      <c r="H2128" t="s">
        <v>13</v>
      </c>
      <c r="I2128" t="str">
        <f t="shared" si="33"/>
        <v>Média</v>
      </c>
    </row>
    <row r="2129" spans="1:9">
      <c r="A2129" t="s">
        <v>315</v>
      </c>
      <c r="B2129">
        <v>2025</v>
      </c>
      <c r="C2129">
        <v>2</v>
      </c>
      <c r="D2129" t="s">
        <v>75</v>
      </c>
      <c r="E2129" t="s">
        <v>77</v>
      </c>
      <c r="F2129">
        <v>12.4</v>
      </c>
      <c r="G2129">
        <v>49.5</v>
      </c>
      <c r="H2129" t="s">
        <v>13</v>
      </c>
      <c r="I2129" t="str">
        <f t="shared" si="33"/>
        <v>Baixa</v>
      </c>
    </row>
    <row r="2130" spans="1:9">
      <c r="A2130" t="s">
        <v>398</v>
      </c>
      <c r="B2130">
        <v>2026</v>
      </c>
      <c r="C2130">
        <v>1</v>
      </c>
      <c r="D2130" t="s">
        <v>9</v>
      </c>
      <c r="E2130" t="s">
        <v>10</v>
      </c>
      <c r="F2130">
        <v>12.4</v>
      </c>
      <c r="G2130">
        <v>82.2</v>
      </c>
      <c r="H2130" t="s">
        <v>13</v>
      </c>
      <c r="I2130" t="str">
        <f t="shared" si="33"/>
        <v>Alta</v>
      </c>
    </row>
    <row r="2131" spans="1:9">
      <c r="A2131" t="s">
        <v>411</v>
      </c>
      <c r="B2131">
        <v>2026</v>
      </c>
      <c r="C2131">
        <v>1</v>
      </c>
      <c r="D2131" t="s">
        <v>9</v>
      </c>
      <c r="E2131" t="s">
        <v>12</v>
      </c>
      <c r="F2131">
        <v>12.4</v>
      </c>
      <c r="G2131">
        <v>54.8</v>
      </c>
      <c r="H2131" t="s">
        <v>13</v>
      </c>
      <c r="I2131" t="str">
        <f t="shared" si="33"/>
        <v>Média</v>
      </c>
    </row>
    <row r="2132" spans="1:9">
      <c r="A2132" t="s">
        <v>441</v>
      </c>
      <c r="B2132">
        <v>2026</v>
      </c>
      <c r="C2132">
        <v>1</v>
      </c>
      <c r="D2132" t="s">
        <v>75</v>
      </c>
      <c r="E2132" t="s">
        <v>76</v>
      </c>
      <c r="F2132">
        <v>12.4</v>
      </c>
      <c r="G2132">
        <v>84.2</v>
      </c>
      <c r="H2132" t="s">
        <v>13</v>
      </c>
      <c r="I2132" t="str">
        <f t="shared" si="33"/>
        <v>Alta</v>
      </c>
    </row>
    <row r="2133" spans="1:9">
      <c r="A2133" t="s">
        <v>482</v>
      </c>
      <c r="B2133">
        <v>2026</v>
      </c>
      <c r="C2133">
        <v>1</v>
      </c>
      <c r="D2133" t="s">
        <v>75</v>
      </c>
      <c r="E2133" t="s">
        <v>78</v>
      </c>
      <c r="F2133">
        <v>12.4</v>
      </c>
      <c r="G2133">
        <v>95.5</v>
      </c>
      <c r="H2133" t="s">
        <v>13</v>
      </c>
      <c r="I2133" t="str">
        <f t="shared" si="33"/>
        <v>Alta</v>
      </c>
    </row>
    <row r="2134" spans="1:9">
      <c r="A2134" t="s">
        <v>503</v>
      </c>
      <c r="B2134">
        <v>2026</v>
      </c>
      <c r="C2134">
        <v>1</v>
      </c>
      <c r="D2134" t="s">
        <v>139</v>
      </c>
      <c r="E2134" t="s">
        <v>140</v>
      </c>
      <c r="F2134">
        <v>12.4</v>
      </c>
      <c r="G2134">
        <v>57.7</v>
      </c>
      <c r="H2134" t="s">
        <v>13</v>
      </c>
      <c r="I2134" t="str">
        <f t="shared" si="33"/>
        <v>Média</v>
      </c>
    </row>
    <row r="2135" spans="1:9">
      <c r="A2135" t="s">
        <v>386</v>
      </c>
      <c r="B2135">
        <v>2026</v>
      </c>
      <c r="C2135">
        <v>2</v>
      </c>
      <c r="D2135" t="s">
        <v>9</v>
      </c>
      <c r="E2135" t="s">
        <v>10</v>
      </c>
      <c r="F2135">
        <v>12.4</v>
      </c>
      <c r="G2135">
        <v>92.1</v>
      </c>
      <c r="H2135" t="s">
        <v>13</v>
      </c>
      <c r="I2135" t="str">
        <f t="shared" si="33"/>
        <v>Alta</v>
      </c>
    </row>
    <row r="2136" spans="1:9">
      <c r="A2136" t="s">
        <v>402</v>
      </c>
      <c r="B2136">
        <v>2026</v>
      </c>
      <c r="C2136">
        <v>2</v>
      </c>
      <c r="D2136" t="s">
        <v>9</v>
      </c>
      <c r="E2136" t="s">
        <v>12</v>
      </c>
      <c r="F2136">
        <v>12.4</v>
      </c>
      <c r="G2136">
        <v>90.4</v>
      </c>
      <c r="H2136" t="s">
        <v>13</v>
      </c>
      <c r="I2136" t="str">
        <f t="shared" si="33"/>
        <v>Alta</v>
      </c>
    </row>
    <row r="2137" spans="1:9">
      <c r="A2137" t="s">
        <v>432</v>
      </c>
      <c r="B2137">
        <v>2026</v>
      </c>
      <c r="C2137">
        <v>2</v>
      </c>
      <c r="D2137" t="s">
        <v>9</v>
      </c>
      <c r="E2137" t="s">
        <v>12</v>
      </c>
      <c r="F2137">
        <v>12.4</v>
      </c>
      <c r="G2137">
        <v>57.7</v>
      </c>
      <c r="H2137" t="s">
        <v>13</v>
      </c>
      <c r="I2137" t="str">
        <f t="shared" si="33"/>
        <v>Média</v>
      </c>
    </row>
    <row r="2138" spans="1:9">
      <c r="A2138" t="s">
        <v>483</v>
      </c>
      <c r="B2138">
        <v>2026</v>
      </c>
      <c r="C2138">
        <v>2</v>
      </c>
      <c r="D2138" t="s">
        <v>75</v>
      </c>
      <c r="E2138" t="s">
        <v>77</v>
      </c>
      <c r="F2138">
        <v>12.4</v>
      </c>
      <c r="G2138">
        <v>62.7</v>
      </c>
      <c r="H2138" t="s">
        <v>13</v>
      </c>
      <c r="I2138" t="str">
        <f t="shared" si="33"/>
        <v>Média</v>
      </c>
    </row>
    <row r="2139" spans="1:9">
      <c r="A2139" t="s">
        <v>489</v>
      </c>
      <c r="B2139">
        <v>2026</v>
      </c>
      <c r="C2139">
        <v>2</v>
      </c>
      <c r="D2139" t="s">
        <v>75</v>
      </c>
      <c r="E2139" t="s">
        <v>77</v>
      </c>
      <c r="F2139">
        <v>12.4</v>
      </c>
      <c r="G2139">
        <v>84.3</v>
      </c>
      <c r="H2139" t="s">
        <v>13</v>
      </c>
      <c r="I2139" t="str">
        <f t="shared" si="33"/>
        <v>Alta</v>
      </c>
    </row>
    <row r="2140" spans="1:9">
      <c r="A2140" t="s">
        <v>495</v>
      </c>
      <c r="B2140">
        <v>2026</v>
      </c>
      <c r="C2140">
        <v>2</v>
      </c>
      <c r="D2140" t="s">
        <v>75</v>
      </c>
      <c r="E2140" t="s">
        <v>78</v>
      </c>
      <c r="F2140">
        <v>12.4</v>
      </c>
      <c r="G2140">
        <v>94.1</v>
      </c>
      <c r="H2140" t="s">
        <v>13</v>
      </c>
      <c r="I2140" t="str">
        <f t="shared" si="33"/>
        <v>Alta</v>
      </c>
    </row>
    <row r="2141" spans="1:9">
      <c r="A2141" t="s">
        <v>118</v>
      </c>
      <c r="B2141">
        <v>2024</v>
      </c>
      <c r="C2141">
        <v>1</v>
      </c>
      <c r="D2141" t="s">
        <v>75</v>
      </c>
      <c r="E2141" t="s">
        <v>77</v>
      </c>
      <c r="F2141">
        <v>12.5</v>
      </c>
      <c r="G2141">
        <v>97</v>
      </c>
      <c r="H2141" t="s">
        <v>13</v>
      </c>
      <c r="I2141" t="str">
        <f t="shared" si="33"/>
        <v>Alta</v>
      </c>
    </row>
    <row r="2142" spans="1:9">
      <c r="A2142" t="s">
        <v>147</v>
      </c>
      <c r="B2142">
        <v>2024</v>
      </c>
      <c r="C2142">
        <v>1</v>
      </c>
      <c r="D2142" t="s">
        <v>139</v>
      </c>
      <c r="E2142" t="s">
        <v>10</v>
      </c>
      <c r="F2142">
        <v>12.5</v>
      </c>
      <c r="G2142">
        <v>82.1</v>
      </c>
      <c r="H2142" t="s">
        <v>13</v>
      </c>
      <c r="I2142" t="str">
        <f t="shared" si="33"/>
        <v>Alta</v>
      </c>
    </row>
    <row r="2143" spans="1:9">
      <c r="A2143" t="s">
        <v>151</v>
      </c>
      <c r="B2143">
        <v>2024</v>
      </c>
      <c r="C2143">
        <v>1</v>
      </c>
      <c r="D2143" t="s">
        <v>139</v>
      </c>
      <c r="E2143" t="s">
        <v>10</v>
      </c>
      <c r="F2143">
        <v>12.5</v>
      </c>
      <c r="G2143">
        <v>89.4</v>
      </c>
      <c r="H2143" t="s">
        <v>13</v>
      </c>
      <c r="I2143" t="str">
        <f t="shared" si="33"/>
        <v>Alta</v>
      </c>
    </row>
    <row r="2144" spans="1:9">
      <c r="A2144" t="s">
        <v>21</v>
      </c>
      <c r="B2144">
        <v>2024</v>
      </c>
      <c r="C2144">
        <v>2</v>
      </c>
      <c r="D2144" t="s">
        <v>9</v>
      </c>
      <c r="E2144" t="s">
        <v>12</v>
      </c>
      <c r="F2144">
        <v>12.5</v>
      </c>
      <c r="G2144">
        <v>79.599999999999994</v>
      </c>
      <c r="H2144" t="s">
        <v>13</v>
      </c>
      <c r="I2144" t="str">
        <f t="shared" si="33"/>
        <v>Alta</v>
      </c>
    </row>
    <row r="2145" spans="1:9">
      <c r="A2145" t="s">
        <v>44</v>
      </c>
      <c r="B2145">
        <v>2024</v>
      </c>
      <c r="C2145">
        <v>2</v>
      </c>
      <c r="D2145" t="s">
        <v>9</v>
      </c>
      <c r="E2145" t="s">
        <v>10</v>
      </c>
      <c r="F2145">
        <v>12.5</v>
      </c>
      <c r="G2145">
        <v>49.3</v>
      </c>
      <c r="H2145" t="s">
        <v>13</v>
      </c>
      <c r="I2145" t="str">
        <f t="shared" si="33"/>
        <v>Baixa</v>
      </c>
    </row>
    <row r="2146" spans="1:9">
      <c r="A2146" t="s">
        <v>68</v>
      </c>
      <c r="B2146">
        <v>2024</v>
      </c>
      <c r="C2146">
        <v>2</v>
      </c>
      <c r="D2146" t="s">
        <v>9</v>
      </c>
      <c r="E2146" t="s">
        <v>12</v>
      </c>
      <c r="F2146">
        <v>12.5</v>
      </c>
      <c r="G2146">
        <v>93.2</v>
      </c>
      <c r="H2146" t="s">
        <v>13</v>
      </c>
      <c r="I2146" t="str">
        <f t="shared" si="33"/>
        <v>Alta</v>
      </c>
    </row>
    <row r="2147" spans="1:9">
      <c r="A2147" t="s">
        <v>111</v>
      </c>
      <c r="B2147">
        <v>2024</v>
      </c>
      <c r="C2147">
        <v>2</v>
      </c>
      <c r="D2147" t="s">
        <v>75</v>
      </c>
      <c r="E2147" t="s">
        <v>78</v>
      </c>
      <c r="F2147">
        <v>12.5</v>
      </c>
      <c r="G2147">
        <v>59.1</v>
      </c>
      <c r="H2147" t="s">
        <v>13</v>
      </c>
      <c r="I2147" t="str">
        <f t="shared" si="33"/>
        <v>Média</v>
      </c>
    </row>
    <row r="2148" spans="1:9">
      <c r="A2148" t="s">
        <v>159</v>
      </c>
      <c r="B2148">
        <v>2024</v>
      </c>
      <c r="C2148">
        <v>2</v>
      </c>
      <c r="D2148" t="s">
        <v>139</v>
      </c>
      <c r="E2148" t="s">
        <v>141</v>
      </c>
      <c r="F2148">
        <v>12.5</v>
      </c>
      <c r="G2148">
        <v>76.599999999999994</v>
      </c>
      <c r="H2148" t="s">
        <v>13</v>
      </c>
      <c r="I2148" t="str">
        <f t="shared" si="33"/>
        <v>Alta</v>
      </c>
    </row>
    <row r="2149" spans="1:9">
      <c r="A2149" t="s">
        <v>168</v>
      </c>
      <c r="B2149">
        <v>2024</v>
      </c>
      <c r="C2149">
        <v>2</v>
      </c>
      <c r="D2149" t="s">
        <v>139</v>
      </c>
      <c r="E2149" t="s">
        <v>10</v>
      </c>
      <c r="F2149">
        <v>12.5</v>
      </c>
      <c r="G2149">
        <v>58.7</v>
      </c>
      <c r="H2149" t="s">
        <v>13</v>
      </c>
      <c r="I2149" t="str">
        <f t="shared" si="33"/>
        <v>Média</v>
      </c>
    </row>
    <row r="2150" spans="1:9">
      <c r="A2150" t="s">
        <v>346</v>
      </c>
      <c r="B2150">
        <v>2025</v>
      </c>
      <c r="C2150">
        <v>1</v>
      </c>
      <c r="D2150" t="s">
        <v>139</v>
      </c>
      <c r="E2150" t="s">
        <v>141</v>
      </c>
      <c r="F2150">
        <v>12.5</v>
      </c>
      <c r="G2150">
        <v>83.3</v>
      </c>
      <c r="H2150" t="s">
        <v>13</v>
      </c>
      <c r="I2150" t="str">
        <f t="shared" si="33"/>
        <v>Alta</v>
      </c>
    </row>
    <row r="2151" spans="1:9">
      <c r="A2151" t="s">
        <v>204</v>
      </c>
      <c r="B2151">
        <v>2025</v>
      </c>
      <c r="C2151">
        <v>2</v>
      </c>
      <c r="D2151" t="s">
        <v>9</v>
      </c>
      <c r="E2151" t="s">
        <v>12</v>
      </c>
      <c r="F2151">
        <v>12.5</v>
      </c>
      <c r="G2151">
        <v>68.2</v>
      </c>
      <c r="H2151" t="s">
        <v>13</v>
      </c>
      <c r="I2151" t="str">
        <f t="shared" si="33"/>
        <v>Média</v>
      </c>
    </row>
    <row r="2152" spans="1:9">
      <c r="A2152" t="s">
        <v>244</v>
      </c>
      <c r="B2152">
        <v>2025</v>
      </c>
      <c r="C2152">
        <v>2</v>
      </c>
      <c r="D2152" t="s">
        <v>9</v>
      </c>
      <c r="E2152" t="s">
        <v>10</v>
      </c>
      <c r="F2152">
        <v>12.5</v>
      </c>
      <c r="G2152">
        <v>52.4</v>
      </c>
      <c r="H2152" t="s">
        <v>13</v>
      </c>
      <c r="I2152" t="str">
        <f t="shared" si="33"/>
        <v>Média</v>
      </c>
    </row>
    <row r="2153" spans="1:9">
      <c r="A2153" t="s">
        <v>252</v>
      </c>
      <c r="B2153">
        <v>2025</v>
      </c>
      <c r="C2153">
        <v>2</v>
      </c>
      <c r="D2153" t="s">
        <v>9</v>
      </c>
      <c r="E2153" t="s">
        <v>14</v>
      </c>
      <c r="F2153">
        <v>12.5</v>
      </c>
      <c r="G2153">
        <v>97.4</v>
      </c>
      <c r="H2153" t="s">
        <v>13</v>
      </c>
      <c r="I2153" t="str">
        <f t="shared" si="33"/>
        <v>Alta</v>
      </c>
    </row>
    <row r="2154" spans="1:9">
      <c r="A2154" t="s">
        <v>259</v>
      </c>
      <c r="B2154">
        <v>2025</v>
      </c>
      <c r="C2154">
        <v>2</v>
      </c>
      <c r="D2154" t="s">
        <v>9</v>
      </c>
      <c r="E2154" t="s">
        <v>14</v>
      </c>
      <c r="F2154">
        <v>12.5</v>
      </c>
      <c r="G2154">
        <v>79.599999999999994</v>
      </c>
      <c r="H2154" t="s">
        <v>13</v>
      </c>
      <c r="I2154" t="str">
        <f t="shared" si="33"/>
        <v>Alta</v>
      </c>
    </row>
    <row r="2155" spans="1:9">
      <c r="A2155" t="s">
        <v>283</v>
      </c>
      <c r="B2155">
        <v>2025</v>
      </c>
      <c r="C2155">
        <v>2</v>
      </c>
      <c r="D2155" t="s">
        <v>75</v>
      </c>
      <c r="E2155" t="s">
        <v>77</v>
      </c>
      <c r="F2155">
        <v>12.5</v>
      </c>
      <c r="G2155">
        <v>93.7</v>
      </c>
      <c r="H2155" t="s">
        <v>13</v>
      </c>
      <c r="I2155" t="str">
        <f t="shared" si="33"/>
        <v>Alta</v>
      </c>
    </row>
    <row r="2156" spans="1:9">
      <c r="A2156" t="s">
        <v>303</v>
      </c>
      <c r="B2156">
        <v>2025</v>
      </c>
      <c r="C2156">
        <v>2</v>
      </c>
      <c r="D2156" t="s">
        <v>75</v>
      </c>
      <c r="E2156" t="s">
        <v>78</v>
      </c>
      <c r="F2156">
        <v>12.5</v>
      </c>
      <c r="G2156">
        <v>84.8</v>
      </c>
      <c r="H2156" t="s">
        <v>13</v>
      </c>
      <c r="I2156" t="str">
        <f t="shared" si="33"/>
        <v>Alta</v>
      </c>
    </row>
    <row r="2157" spans="1:9">
      <c r="A2157" t="s">
        <v>396</v>
      </c>
      <c r="B2157">
        <v>2026</v>
      </c>
      <c r="C2157">
        <v>1</v>
      </c>
      <c r="D2157" t="s">
        <v>9</v>
      </c>
      <c r="E2157" t="s">
        <v>12</v>
      </c>
      <c r="F2157">
        <v>12.5</v>
      </c>
      <c r="G2157">
        <v>88.9</v>
      </c>
      <c r="H2157" t="s">
        <v>13</v>
      </c>
      <c r="I2157" t="str">
        <f t="shared" si="33"/>
        <v>Alta</v>
      </c>
    </row>
    <row r="2158" spans="1:9">
      <c r="A2158" t="s">
        <v>415</v>
      </c>
      <c r="B2158">
        <v>2026</v>
      </c>
      <c r="C2158">
        <v>1</v>
      </c>
      <c r="D2158" t="s">
        <v>9</v>
      </c>
      <c r="E2158" t="s">
        <v>14</v>
      </c>
      <c r="F2158">
        <v>12.5</v>
      </c>
      <c r="G2158">
        <v>85.7</v>
      </c>
      <c r="H2158" t="s">
        <v>13</v>
      </c>
      <c r="I2158" t="str">
        <f t="shared" si="33"/>
        <v>Alta</v>
      </c>
    </row>
    <row r="2159" spans="1:9">
      <c r="A2159" t="s">
        <v>452</v>
      </c>
      <c r="B2159">
        <v>2026</v>
      </c>
      <c r="C2159">
        <v>1</v>
      </c>
      <c r="D2159" t="s">
        <v>75</v>
      </c>
      <c r="E2159" t="s">
        <v>78</v>
      </c>
      <c r="F2159">
        <v>12.5</v>
      </c>
      <c r="G2159">
        <v>81.900000000000006</v>
      </c>
      <c r="H2159" t="s">
        <v>13</v>
      </c>
      <c r="I2159" t="str">
        <f t="shared" si="33"/>
        <v>Alta</v>
      </c>
    </row>
    <row r="2160" spans="1:9">
      <c r="A2160" t="s">
        <v>459</v>
      </c>
      <c r="B2160">
        <v>2026</v>
      </c>
      <c r="C2160">
        <v>1</v>
      </c>
      <c r="D2160" t="s">
        <v>75</v>
      </c>
      <c r="E2160" t="s">
        <v>77</v>
      </c>
      <c r="F2160">
        <v>12.5</v>
      </c>
      <c r="G2160">
        <v>97.7</v>
      </c>
      <c r="H2160" t="s">
        <v>13</v>
      </c>
      <c r="I2160" t="str">
        <f t="shared" si="33"/>
        <v>Alta</v>
      </c>
    </row>
    <row r="2161" spans="1:9">
      <c r="A2161" t="s">
        <v>537</v>
      </c>
      <c r="B2161">
        <v>2026</v>
      </c>
      <c r="C2161">
        <v>1</v>
      </c>
      <c r="D2161" t="s">
        <v>139</v>
      </c>
      <c r="E2161" t="s">
        <v>140</v>
      </c>
      <c r="F2161">
        <v>12.5</v>
      </c>
      <c r="G2161">
        <v>92</v>
      </c>
      <c r="H2161" t="s">
        <v>13</v>
      </c>
      <c r="I2161" t="str">
        <f t="shared" si="33"/>
        <v>Alta</v>
      </c>
    </row>
    <row r="2162" spans="1:9">
      <c r="A2162" t="s">
        <v>549</v>
      </c>
      <c r="B2162">
        <v>2026</v>
      </c>
      <c r="C2162">
        <v>1</v>
      </c>
      <c r="D2162" t="s">
        <v>139</v>
      </c>
      <c r="E2162" t="s">
        <v>141</v>
      </c>
      <c r="F2162">
        <v>12.5</v>
      </c>
      <c r="G2162">
        <v>55.8</v>
      </c>
      <c r="H2162" t="s">
        <v>13</v>
      </c>
      <c r="I2162" t="str">
        <f t="shared" si="33"/>
        <v>Média</v>
      </c>
    </row>
    <row r="2163" spans="1:9">
      <c r="A2163" t="s">
        <v>441</v>
      </c>
      <c r="B2163">
        <v>2026</v>
      </c>
      <c r="C2163">
        <v>2</v>
      </c>
      <c r="D2163" t="s">
        <v>75</v>
      </c>
      <c r="E2163" t="s">
        <v>77</v>
      </c>
      <c r="F2163">
        <v>12.5</v>
      </c>
      <c r="G2163">
        <v>88.3</v>
      </c>
      <c r="H2163" t="s">
        <v>13</v>
      </c>
      <c r="I2163" t="str">
        <f t="shared" si="33"/>
        <v>Alta</v>
      </c>
    </row>
    <row r="2164" spans="1:9">
      <c r="A2164" t="s">
        <v>458</v>
      </c>
      <c r="B2164">
        <v>2026</v>
      </c>
      <c r="C2164">
        <v>2</v>
      </c>
      <c r="D2164" t="s">
        <v>75</v>
      </c>
      <c r="E2164" t="s">
        <v>77</v>
      </c>
      <c r="F2164">
        <v>12.5</v>
      </c>
      <c r="G2164">
        <v>69.2</v>
      </c>
      <c r="H2164" t="s">
        <v>13</v>
      </c>
      <c r="I2164" t="str">
        <f t="shared" si="33"/>
        <v>Média</v>
      </c>
    </row>
    <row r="2165" spans="1:9">
      <c r="A2165" t="s">
        <v>465</v>
      </c>
      <c r="B2165">
        <v>2026</v>
      </c>
      <c r="C2165">
        <v>2</v>
      </c>
      <c r="D2165" t="s">
        <v>75</v>
      </c>
      <c r="E2165" t="s">
        <v>78</v>
      </c>
      <c r="F2165">
        <v>12.5</v>
      </c>
      <c r="G2165">
        <v>86.9</v>
      </c>
      <c r="H2165" t="s">
        <v>13</v>
      </c>
      <c r="I2165" t="str">
        <f t="shared" si="33"/>
        <v>Alta</v>
      </c>
    </row>
    <row r="2166" spans="1:9">
      <c r="A2166" t="s">
        <v>529</v>
      </c>
      <c r="B2166">
        <v>2026</v>
      </c>
      <c r="C2166">
        <v>2</v>
      </c>
      <c r="D2166" t="s">
        <v>139</v>
      </c>
      <c r="E2166" t="s">
        <v>140</v>
      </c>
      <c r="F2166">
        <v>12.5</v>
      </c>
      <c r="G2166">
        <v>80.5</v>
      </c>
      <c r="H2166" t="s">
        <v>13</v>
      </c>
      <c r="I2166" t="str">
        <f t="shared" si="33"/>
        <v>Alta</v>
      </c>
    </row>
    <row r="2167" spans="1:9">
      <c r="A2167" t="s">
        <v>551</v>
      </c>
      <c r="B2167">
        <v>2026</v>
      </c>
      <c r="C2167">
        <v>2</v>
      </c>
      <c r="D2167" t="s">
        <v>139</v>
      </c>
      <c r="E2167" t="s">
        <v>140</v>
      </c>
      <c r="F2167">
        <v>12.5</v>
      </c>
      <c r="G2167">
        <v>97.4</v>
      </c>
      <c r="H2167" t="s">
        <v>13</v>
      </c>
      <c r="I2167" t="str">
        <f t="shared" si="33"/>
        <v>Alta</v>
      </c>
    </row>
    <row r="2168" spans="1:9">
      <c r="A2168" t="s">
        <v>558</v>
      </c>
      <c r="B2168">
        <v>2026</v>
      </c>
      <c r="C2168">
        <v>2</v>
      </c>
      <c r="D2168" t="s">
        <v>139</v>
      </c>
      <c r="E2168" t="s">
        <v>140</v>
      </c>
      <c r="F2168">
        <v>12.5</v>
      </c>
      <c r="G2168">
        <v>80.900000000000006</v>
      </c>
      <c r="H2168" t="s">
        <v>13</v>
      </c>
      <c r="I2168" t="str">
        <f t="shared" si="33"/>
        <v>Alta</v>
      </c>
    </row>
    <row r="2169" spans="1:9">
      <c r="A2169" t="s">
        <v>18</v>
      </c>
      <c r="B2169">
        <v>2024</v>
      </c>
      <c r="C2169">
        <v>1</v>
      </c>
      <c r="D2169" t="s">
        <v>9</v>
      </c>
      <c r="E2169" t="s">
        <v>12</v>
      </c>
      <c r="F2169">
        <v>12.6</v>
      </c>
      <c r="G2169">
        <v>57.1</v>
      </c>
      <c r="H2169" t="s">
        <v>13</v>
      </c>
      <c r="I2169" t="str">
        <f t="shared" si="33"/>
        <v>Média</v>
      </c>
    </row>
    <row r="2170" spans="1:9">
      <c r="A2170" t="s">
        <v>30</v>
      </c>
      <c r="B2170">
        <v>2024</v>
      </c>
      <c r="C2170">
        <v>1</v>
      </c>
      <c r="D2170" t="s">
        <v>9</v>
      </c>
      <c r="E2170" t="s">
        <v>10</v>
      </c>
      <c r="F2170">
        <v>12.6</v>
      </c>
      <c r="G2170">
        <v>79.2</v>
      </c>
      <c r="H2170" t="s">
        <v>13</v>
      </c>
      <c r="I2170" t="str">
        <f t="shared" si="33"/>
        <v>Alta</v>
      </c>
    </row>
    <row r="2171" spans="1:9">
      <c r="A2171" t="s">
        <v>59</v>
      </c>
      <c r="B2171">
        <v>2024</v>
      </c>
      <c r="C2171">
        <v>1</v>
      </c>
      <c r="D2171" t="s">
        <v>9</v>
      </c>
      <c r="E2171" t="s">
        <v>10</v>
      </c>
      <c r="F2171">
        <v>12.6</v>
      </c>
      <c r="G2171">
        <v>64.8</v>
      </c>
      <c r="H2171" t="s">
        <v>13</v>
      </c>
      <c r="I2171" t="str">
        <f t="shared" si="33"/>
        <v>Média</v>
      </c>
    </row>
    <row r="2172" spans="1:9">
      <c r="A2172" t="s">
        <v>71</v>
      </c>
      <c r="B2172">
        <v>2024</v>
      </c>
      <c r="C2172">
        <v>1</v>
      </c>
      <c r="D2172" t="s">
        <v>9</v>
      </c>
      <c r="E2172" t="s">
        <v>10</v>
      </c>
      <c r="F2172">
        <v>12.6</v>
      </c>
      <c r="G2172">
        <v>64.2</v>
      </c>
      <c r="H2172" t="s">
        <v>13</v>
      </c>
      <c r="I2172" t="str">
        <f t="shared" si="33"/>
        <v>Média</v>
      </c>
    </row>
    <row r="2173" spans="1:9">
      <c r="A2173" t="s">
        <v>81</v>
      </c>
      <c r="B2173">
        <v>2024</v>
      </c>
      <c r="C2173">
        <v>1</v>
      </c>
      <c r="D2173" t="s">
        <v>75</v>
      </c>
      <c r="E2173" t="s">
        <v>77</v>
      </c>
      <c r="F2173">
        <v>12.6</v>
      </c>
      <c r="G2173">
        <v>98.2</v>
      </c>
      <c r="H2173" t="s">
        <v>13</v>
      </c>
      <c r="I2173" t="str">
        <f t="shared" si="33"/>
        <v>Alta</v>
      </c>
    </row>
    <row r="2174" spans="1:9">
      <c r="A2174" t="s">
        <v>97</v>
      </c>
      <c r="B2174">
        <v>2024</v>
      </c>
      <c r="C2174">
        <v>1</v>
      </c>
      <c r="D2174" t="s">
        <v>75</v>
      </c>
      <c r="E2174" t="s">
        <v>78</v>
      </c>
      <c r="F2174">
        <v>12.6</v>
      </c>
      <c r="G2174">
        <v>82.9</v>
      </c>
      <c r="H2174" t="s">
        <v>13</v>
      </c>
      <c r="I2174" t="str">
        <f t="shared" si="33"/>
        <v>Alta</v>
      </c>
    </row>
    <row r="2175" spans="1:9">
      <c r="A2175" t="s">
        <v>115</v>
      </c>
      <c r="B2175">
        <v>2024</v>
      </c>
      <c r="C2175">
        <v>1</v>
      </c>
      <c r="D2175" t="s">
        <v>75</v>
      </c>
      <c r="E2175" t="s">
        <v>76</v>
      </c>
      <c r="F2175">
        <v>12.6</v>
      </c>
      <c r="G2175">
        <v>56.6</v>
      </c>
      <c r="H2175" t="s">
        <v>13</v>
      </c>
      <c r="I2175" t="str">
        <f t="shared" si="33"/>
        <v>Média</v>
      </c>
    </row>
    <row r="2176" spans="1:9">
      <c r="A2176" t="s">
        <v>124</v>
      </c>
      <c r="B2176">
        <v>2024</v>
      </c>
      <c r="C2176">
        <v>1</v>
      </c>
      <c r="D2176" t="s">
        <v>75</v>
      </c>
      <c r="E2176" t="s">
        <v>77</v>
      </c>
      <c r="F2176">
        <v>12.6</v>
      </c>
      <c r="G2176">
        <v>52.9</v>
      </c>
      <c r="H2176" t="s">
        <v>13</v>
      </c>
      <c r="I2176" t="str">
        <f t="shared" si="33"/>
        <v>Média</v>
      </c>
    </row>
    <row r="2177" spans="1:9">
      <c r="A2177" t="s">
        <v>138</v>
      </c>
      <c r="B2177">
        <v>2024</v>
      </c>
      <c r="C2177">
        <v>1</v>
      </c>
      <c r="D2177" t="s">
        <v>139</v>
      </c>
      <c r="E2177" t="s">
        <v>10</v>
      </c>
      <c r="F2177">
        <v>12.6</v>
      </c>
      <c r="G2177">
        <v>80</v>
      </c>
      <c r="H2177" t="s">
        <v>13</v>
      </c>
      <c r="I2177" t="str">
        <f t="shared" si="33"/>
        <v>Alta</v>
      </c>
    </row>
    <row r="2178" spans="1:9">
      <c r="A2178" t="s">
        <v>182</v>
      </c>
      <c r="B2178">
        <v>2024</v>
      </c>
      <c r="C2178">
        <v>1</v>
      </c>
      <c r="D2178" t="s">
        <v>139</v>
      </c>
      <c r="E2178" t="s">
        <v>140</v>
      </c>
      <c r="F2178">
        <v>12.6</v>
      </c>
      <c r="G2178">
        <v>87.2</v>
      </c>
      <c r="H2178" t="s">
        <v>13</v>
      </c>
      <c r="I2178" t="str">
        <f t="shared" ref="I2178:I2241" si="34">IF(G2178&lt;50,"Baixa",IF(G2178&lt;75,"Média","Alta"))</f>
        <v>Alta</v>
      </c>
    </row>
    <row r="2179" spans="1:9">
      <c r="A2179" t="s">
        <v>26</v>
      </c>
      <c r="B2179">
        <v>2024</v>
      </c>
      <c r="C2179">
        <v>2</v>
      </c>
      <c r="D2179" t="s">
        <v>9</v>
      </c>
      <c r="E2179" t="s">
        <v>14</v>
      </c>
      <c r="F2179">
        <v>12.6</v>
      </c>
      <c r="G2179">
        <v>75.400000000000006</v>
      </c>
      <c r="H2179" t="s">
        <v>13</v>
      </c>
      <c r="I2179" t="str">
        <f t="shared" si="34"/>
        <v>Alta</v>
      </c>
    </row>
    <row r="2180" spans="1:9">
      <c r="A2180" t="s">
        <v>50</v>
      </c>
      <c r="B2180">
        <v>2024</v>
      </c>
      <c r="C2180">
        <v>2</v>
      </c>
      <c r="D2180" t="s">
        <v>9</v>
      </c>
      <c r="E2180" t="s">
        <v>12</v>
      </c>
      <c r="F2180">
        <v>12.6</v>
      </c>
      <c r="G2180">
        <v>99.3</v>
      </c>
      <c r="H2180" t="s">
        <v>13</v>
      </c>
      <c r="I2180" t="str">
        <f t="shared" si="34"/>
        <v>Alta</v>
      </c>
    </row>
    <row r="2181" spans="1:9">
      <c r="A2181" t="s">
        <v>214</v>
      </c>
      <c r="B2181">
        <v>2025</v>
      </c>
      <c r="C2181">
        <v>1</v>
      </c>
      <c r="D2181" t="s">
        <v>9</v>
      </c>
      <c r="E2181" t="s">
        <v>12</v>
      </c>
      <c r="F2181">
        <v>12.6</v>
      </c>
      <c r="G2181">
        <v>64.900000000000006</v>
      </c>
      <c r="H2181" t="s">
        <v>13</v>
      </c>
      <c r="I2181" t="str">
        <f t="shared" si="34"/>
        <v>Média</v>
      </c>
    </row>
    <row r="2182" spans="1:9">
      <c r="A2182" t="s">
        <v>218</v>
      </c>
      <c r="B2182">
        <v>2025</v>
      </c>
      <c r="C2182">
        <v>1</v>
      </c>
      <c r="D2182" t="s">
        <v>9</v>
      </c>
      <c r="E2182" t="s">
        <v>14</v>
      </c>
      <c r="F2182">
        <v>12.6</v>
      </c>
      <c r="G2182">
        <v>71.2</v>
      </c>
      <c r="H2182" t="s">
        <v>13</v>
      </c>
      <c r="I2182" t="str">
        <f t="shared" si="34"/>
        <v>Média</v>
      </c>
    </row>
    <row r="2183" spans="1:9">
      <c r="A2183" t="s">
        <v>235</v>
      </c>
      <c r="B2183">
        <v>2025</v>
      </c>
      <c r="C2183">
        <v>1</v>
      </c>
      <c r="D2183" t="s">
        <v>9</v>
      </c>
      <c r="E2183" t="s">
        <v>10</v>
      </c>
      <c r="F2183">
        <v>12.6</v>
      </c>
      <c r="G2183">
        <v>75.400000000000006</v>
      </c>
      <c r="H2183" t="s">
        <v>13</v>
      </c>
      <c r="I2183" t="str">
        <f t="shared" si="34"/>
        <v>Alta</v>
      </c>
    </row>
    <row r="2184" spans="1:9">
      <c r="A2184" t="s">
        <v>253</v>
      </c>
      <c r="B2184">
        <v>2025</v>
      </c>
      <c r="C2184">
        <v>1</v>
      </c>
      <c r="D2184" t="s">
        <v>9</v>
      </c>
      <c r="E2184" t="s">
        <v>10</v>
      </c>
      <c r="F2184">
        <v>12.6</v>
      </c>
      <c r="G2184">
        <v>96</v>
      </c>
      <c r="H2184" t="s">
        <v>13</v>
      </c>
      <c r="I2184" t="str">
        <f t="shared" si="34"/>
        <v>Alta</v>
      </c>
    </row>
    <row r="2185" spans="1:9">
      <c r="A2185" t="s">
        <v>320</v>
      </c>
      <c r="B2185">
        <v>2025</v>
      </c>
      <c r="C2185">
        <v>1</v>
      </c>
      <c r="D2185" t="s">
        <v>75</v>
      </c>
      <c r="E2185" t="s">
        <v>78</v>
      </c>
      <c r="F2185">
        <v>12.6</v>
      </c>
      <c r="G2185">
        <v>65.400000000000006</v>
      </c>
      <c r="H2185" t="s">
        <v>13</v>
      </c>
      <c r="I2185" t="str">
        <f t="shared" si="34"/>
        <v>Média</v>
      </c>
    </row>
    <row r="2186" spans="1:9">
      <c r="A2186" t="s">
        <v>359</v>
      </c>
      <c r="B2186">
        <v>2025</v>
      </c>
      <c r="C2186">
        <v>1</v>
      </c>
      <c r="D2186" t="s">
        <v>139</v>
      </c>
      <c r="E2186" t="s">
        <v>10</v>
      </c>
      <c r="F2186">
        <v>12.6</v>
      </c>
      <c r="G2186">
        <v>75.3</v>
      </c>
      <c r="H2186" t="s">
        <v>13</v>
      </c>
      <c r="I2186" t="str">
        <f t="shared" si="34"/>
        <v>Alta</v>
      </c>
    </row>
    <row r="2187" spans="1:9">
      <c r="A2187" t="s">
        <v>360</v>
      </c>
      <c r="B2187">
        <v>2025</v>
      </c>
      <c r="C2187">
        <v>1</v>
      </c>
      <c r="D2187" t="s">
        <v>139</v>
      </c>
      <c r="E2187" t="s">
        <v>10</v>
      </c>
      <c r="F2187">
        <v>12.6</v>
      </c>
      <c r="G2187">
        <v>83.5</v>
      </c>
      <c r="H2187" t="s">
        <v>13</v>
      </c>
      <c r="I2187" t="str">
        <f t="shared" si="34"/>
        <v>Alta</v>
      </c>
    </row>
    <row r="2188" spans="1:9">
      <c r="A2188" t="s">
        <v>321</v>
      </c>
      <c r="B2188">
        <v>2025</v>
      </c>
      <c r="C2188">
        <v>2</v>
      </c>
      <c r="D2188" t="s">
        <v>139</v>
      </c>
      <c r="E2188" t="s">
        <v>10</v>
      </c>
      <c r="F2188">
        <v>12.6</v>
      </c>
      <c r="G2188">
        <v>55.2</v>
      </c>
      <c r="H2188" t="s">
        <v>13</v>
      </c>
      <c r="I2188" t="str">
        <f t="shared" si="34"/>
        <v>Média</v>
      </c>
    </row>
    <row r="2189" spans="1:9">
      <c r="A2189" t="s">
        <v>329</v>
      </c>
      <c r="B2189">
        <v>2025</v>
      </c>
      <c r="C2189">
        <v>2</v>
      </c>
      <c r="D2189" t="s">
        <v>139</v>
      </c>
      <c r="E2189" t="s">
        <v>140</v>
      </c>
      <c r="F2189">
        <v>12.6</v>
      </c>
      <c r="G2189">
        <v>68.3</v>
      </c>
      <c r="H2189" t="s">
        <v>13</v>
      </c>
      <c r="I2189" t="str">
        <f t="shared" si="34"/>
        <v>Média</v>
      </c>
    </row>
    <row r="2190" spans="1:9">
      <c r="A2190" t="s">
        <v>350</v>
      </c>
      <c r="B2190">
        <v>2025</v>
      </c>
      <c r="C2190">
        <v>2</v>
      </c>
      <c r="D2190" t="s">
        <v>139</v>
      </c>
      <c r="E2190" t="s">
        <v>10</v>
      </c>
      <c r="F2190">
        <v>12.6</v>
      </c>
      <c r="G2190">
        <v>46.1</v>
      </c>
      <c r="H2190" t="s">
        <v>13</v>
      </c>
      <c r="I2190" t="str">
        <f t="shared" si="34"/>
        <v>Baixa</v>
      </c>
    </row>
    <row r="2191" spans="1:9">
      <c r="A2191" t="s">
        <v>404</v>
      </c>
      <c r="B2191">
        <v>2026</v>
      </c>
      <c r="C2191">
        <v>1</v>
      </c>
      <c r="D2191" t="s">
        <v>9</v>
      </c>
      <c r="E2191" t="s">
        <v>14</v>
      </c>
      <c r="F2191">
        <v>12.6</v>
      </c>
      <c r="G2191">
        <v>74.900000000000006</v>
      </c>
      <c r="H2191" t="s">
        <v>13</v>
      </c>
      <c r="I2191" t="str">
        <f t="shared" si="34"/>
        <v>Média</v>
      </c>
    </row>
    <row r="2192" spans="1:9">
      <c r="A2192" t="s">
        <v>471</v>
      </c>
      <c r="B2192">
        <v>2026</v>
      </c>
      <c r="C2192">
        <v>1</v>
      </c>
      <c r="D2192" t="s">
        <v>75</v>
      </c>
      <c r="E2192" t="s">
        <v>78</v>
      </c>
      <c r="F2192">
        <v>12.6</v>
      </c>
      <c r="G2192">
        <v>86.4</v>
      </c>
      <c r="H2192" t="s">
        <v>13</v>
      </c>
      <c r="I2192" t="str">
        <f t="shared" si="34"/>
        <v>Alta</v>
      </c>
    </row>
    <row r="2193" spans="1:9">
      <c r="A2193" t="s">
        <v>491</v>
      </c>
      <c r="B2193">
        <v>2026</v>
      </c>
      <c r="C2193">
        <v>1</v>
      </c>
      <c r="D2193" t="s">
        <v>75</v>
      </c>
      <c r="E2193" t="s">
        <v>77</v>
      </c>
      <c r="F2193">
        <v>12.6</v>
      </c>
      <c r="G2193">
        <v>81.400000000000006</v>
      </c>
      <c r="H2193" t="s">
        <v>13</v>
      </c>
      <c r="I2193" t="str">
        <f t="shared" si="34"/>
        <v>Alta</v>
      </c>
    </row>
    <row r="2194" spans="1:9">
      <c r="A2194" t="s">
        <v>492</v>
      </c>
      <c r="B2194">
        <v>2026</v>
      </c>
      <c r="C2194">
        <v>1</v>
      </c>
      <c r="D2194" t="s">
        <v>75</v>
      </c>
      <c r="E2194" t="s">
        <v>78</v>
      </c>
      <c r="F2194">
        <v>12.6</v>
      </c>
      <c r="G2194">
        <v>70.3</v>
      </c>
      <c r="H2194" t="s">
        <v>13</v>
      </c>
      <c r="I2194" t="str">
        <f t="shared" si="34"/>
        <v>Média</v>
      </c>
    </row>
    <row r="2195" spans="1:9">
      <c r="A2195" t="s">
        <v>509</v>
      </c>
      <c r="B2195">
        <v>2026</v>
      </c>
      <c r="C2195">
        <v>1</v>
      </c>
      <c r="D2195" t="s">
        <v>139</v>
      </c>
      <c r="E2195" t="s">
        <v>141</v>
      </c>
      <c r="F2195">
        <v>12.6</v>
      </c>
      <c r="G2195">
        <v>76.2</v>
      </c>
      <c r="H2195" t="s">
        <v>13</v>
      </c>
      <c r="I2195" t="str">
        <f t="shared" si="34"/>
        <v>Alta</v>
      </c>
    </row>
    <row r="2196" spans="1:9">
      <c r="A2196" t="s">
        <v>556</v>
      </c>
      <c r="B2196">
        <v>2026</v>
      </c>
      <c r="C2196">
        <v>1</v>
      </c>
      <c r="D2196" t="s">
        <v>139</v>
      </c>
      <c r="E2196" t="s">
        <v>141</v>
      </c>
      <c r="F2196">
        <v>12.6</v>
      </c>
      <c r="G2196">
        <v>71.8</v>
      </c>
      <c r="H2196" t="s">
        <v>13</v>
      </c>
      <c r="I2196" t="str">
        <f t="shared" si="34"/>
        <v>Média</v>
      </c>
    </row>
    <row r="2197" spans="1:9">
      <c r="A2197" t="s">
        <v>420</v>
      </c>
      <c r="B2197">
        <v>2026</v>
      </c>
      <c r="C2197">
        <v>2</v>
      </c>
      <c r="D2197" t="s">
        <v>9</v>
      </c>
      <c r="E2197" t="s">
        <v>14</v>
      </c>
      <c r="F2197">
        <v>12.6</v>
      </c>
      <c r="G2197">
        <v>72</v>
      </c>
      <c r="H2197" t="s">
        <v>13</v>
      </c>
      <c r="I2197" t="str">
        <f t="shared" si="34"/>
        <v>Média</v>
      </c>
    </row>
    <row r="2198" spans="1:9">
      <c r="A2198" t="s">
        <v>446</v>
      </c>
      <c r="B2198">
        <v>2026</v>
      </c>
      <c r="C2198">
        <v>2</v>
      </c>
      <c r="D2198" t="s">
        <v>75</v>
      </c>
      <c r="E2198" t="s">
        <v>77</v>
      </c>
      <c r="F2198">
        <v>12.6</v>
      </c>
      <c r="G2198">
        <v>53.8</v>
      </c>
      <c r="H2198" t="s">
        <v>13</v>
      </c>
      <c r="I2198" t="str">
        <f t="shared" si="34"/>
        <v>Média</v>
      </c>
    </row>
    <row r="2199" spans="1:9">
      <c r="A2199" t="s">
        <v>447</v>
      </c>
      <c r="B2199">
        <v>2026</v>
      </c>
      <c r="C2199">
        <v>2</v>
      </c>
      <c r="D2199" t="s">
        <v>75</v>
      </c>
      <c r="E2199" t="s">
        <v>77</v>
      </c>
      <c r="F2199">
        <v>12.6</v>
      </c>
      <c r="G2199">
        <v>52.4</v>
      </c>
      <c r="H2199" t="s">
        <v>13</v>
      </c>
      <c r="I2199" t="str">
        <f t="shared" si="34"/>
        <v>Média</v>
      </c>
    </row>
    <row r="2200" spans="1:9">
      <c r="A2200" t="s">
        <v>447</v>
      </c>
      <c r="B2200">
        <v>2026</v>
      </c>
      <c r="C2200">
        <v>2</v>
      </c>
      <c r="D2200" t="s">
        <v>75</v>
      </c>
      <c r="E2200" t="s">
        <v>78</v>
      </c>
      <c r="F2200">
        <v>12.6</v>
      </c>
      <c r="G2200">
        <v>49.8</v>
      </c>
      <c r="H2200" t="s">
        <v>13</v>
      </c>
      <c r="I2200" t="str">
        <f t="shared" si="34"/>
        <v>Baixa</v>
      </c>
    </row>
    <row r="2201" spans="1:9">
      <c r="A2201" t="s">
        <v>452</v>
      </c>
      <c r="B2201">
        <v>2026</v>
      </c>
      <c r="C2201">
        <v>2</v>
      </c>
      <c r="D2201" t="s">
        <v>75</v>
      </c>
      <c r="E2201" t="s">
        <v>77</v>
      </c>
      <c r="F2201">
        <v>12.6</v>
      </c>
      <c r="G2201">
        <v>72.5</v>
      </c>
      <c r="H2201" t="s">
        <v>13</v>
      </c>
      <c r="I2201" t="str">
        <f t="shared" si="34"/>
        <v>Média</v>
      </c>
    </row>
    <row r="2202" spans="1:9">
      <c r="A2202" t="s">
        <v>454</v>
      </c>
      <c r="B2202">
        <v>2026</v>
      </c>
      <c r="C2202">
        <v>2</v>
      </c>
      <c r="D2202" t="s">
        <v>75</v>
      </c>
      <c r="E2202" t="s">
        <v>77</v>
      </c>
      <c r="F2202">
        <v>12.6</v>
      </c>
      <c r="G2202">
        <v>80.2</v>
      </c>
      <c r="H2202" t="s">
        <v>13</v>
      </c>
      <c r="I2202" t="str">
        <f t="shared" si="34"/>
        <v>Alta</v>
      </c>
    </row>
    <row r="2203" spans="1:9">
      <c r="A2203" t="s">
        <v>474</v>
      </c>
      <c r="B2203">
        <v>2026</v>
      </c>
      <c r="C2203">
        <v>2</v>
      </c>
      <c r="D2203" t="s">
        <v>75</v>
      </c>
      <c r="E2203" t="s">
        <v>76</v>
      </c>
      <c r="F2203">
        <v>12.6</v>
      </c>
      <c r="G2203">
        <v>92</v>
      </c>
      <c r="H2203" t="s">
        <v>13</v>
      </c>
      <c r="I2203" t="str">
        <f t="shared" si="34"/>
        <v>Alta</v>
      </c>
    </row>
    <row r="2204" spans="1:9">
      <c r="A2204" t="s">
        <v>485</v>
      </c>
      <c r="B2204">
        <v>2026</v>
      </c>
      <c r="C2204">
        <v>2</v>
      </c>
      <c r="D2204" t="s">
        <v>75</v>
      </c>
      <c r="E2204" t="s">
        <v>77</v>
      </c>
      <c r="F2204">
        <v>12.6</v>
      </c>
      <c r="G2204">
        <v>67.400000000000006</v>
      </c>
      <c r="H2204" t="s">
        <v>13</v>
      </c>
      <c r="I2204" t="str">
        <f t="shared" si="34"/>
        <v>Média</v>
      </c>
    </row>
    <row r="2205" spans="1:9">
      <c r="A2205" t="s">
        <v>517</v>
      </c>
      <c r="B2205">
        <v>2026</v>
      </c>
      <c r="C2205">
        <v>2</v>
      </c>
      <c r="D2205" t="s">
        <v>139</v>
      </c>
      <c r="E2205" t="s">
        <v>141</v>
      </c>
      <c r="F2205">
        <v>12.6</v>
      </c>
      <c r="G2205">
        <v>66.3</v>
      </c>
      <c r="H2205" t="s">
        <v>13</v>
      </c>
      <c r="I2205" t="str">
        <f t="shared" si="34"/>
        <v>Média</v>
      </c>
    </row>
    <row r="2206" spans="1:9">
      <c r="A2206" t="s">
        <v>532</v>
      </c>
      <c r="B2206">
        <v>2026</v>
      </c>
      <c r="C2206">
        <v>2</v>
      </c>
      <c r="D2206" t="s">
        <v>139</v>
      </c>
      <c r="E2206" t="s">
        <v>140</v>
      </c>
      <c r="F2206">
        <v>12.6</v>
      </c>
      <c r="G2206">
        <v>72</v>
      </c>
      <c r="H2206" t="s">
        <v>13</v>
      </c>
      <c r="I2206" t="str">
        <f t="shared" si="34"/>
        <v>Média</v>
      </c>
    </row>
    <row r="2207" spans="1:9">
      <c r="A2207" t="s">
        <v>552</v>
      </c>
      <c r="B2207">
        <v>2026</v>
      </c>
      <c r="C2207">
        <v>2</v>
      </c>
      <c r="D2207" t="s">
        <v>139</v>
      </c>
      <c r="E2207" t="s">
        <v>140</v>
      </c>
      <c r="F2207">
        <v>12.6</v>
      </c>
      <c r="G2207">
        <v>61.6</v>
      </c>
      <c r="H2207" t="s">
        <v>13</v>
      </c>
      <c r="I2207" t="str">
        <f t="shared" si="34"/>
        <v>Média</v>
      </c>
    </row>
    <row r="2208" spans="1:9">
      <c r="A2208" t="s">
        <v>41</v>
      </c>
      <c r="B2208">
        <v>2024</v>
      </c>
      <c r="C2208">
        <v>1</v>
      </c>
      <c r="D2208" t="s">
        <v>9</v>
      </c>
      <c r="E2208" t="s">
        <v>12</v>
      </c>
      <c r="F2208">
        <v>12.7</v>
      </c>
      <c r="G2208">
        <v>88.9</v>
      </c>
      <c r="H2208" t="s">
        <v>13</v>
      </c>
      <c r="I2208" t="str">
        <f t="shared" si="34"/>
        <v>Alta</v>
      </c>
    </row>
    <row r="2209" spans="1:9">
      <c r="A2209" t="s">
        <v>84</v>
      </c>
      <c r="B2209">
        <v>2024</v>
      </c>
      <c r="C2209">
        <v>1</v>
      </c>
      <c r="D2209" t="s">
        <v>75</v>
      </c>
      <c r="E2209" t="s">
        <v>76</v>
      </c>
      <c r="F2209">
        <v>12.7</v>
      </c>
      <c r="G2209">
        <v>63.1</v>
      </c>
      <c r="H2209" t="s">
        <v>13</v>
      </c>
      <c r="I2209" t="str">
        <f t="shared" si="34"/>
        <v>Média</v>
      </c>
    </row>
    <row r="2210" spans="1:9">
      <c r="A2210" t="s">
        <v>90</v>
      </c>
      <c r="B2210">
        <v>2024</v>
      </c>
      <c r="C2210">
        <v>1</v>
      </c>
      <c r="D2210" t="s">
        <v>75</v>
      </c>
      <c r="E2210" t="s">
        <v>78</v>
      </c>
      <c r="F2210">
        <v>12.7</v>
      </c>
      <c r="G2210">
        <v>94.3</v>
      </c>
      <c r="H2210" t="s">
        <v>13</v>
      </c>
      <c r="I2210" t="str">
        <f t="shared" si="34"/>
        <v>Alta</v>
      </c>
    </row>
    <row r="2211" spans="1:9">
      <c r="A2211" t="s">
        <v>104</v>
      </c>
      <c r="B2211">
        <v>2024</v>
      </c>
      <c r="C2211">
        <v>1</v>
      </c>
      <c r="D2211" t="s">
        <v>75</v>
      </c>
      <c r="E2211" t="s">
        <v>77</v>
      </c>
      <c r="F2211">
        <v>12.7</v>
      </c>
      <c r="G2211">
        <v>79</v>
      </c>
      <c r="H2211" t="s">
        <v>13</v>
      </c>
      <c r="I2211" t="str">
        <f t="shared" si="34"/>
        <v>Alta</v>
      </c>
    </row>
    <row r="2212" spans="1:9">
      <c r="A2212" t="s">
        <v>122</v>
      </c>
      <c r="B2212">
        <v>2024</v>
      </c>
      <c r="C2212">
        <v>1</v>
      </c>
      <c r="D2212" t="s">
        <v>75</v>
      </c>
      <c r="E2212" t="s">
        <v>77</v>
      </c>
      <c r="F2212">
        <v>12.7</v>
      </c>
      <c r="G2212">
        <v>93.7</v>
      </c>
      <c r="H2212" t="s">
        <v>13</v>
      </c>
      <c r="I2212" t="str">
        <f t="shared" si="34"/>
        <v>Alta</v>
      </c>
    </row>
    <row r="2213" spans="1:9">
      <c r="A2213" t="s">
        <v>148</v>
      </c>
      <c r="B2213">
        <v>2024</v>
      </c>
      <c r="C2213">
        <v>1</v>
      </c>
      <c r="D2213" t="s">
        <v>139</v>
      </c>
      <c r="E2213" t="s">
        <v>141</v>
      </c>
      <c r="F2213">
        <v>12.7</v>
      </c>
      <c r="G2213">
        <v>70.2</v>
      </c>
      <c r="H2213" t="s">
        <v>13</v>
      </c>
      <c r="I2213" t="str">
        <f t="shared" si="34"/>
        <v>Média</v>
      </c>
    </row>
    <row r="2214" spans="1:9">
      <c r="A2214" t="s">
        <v>149</v>
      </c>
      <c r="B2214">
        <v>2024</v>
      </c>
      <c r="C2214">
        <v>1</v>
      </c>
      <c r="D2214" t="s">
        <v>139</v>
      </c>
      <c r="E2214" t="s">
        <v>10</v>
      </c>
      <c r="F2214">
        <v>12.7</v>
      </c>
      <c r="G2214">
        <v>92.4</v>
      </c>
      <c r="H2214" t="s">
        <v>13</v>
      </c>
      <c r="I2214" t="str">
        <f t="shared" si="34"/>
        <v>Alta</v>
      </c>
    </row>
    <row r="2215" spans="1:9">
      <c r="A2215" t="s">
        <v>50</v>
      </c>
      <c r="B2215">
        <v>2024</v>
      </c>
      <c r="C2215">
        <v>2</v>
      </c>
      <c r="D2215" t="s">
        <v>9</v>
      </c>
      <c r="E2215" t="s">
        <v>14</v>
      </c>
      <c r="F2215">
        <v>12.7</v>
      </c>
      <c r="G2215">
        <v>91.3</v>
      </c>
      <c r="H2215" t="s">
        <v>13</v>
      </c>
      <c r="I2215" t="str">
        <f t="shared" si="34"/>
        <v>Alta</v>
      </c>
    </row>
    <row r="2216" spans="1:9">
      <c r="A2216" t="s">
        <v>162</v>
      </c>
      <c r="B2216">
        <v>2024</v>
      </c>
      <c r="C2216">
        <v>2</v>
      </c>
      <c r="D2216" t="s">
        <v>139</v>
      </c>
      <c r="E2216" t="s">
        <v>141</v>
      </c>
      <c r="F2216">
        <v>12.7</v>
      </c>
      <c r="G2216">
        <v>71.8</v>
      </c>
      <c r="H2216" t="s">
        <v>13</v>
      </c>
      <c r="I2216" t="str">
        <f t="shared" si="34"/>
        <v>Média</v>
      </c>
    </row>
    <row r="2217" spans="1:9">
      <c r="A2217" t="s">
        <v>164</v>
      </c>
      <c r="B2217">
        <v>2024</v>
      </c>
      <c r="C2217">
        <v>2</v>
      </c>
      <c r="D2217" t="s">
        <v>139</v>
      </c>
      <c r="E2217" t="s">
        <v>10</v>
      </c>
      <c r="F2217">
        <v>12.7</v>
      </c>
      <c r="G2217">
        <v>79.900000000000006</v>
      </c>
      <c r="H2217" t="s">
        <v>13</v>
      </c>
      <c r="I2217" t="str">
        <f t="shared" si="34"/>
        <v>Alta</v>
      </c>
    </row>
    <row r="2218" spans="1:9">
      <c r="A2218" t="s">
        <v>196</v>
      </c>
      <c r="B2218">
        <v>2024</v>
      </c>
      <c r="C2218">
        <v>2</v>
      </c>
      <c r="D2218" t="s">
        <v>139</v>
      </c>
      <c r="E2218" t="s">
        <v>140</v>
      </c>
      <c r="F2218">
        <v>12.7</v>
      </c>
      <c r="G2218">
        <v>86.3</v>
      </c>
      <c r="H2218" t="s">
        <v>13</v>
      </c>
      <c r="I2218" t="str">
        <f t="shared" si="34"/>
        <v>Alta</v>
      </c>
    </row>
    <row r="2219" spans="1:9">
      <c r="A2219" t="s">
        <v>205</v>
      </c>
      <c r="B2219">
        <v>2025</v>
      </c>
      <c r="C2219">
        <v>1</v>
      </c>
      <c r="D2219" t="s">
        <v>9</v>
      </c>
      <c r="E2219" t="s">
        <v>12</v>
      </c>
      <c r="F2219">
        <v>12.7</v>
      </c>
      <c r="G2219">
        <v>78.8</v>
      </c>
      <c r="H2219" t="s">
        <v>13</v>
      </c>
      <c r="I2219" t="str">
        <f t="shared" si="34"/>
        <v>Alta</v>
      </c>
    </row>
    <row r="2220" spans="1:9">
      <c r="A2220" t="s">
        <v>212</v>
      </c>
      <c r="B2220">
        <v>2025</v>
      </c>
      <c r="C2220">
        <v>1</v>
      </c>
      <c r="D2220" t="s">
        <v>9</v>
      </c>
      <c r="E2220" t="s">
        <v>12</v>
      </c>
      <c r="F2220">
        <v>12.7</v>
      </c>
      <c r="G2220">
        <v>65.2</v>
      </c>
      <c r="H2220" t="s">
        <v>13</v>
      </c>
      <c r="I2220" t="str">
        <f t="shared" si="34"/>
        <v>Média</v>
      </c>
    </row>
    <row r="2221" spans="1:9">
      <c r="A2221" t="s">
        <v>212</v>
      </c>
      <c r="B2221">
        <v>2025</v>
      </c>
      <c r="C2221">
        <v>1</v>
      </c>
      <c r="D2221" t="s">
        <v>9</v>
      </c>
      <c r="E2221" t="s">
        <v>14</v>
      </c>
      <c r="F2221">
        <v>12.7</v>
      </c>
      <c r="G2221">
        <v>72.599999999999994</v>
      </c>
      <c r="H2221" t="s">
        <v>13</v>
      </c>
      <c r="I2221" t="str">
        <f t="shared" si="34"/>
        <v>Média</v>
      </c>
    </row>
    <row r="2222" spans="1:9">
      <c r="A2222" t="s">
        <v>225</v>
      </c>
      <c r="B2222">
        <v>2025</v>
      </c>
      <c r="C2222">
        <v>1</v>
      </c>
      <c r="D2222" t="s">
        <v>9</v>
      </c>
      <c r="E2222" t="s">
        <v>12</v>
      </c>
      <c r="F2222">
        <v>12.7</v>
      </c>
      <c r="G2222">
        <v>53.9</v>
      </c>
      <c r="H2222" t="s">
        <v>13</v>
      </c>
      <c r="I2222" t="str">
        <f t="shared" si="34"/>
        <v>Média</v>
      </c>
    </row>
    <row r="2223" spans="1:9">
      <c r="A2223" t="s">
        <v>278</v>
      </c>
      <c r="B2223">
        <v>2025</v>
      </c>
      <c r="C2223">
        <v>1</v>
      </c>
      <c r="D2223" t="s">
        <v>75</v>
      </c>
      <c r="E2223" t="s">
        <v>78</v>
      </c>
      <c r="F2223">
        <v>12.7</v>
      </c>
      <c r="G2223">
        <v>55.6</v>
      </c>
      <c r="H2223" t="s">
        <v>13</v>
      </c>
      <c r="I2223" t="str">
        <f t="shared" si="34"/>
        <v>Média</v>
      </c>
    </row>
    <row r="2224" spans="1:9">
      <c r="A2224" t="s">
        <v>318</v>
      </c>
      <c r="B2224">
        <v>2025</v>
      </c>
      <c r="C2224">
        <v>2</v>
      </c>
      <c r="D2224" t="s">
        <v>75</v>
      </c>
      <c r="E2224" t="s">
        <v>78</v>
      </c>
      <c r="F2224">
        <v>12.7</v>
      </c>
      <c r="G2224">
        <v>52.4</v>
      </c>
      <c r="H2224" t="s">
        <v>13</v>
      </c>
      <c r="I2224" t="str">
        <f t="shared" si="34"/>
        <v>Média</v>
      </c>
    </row>
    <row r="2225" spans="1:9">
      <c r="A2225" t="s">
        <v>358</v>
      </c>
      <c r="B2225">
        <v>2025</v>
      </c>
      <c r="C2225">
        <v>2</v>
      </c>
      <c r="D2225" t="s">
        <v>139</v>
      </c>
      <c r="E2225" t="s">
        <v>140</v>
      </c>
      <c r="F2225">
        <v>12.7</v>
      </c>
      <c r="G2225">
        <v>84.6</v>
      </c>
      <c r="H2225" t="s">
        <v>13</v>
      </c>
      <c r="I2225" t="str">
        <f t="shared" si="34"/>
        <v>Alta</v>
      </c>
    </row>
    <row r="2226" spans="1:9">
      <c r="A2226" t="s">
        <v>367</v>
      </c>
      <c r="B2226">
        <v>2025</v>
      </c>
      <c r="C2226">
        <v>2</v>
      </c>
      <c r="D2226" t="s">
        <v>139</v>
      </c>
      <c r="E2226" t="s">
        <v>141</v>
      </c>
      <c r="F2226">
        <v>12.7</v>
      </c>
      <c r="G2226">
        <v>83.7</v>
      </c>
      <c r="H2226" t="s">
        <v>13</v>
      </c>
      <c r="I2226" t="str">
        <f t="shared" si="34"/>
        <v>Alta</v>
      </c>
    </row>
    <row r="2227" spans="1:9">
      <c r="A2227" t="s">
        <v>432</v>
      </c>
      <c r="B2227">
        <v>2026</v>
      </c>
      <c r="C2227">
        <v>1</v>
      </c>
      <c r="D2227" t="s">
        <v>9</v>
      </c>
      <c r="E2227" t="s">
        <v>14</v>
      </c>
      <c r="F2227">
        <v>12.7</v>
      </c>
      <c r="G2227">
        <v>91.3</v>
      </c>
      <c r="H2227" t="s">
        <v>13</v>
      </c>
      <c r="I2227" t="str">
        <f t="shared" si="34"/>
        <v>Alta</v>
      </c>
    </row>
    <row r="2228" spans="1:9">
      <c r="A2228" t="s">
        <v>478</v>
      </c>
      <c r="B2228">
        <v>2026</v>
      </c>
      <c r="C2228">
        <v>1</v>
      </c>
      <c r="D2228" t="s">
        <v>75</v>
      </c>
      <c r="E2228" t="s">
        <v>76</v>
      </c>
      <c r="F2228">
        <v>12.7</v>
      </c>
      <c r="G2228">
        <v>64.400000000000006</v>
      </c>
      <c r="H2228" t="s">
        <v>13</v>
      </c>
      <c r="I2228" t="str">
        <f t="shared" si="34"/>
        <v>Média</v>
      </c>
    </row>
    <row r="2229" spans="1:9">
      <c r="A2229" t="s">
        <v>534</v>
      </c>
      <c r="B2229">
        <v>2026</v>
      </c>
      <c r="C2229">
        <v>1</v>
      </c>
      <c r="D2229" t="s">
        <v>139</v>
      </c>
      <c r="E2229" t="s">
        <v>10</v>
      </c>
      <c r="F2229">
        <v>12.7</v>
      </c>
      <c r="G2229">
        <v>52.3</v>
      </c>
      <c r="H2229" t="s">
        <v>13</v>
      </c>
      <c r="I2229" t="str">
        <f t="shared" si="34"/>
        <v>Média</v>
      </c>
    </row>
    <row r="2230" spans="1:9">
      <c r="A2230" t="s">
        <v>559</v>
      </c>
      <c r="B2230">
        <v>2026</v>
      </c>
      <c r="C2230">
        <v>1</v>
      </c>
      <c r="D2230" t="s">
        <v>139</v>
      </c>
      <c r="E2230" t="s">
        <v>10</v>
      </c>
      <c r="F2230">
        <v>12.7</v>
      </c>
      <c r="G2230">
        <v>72</v>
      </c>
      <c r="H2230" t="s">
        <v>13</v>
      </c>
      <c r="I2230" t="str">
        <f t="shared" si="34"/>
        <v>Média</v>
      </c>
    </row>
    <row r="2231" spans="1:9">
      <c r="A2231" t="s">
        <v>450</v>
      </c>
      <c r="B2231">
        <v>2026</v>
      </c>
      <c r="C2231">
        <v>2</v>
      </c>
      <c r="D2231" t="s">
        <v>75</v>
      </c>
      <c r="E2231" t="s">
        <v>76</v>
      </c>
      <c r="F2231">
        <v>12.7</v>
      </c>
      <c r="G2231">
        <v>72.099999999999994</v>
      </c>
      <c r="H2231" t="s">
        <v>13</v>
      </c>
      <c r="I2231" t="str">
        <f t="shared" si="34"/>
        <v>Média</v>
      </c>
    </row>
    <row r="2232" spans="1:9">
      <c r="A2232" t="s">
        <v>497</v>
      </c>
      <c r="B2232">
        <v>2026</v>
      </c>
      <c r="C2232">
        <v>2</v>
      </c>
      <c r="D2232" t="s">
        <v>75</v>
      </c>
      <c r="E2232" t="s">
        <v>76</v>
      </c>
      <c r="F2232">
        <v>12.7</v>
      </c>
      <c r="G2232">
        <v>100</v>
      </c>
      <c r="H2232" t="s">
        <v>13</v>
      </c>
      <c r="I2232" t="str">
        <f t="shared" si="34"/>
        <v>Alta</v>
      </c>
    </row>
    <row r="2233" spans="1:9">
      <c r="A2233" t="s">
        <v>511</v>
      </c>
      <c r="B2233">
        <v>2026</v>
      </c>
      <c r="C2233">
        <v>2</v>
      </c>
      <c r="D2233" t="s">
        <v>139</v>
      </c>
      <c r="E2233" t="s">
        <v>141</v>
      </c>
      <c r="F2233">
        <v>12.7</v>
      </c>
      <c r="G2233">
        <v>82.2</v>
      </c>
      <c r="H2233" t="s">
        <v>13</v>
      </c>
      <c r="I2233" t="str">
        <f t="shared" si="34"/>
        <v>Alta</v>
      </c>
    </row>
    <row r="2234" spans="1:9">
      <c r="A2234" t="s">
        <v>555</v>
      </c>
      <c r="B2234">
        <v>2026</v>
      </c>
      <c r="C2234">
        <v>2</v>
      </c>
      <c r="D2234" t="s">
        <v>139</v>
      </c>
      <c r="E2234" t="s">
        <v>141</v>
      </c>
      <c r="F2234">
        <v>12.7</v>
      </c>
      <c r="G2234">
        <v>60.1</v>
      </c>
      <c r="H2234" t="s">
        <v>13</v>
      </c>
      <c r="I2234" t="str">
        <f t="shared" si="34"/>
        <v>Média</v>
      </c>
    </row>
    <row r="2235" spans="1:9">
      <c r="A2235" t="s">
        <v>47</v>
      </c>
      <c r="B2235">
        <v>2024</v>
      </c>
      <c r="C2235">
        <v>1</v>
      </c>
      <c r="D2235" t="s">
        <v>9</v>
      </c>
      <c r="E2235" t="s">
        <v>10</v>
      </c>
      <c r="F2235">
        <v>12.8</v>
      </c>
      <c r="G2235">
        <v>78.900000000000006</v>
      </c>
      <c r="H2235" t="s">
        <v>13</v>
      </c>
      <c r="I2235" t="str">
        <f t="shared" si="34"/>
        <v>Alta</v>
      </c>
    </row>
    <row r="2236" spans="1:9">
      <c r="A2236" t="s">
        <v>66</v>
      </c>
      <c r="B2236">
        <v>2024</v>
      </c>
      <c r="C2236">
        <v>1</v>
      </c>
      <c r="D2236" t="s">
        <v>9</v>
      </c>
      <c r="E2236" t="s">
        <v>12</v>
      </c>
      <c r="F2236">
        <v>12.8</v>
      </c>
      <c r="G2236">
        <v>57.1</v>
      </c>
      <c r="H2236" t="s">
        <v>13</v>
      </c>
      <c r="I2236" t="str">
        <f t="shared" si="34"/>
        <v>Média</v>
      </c>
    </row>
    <row r="2237" spans="1:9">
      <c r="A2237" t="s">
        <v>71</v>
      </c>
      <c r="B2237">
        <v>2024</v>
      </c>
      <c r="C2237">
        <v>1</v>
      </c>
      <c r="D2237" t="s">
        <v>9</v>
      </c>
      <c r="E2237" t="s">
        <v>14</v>
      </c>
      <c r="F2237">
        <v>12.8</v>
      </c>
      <c r="G2237">
        <v>91.8</v>
      </c>
      <c r="H2237" t="s">
        <v>13</v>
      </c>
      <c r="I2237" t="str">
        <f t="shared" si="34"/>
        <v>Alta</v>
      </c>
    </row>
    <row r="2238" spans="1:9">
      <c r="A2238" t="s">
        <v>98</v>
      </c>
      <c r="B2238">
        <v>2024</v>
      </c>
      <c r="C2238">
        <v>1</v>
      </c>
      <c r="D2238" t="s">
        <v>75</v>
      </c>
      <c r="E2238" t="s">
        <v>77</v>
      </c>
      <c r="F2238">
        <v>12.8</v>
      </c>
      <c r="G2238">
        <v>79.8</v>
      </c>
      <c r="H2238" t="s">
        <v>13</v>
      </c>
      <c r="I2238" t="str">
        <f t="shared" si="34"/>
        <v>Alta</v>
      </c>
    </row>
    <row r="2239" spans="1:9">
      <c r="A2239" t="s">
        <v>104</v>
      </c>
      <c r="B2239">
        <v>2024</v>
      </c>
      <c r="C2239">
        <v>1</v>
      </c>
      <c r="D2239" t="s">
        <v>75</v>
      </c>
      <c r="E2239" t="s">
        <v>76</v>
      </c>
      <c r="F2239">
        <v>12.8</v>
      </c>
      <c r="G2239">
        <v>92.7</v>
      </c>
      <c r="H2239" t="s">
        <v>13</v>
      </c>
      <c r="I2239" t="str">
        <f t="shared" si="34"/>
        <v>Alta</v>
      </c>
    </row>
    <row r="2240" spans="1:9">
      <c r="A2240" t="s">
        <v>126</v>
      </c>
      <c r="B2240">
        <v>2024</v>
      </c>
      <c r="C2240">
        <v>1</v>
      </c>
      <c r="D2240" t="s">
        <v>75</v>
      </c>
      <c r="E2240" t="s">
        <v>77</v>
      </c>
      <c r="F2240">
        <v>12.8</v>
      </c>
      <c r="G2240">
        <v>86.4</v>
      </c>
      <c r="H2240" t="s">
        <v>13</v>
      </c>
      <c r="I2240" t="str">
        <f t="shared" si="34"/>
        <v>Alta</v>
      </c>
    </row>
    <row r="2241" spans="1:9">
      <c r="A2241" t="s">
        <v>134</v>
      </c>
      <c r="B2241">
        <v>2024</v>
      </c>
      <c r="C2241">
        <v>1</v>
      </c>
      <c r="D2241" t="s">
        <v>75</v>
      </c>
      <c r="E2241" t="s">
        <v>76</v>
      </c>
      <c r="F2241">
        <v>12.8</v>
      </c>
      <c r="G2241">
        <v>98.6</v>
      </c>
      <c r="H2241" t="s">
        <v>13</v>
      </c>
      <c r="I2241" t="str">
        <f t="shared" si="34"/>
        <v>Alta</v>
      </c>
    </row>
    <row r="2242" spans="1:9">
      <c r="A2242" t="s">
        <v>148</v>
      </c>
      <c r="B2242">
        <v>2024</v>
      </c>
      <c r="C2242">
        <v>1</v>
      </c>
      <c r="D2242" t="s">
        <v>139</v>
      </c>
      <c r="E2242" t="s">
        <v>10</v>
      </c>
      <c r="F2242">
        <v>12.8</v>
      </c>
      <c r="G2242">
        <v>94.2</v>
      </c>
      <c r="H2242" t="s">
        <v>13</v>
      </c>
      <c r="I2242" t="str">
        <f t="shared" ref="I2242:I2305" si="35">IF(G2242&lt;50,"Baixa",IF(G2242&lt;75,"Média","Alta"))</f>
        <v>Alta</v>
      </c>
    </row>
    <row r="2243" spans="1:9">
      <c r="A2243" t="s">
        <v>56</v>
      </c>
      <c r="B2243">
        <v>2024</v>
      </c>
      <c r="C2243">
        <v>2</v>
      </c>
      <c r="D2243" t="s">
        <v>9</v>
      </c>
      <c r="E2243" t="s">
        <v>12</v>
      </c>
      <c r="F2243">
        <v>12.8</v>
      </c>
      <c r="G2243">
        <v>75.7</v>
      </c>
      <c r="H2243" t="s">
        <v>13</v>
      </c>
      <c r="I2243" t="str">
        <f t="shared" si="35"/>
        <v>Alta</v>
      </c>
    </row>
    <row r="2244" spans="1:9">
      <c r="A2244" t="s">
        <v>107</v>
      </c>
      <c r="B2244">
        <v>2024</v>
      </c>
      <c r="C2244">
        <v>2</v>
      </c>
      <c r="D2244" t="s">
        <v>75</v>
      </c>
      <c r="E2244" t="s">
        <v>77</v>
      </c>
      <c r="F2244">
        <v>12.8</v>
      </c>
      <c r="G2244">
        <v>67.900000000000006</v>
      </c>
      <c r="H2244" t="s">
        <v>13</v>
      </c>
      <c r="I2244" t="str">
        <f t="shared" si="35"/>
        <v>Média</v>
      </c>
    </row>
    <row r="2245" spans="1:9">
      <c r="A2245" t="s">
        <v>169</v>
      </c>
      <c r="B2245">
        <v>2024</v>
      </c>
      <c r="C2245">
        <v>2</v>
      </c>
      <c r="D2245" t="s">
        <v>139</v>
      </c>
      <c r="E2245" t="s">
        <v>140</v>
      </c>
      <c r="F2245">
        <v>12.8</v>
      </c>
      <c r="G2245">
        <v>93.9</v>
      </c>
      <c r="H2245" t="s">
        <v>13</v>
      </c>
      <c r="I2245" t="str">
        <f t="shared" si="35"/>
        <v>Alta</v>
      </c>
    </row>
    <row r="2246" spans="1:9">
      <c r="A2246" t="s">
        <v>207</v>
      </c>
      <c r="B2246">
        <v>2025</v>
      </c>
      <c r="C2246">
        <v>1</v>
      </c>
      <c r="D2246" t="s">
        <v>9</v>
      </c>
      <c r="E2246" t="s">
        <v>10</v>
      </c>
      <c r="F2246">
        <v>12.8</v>
      </c>
      <c r="G2246">
        <v>99.2</v>
      </c>
      <c r="H2246" t="s">
        <v>13</v>
      </c>
      <c r="I2246" t="str">
        <f t="shared" si="35"/>
        <v>Alta</v>
      </c>
    </row>
    <row r="2247" spans="1:9">
      <c r="A2247" t="s">
        <v>218</v>
      </c>
      <c r="B2247">
        <v>2025</v>
      </c>
      <c r="C2247">
        <v>2</v>
      </c>
      <c r="D2247" t="s">
        <v>9</v>
      </c>
      <c r="E2247" t="s">
        <v>10</v>
      </c>
      <c r="F2247">
        <v>12.8</v>
      </c>
      <c r="G2247">
        <v>96.9</v>
      </c>
      <c r="H2247" t="s">
        <v>13</v>
      </c>
      <c r="I2247" t="str">
        <f t="shared" si="35"/>
        <v>Alta</v>
      </c>
    </row>
    <row r="2248" spans="1:9">
      <c r="A2248" t="s">
        <v>293</v>
      </c>
      <c r="B2248">
        <v>2025</v>
      </c>
      <c r="C2248">
        <v>2</v>
      </c>
      <c r="D2248" t="s">
        <v>75</v>
      </c>
      <c r="E2248" t="s">
        <v>76</v>
      </c>
      <c r="F2248">
        <v>12.8</v>
      </c>
      <c r="G2248">
        <v>50.2</v>
      </c>
      <c r="H2248" t="s">
        <v>13</v>
      </c>
      <c r="I2248" t="str">
        <f t="shared" si="35"/>
        <v>Média</v>
      </c>
    </row>
    <row r="2249" spans="1:9">
      <c r="A2249" t="s">
        <v>294</v>
      </c>
      <c r="B2249">
        <v>2025</v>
      </c>
      <c r="C2249">
        <v>2</v>
      </c>
      <c r="D2249" t="s">
        <v>75</v>
      </c>
      <c r="E2249" t="s">
        <v>76</v>
      </c>
      <c r="F2249">
        <v>12.8</v>
      </c>
      <c r="G2249">
        <v>71.900000000000006</v>
      </c>
      <c r="H2249" t="s">
        <v>13</v>
      </c>
      <c r="I2249" t="str">
        <f t="shared" si="35"/>
        <v>Média</v>
      </c>
    </row>
    <row r="2250" spans="1:9">
      <c r="A2250" t="s">
        <v>335</v>
      </c>
      <c r="B2250">
        <v>2025</v>
      </c>
      <c r="C2250">
        <v>2</v>
      </c>
      <c r="D2250" t="s">
        <v>139</v>
      </c>
      <c r="E2250" t="s">
        <v>140</v>
      </c>
      <c r="F2250">
        <v>12.8</v>
      </c>
      <c r="G2250">
        <v>85</v>
      </c>
      <c r="H2250" t="s">
        <v>13</v>
      </c>
      <c r="I2250" t="str">
        <f t="shared" si="35"/>
        <v>Alta</v>
      </c>
    </row>
    <row r="2251" spans="1:9">
      <c r="A2251" t="s">
        <v>403</v>
      </c>
      <c r="B2251">
        <v>2026</v>
      </c>
      <c r="C2251">
        <v>1</v>
      </c>
      <c r="D2251" t="s">
        <v>9</v>
      </c>
      <c r="E2251" t="s">
        <v>12</v>
      </c>
      <c r="F2251">
        <v>12.8</v>
      </c>
      <c r="G2251">
        <v>94.8</v>
      </c>
      <c r="H2251" t="s">
        <v>13</v>
      </c>
      <c r="I2251" t="str">
        <f t="shared" si="35"/>
        <v>Alta</v>
      </c>
    </row>
    <row r="2252" spans="1:9">
      <c r="A2252" t="s">
        <v>424</v>
      </c>
      <c r="B2252">
        <v>2026</v>
      </c>
      <c r="C2252">
        <v>1</v>
      </c>
      <c r="D2252" t="s">
        <v>9</v>
      </c>
      <c r="E2252" t="s">
        <v>12</v>
      </c>
      <c r="F2252">
        <v>12.8</v>
      </c>
      <c r="G2252">
        <v>47.2</v>
      </c>
      <c r="H2252" t="s">
        <v>13</v>
      </c>
      <c r="I2252" t="str">
        <f t="shared" si="35"/>
        <v>Baixa</v>
      </c>
    </row>
    <row r="2253" spans="1:9">
      <c r="A2253" t="s">
        <v>431</v>
      </c>
      <c r="B2253">
        <v>2026</v>
      </c>
      <c r="C2253">
        <v>1</v>
      </c>
      <c r="D2253" t="s">
        <v>9</v>
      </c>
      <c r="E2253" t="s">
        <v>10</v>
      </c>
      <c r="F2253">
        <v>12.8</v>
      </c>
      <c r="G2253">
        <v>70.5</v>
      </c>
      <c r="H2253" t="s">
        <v>13</v>
      </c>
      <c r="I2253" t="str">
        <f t="shared" si="35"/>
        <v>Média</v>
      </c>
    </row>
    <row r="2254" spans="1:9">
      <c r="A2254" t="s">
        <v>482</v>
      </c>
      <c r="B2254">
        <v>2026</v>
      </c>
      <c r="C2254">
        <v>1</v>
      </c>
      <c r="D2254" t="s">
        <v>75</v>
      </c>
      <c r="E2254" t="s">
        <v>77</v>
      </c>
      <c r="F2254">
        <v>12.8</v>
      </c>
      <c r="G2254">
        <v>72</v>
      </c>
      <c r="H2254" t="s">
        <v>13</v>
      </c>
      <c r="I2254" t="str">
        <f t="shared" si="35"/>
        <v>Média</v>
      </c>
    </row>
    <row r="2255" spans="1:9">
      <c r="A2255" t="s">
        <v>498</v>
      </c>
      <c r="B2255">
        <v>2026</v>
      </c>
      <c r="C2255">
        <v>1</v>
      </c>
      <c r="D2255" t="s">
        <v>75</v>
      </c>
      <c r="E2255" t="s">
        <v>78</v>
      </c>
      <c r="F2255">
        <v>12.8</v>
      </c>
      <c r="G2255">
        <v>88.7</v>
      </c>
      <c r="H2255" t="s">
        <v>13</v>
      </c>
      <c r="I2255" t="str">
        <f t="shared" si="35"/>
        <v>Alta</v>
      </c>
    </row>
    <row r="2256" spans="1:9">
      <c r="A2256" t="s">
        <v>534</v>
      </c>
      <c r="B2256">
        <v>2026</v>
      </c>
      <c r="C2256">
        <v>1</v>
      </c>
      <c r="D2256" t="s">
        <v>139</v>
      </c>
      <c r="E2256" t="s">
        <v>141</v>
      </c>
      <c r="F2256">
        <v>12.8</v>
      </c>
      <c r="G2256">
        <v>99.7</v>
      </c>
      <c r="H2256" t="s">
        <v>13</v>
      </c>
      <c r="I2256" t="str">
        <f t="shared" si="35"/>
        <v>Alta</v>
      </c>
    </row>
    <row r="2257" spans="1:9">
      <c r="A2257" t="s">
        <v>556</v>
      </c>
      <c r="B2257">
        <v>2026</v>
      </c>
      <c r="C2257">
        <v>1</v>
      </c>
      <c r="D2257" t="s">
        <v>139</v>
      </c>
      <c r="E2257" t="s">
        <v>140</v>
      </c>
      <c r="F2257">
        <v>12.8</v>
      </c>
      <c r="G2257">
        <v>45.5</v>
      </c>
      <c r="H2257" t="s">
        <v>13</v>
      </c>
      <c r="I2257" t="str">
        <f t="shared" si="35"/>
        <v>Baixa</v>
      </c>
    </row>
    <row r="2258" spans="1:9">
      <c r="A2258" t="s">
        <v>430</v>
      </c>
      <c r="B2258">
        <v>2026</v>
      </c>
      <c r="C2258">
        <v>2</v>
      </c>
      <c r="D2258" t="s">
        <v>9</v>
      </c>
      <c r="E2258" t="s">
        <v>14</v>
      </c>
      <c r="F2258">
        <v>12.8</v>
      </c>
      <c r="G2258">
        <v>71.900000000000006</v>
      </c>
      <c r="H2258" t="s">
        <v>13</v>
      </c>
      <c r="I2258" t="str">
        <f t="shared" si="35"/>
        <v>Média</v>
      </c>
    </row>
    <row r="2259" spans="1:9">
      <c r="A2259" t="s">
        <v>440</v>
      </c>
      <c r="B2259">
        <v>2026</v>
      </c>
      <c r="C2259">
        <v>2</v>
      </c>
      <c r="D2259" t="s">
        <v>9</v>
      </c>
      <c r="E2259" t="s">
        <v>14</v>
      </c>
      <c r="F2259">
        <v>12.8</v>
      </c>
      <c r="G2259">
        <v>97.1</v>
      </c>
      <c r="H2259" t="s">
        <v>13</v>
      </c>
      <c r="I2259" t="str">
        <f t="shared" si="35"/>
        <v>Alta</v>
      </c>
    </row>
    <row r="2260" spans="1:9">
      <c r="A2260" t="s">
        <v>442</v>
      </c>
      <c r="B2260">
        <v>2026</v>
      </c>
      <c r="C2260">
        <v>2</v>
      </c>
      <c r="D2260" t="s">
        <v>75</v>
      </c>
      <c r="E2260" t="s">
        <v>77</v>
      </c>
      <c r="F2260">
        <v>12.8</v>
      </c>
      <c r="G2260">
        <v>50.2</v>
      </c>
      <c r="H2260" t="s">
        <v>13</v>
      </c>
      <c r="I2260" t="str">
        <f t="shared" si="35"/>
        <v>Média</v>
      </c>
    </row>
    <row r="2261" spans="1:9">
      <c r="A2261" t="s">
        <v>459</v>
      </c>
      <c r="B2261">
        <v>2026</v>
      </c>
      <c r="C2261">
        <v>2</v>
      </c>
      <c r="D2261" t="s">
        <v>75</v>
      </c>
      <c r="E2261" t="s">
        <v>76</v>
      </c>
      <c r="F2261">
        <v>12.8</v>
      </c>
      <c r="G2261">
        <v>91.7</v>
      </c>
      <c r="H2261" t="s">
        <v>13</v>
      </c>
      <c r="I2261" t="str">
        <f t="shared" si="35"/>
        <v>Alta</v>
      </c>
    </row>
    <row r="2262" spans="1:9">
      <c r="A2262" t="s">
        <v>459</v>
      </c>
      <c r="B2262">
        <v>2026</v>
      </c>
      <c r="C2262">
        <v>2</v>
      </c>
      <c r="D2262" t="s">
        <v>75</v>
      </c>
      <c r="E2262" t="s">
        <v>78</v>
      </c>
      <c r="F2262">
        <v>12.8</v>
      </c>
      <c r="G2262">
        <v>74</v>
      </c>
      <c r="H2262" t="s">
        <v>13</v>
      </c>
      <c r="I2262" t="str">
        <f t="shared" si="35"/>
        <v>Média</v>
      </c>
    </row>
    <row r="2263" spans="1:9">
      <c r="A2263" t="s">
        <v>474</v>
      </c>
      <c r="B2263">
        <v>2026</v>
      </c>
      <c r="C2263">
        <v>2</v>
      </c>
      <c r="D2263" t="s">
        <v>75</v>
      </c>
      <c r="E2263" t="s">
        <v>77</v>
      </c>
      <c r="F2263">
        <v>12.8</v>
      </c>
      <c r="G2263">
        <v>68.400000000000006</v>
      </c>
      <c r="H2263" t="s">
        <v>13</v>
      </c>
      <c r="I2263" t="str">
        <f t="shared" si="35"/>
        <v>Média</v>
      </c>
    </row>
    <row r="2264" spans="1:9">
      <c r="A2264" t="s">
        <v>503</v>
      </c>
      <c r="B2264">
        <v>2026</v>
      </c>
      <c r="C2264">
        <v>2</v>
      </c>
      <c r="D2264" t="s">
        <v>139</v>
      </c>
      <c r="E2264" t="s">
        <v>140</v>
      </c>
      <c r="F2264">
        <v>12.8</v>
      </c>
      <c r="G2264">
        <v>48.1</v>
      </c>
      <c r="H2264" t="s">
        <v>13</v>
      </c>
      <c r="I2264" t="str">
        <f t="shared" si="35"/>
        <v>Baixa</v>
      </c>
    </row>
    <row r="2265" spans="1:9">
      <c r="A2265" t="s">
        <v>507</v>
      </c>
      <c r="B2265">
        <v>2026</v>
      </c>
      <c r="C2265">
        <v>2</v>
      </c>
      <c r="D2265" t="s">
        <v>139</v>
      </c>
      <c r="E2265" t="s">
        <v>141</v>
      </c>
      <c r="F2265">
        <v>12.8</v>
      </c>
      <c r="G2265">
        <v>58.1</v>
      </c>
      <c r="H2265" t="s">
        <v>13</v>
      </c>
      <c r="I2265" t="str">
        <f t="shared" si="35"/>
        <v>Média</v>
      </c>
    </row>
    <row r="2266" spans="1:9">
      <c r="A2266" t="s">
        <v>39</v>
      </c>
      <c r="B2266">
        <v>2024</v>
      </c>
      <c r="C2266">
        <v>1</v>
      </c>
      <c r="D2266" t="s">
        <v>9</v>
      </c>
      <c r="E2266" t="s">
        <v>14</v>
      </c>
      <c r="F2266">
        <v>12.9</v>
      </c>
      <c r="G2266">
        <v>66.5</v>
      </c>
      <c r="H2266" t="s">
        <v>13</v>
      </c>
      <c r="I2266" t="str">
        <f t="shared" si="35"/>
        <v>Média</v>
      </c>
    </row>
    <row r="2267" spans="1:9">
      <c r="A2267" t="s">
        <v>45</v>
      </c>
      <c r="B2267">
        <v>2024</v>
      </c>
      <c r="C2267">
        <v>1</v>
      </c>
      <c r="D2267" t="s">
        <v>9</v>
      </c>
      <c r="E2267" t="s">
        <v>12</v>
      </c>
      <c r="F2267">
        <v>12.9</v>
      </c>
      <c r="G2267">
        <v>89.2</v>
      </c>
      <c r="H2267" t="s">
        <v>13</v>
      </c>
      <c r="I2267" t="str">
        <f t="shared" si="35"/>
        <v>Alta</v>
      </c>
    </row>
    <row r="2268" spans="1:9">
      <c r="A2268" t="s">
        <v>58</v>
      </c>
      <c r="B2268">
        <v>2024</v>
      </c>
      <c r="C2268">
        <v>1</v>
      </c>
      <c r="D2268" t="s">
        <v>9</v>
      </c>
      <c r="E2268" t="s">
        <v>14</v>
      </c>
      <c r="F2268">
        <v>12.9</v>
      </c>
      <c r="G2268">
        <v>84.9</v>
      </c>
      <c r="H2268" t="s">
        <v>13</v>
      </c>
      <c r="I2268" t="str">
        <f t="shared" si="35"/>
        <v>Alta</v>
      </c>
    </row>
    <row r="2269" spans="1:9">
      <c r="A2269" t="s">
        <v>63</v>
      </c>
      <c r="B2269">
        <v>2024</v>
      </c>
      <c r="C2269">
        <v>1</v>
      </c>
      <c r="D2269" t="s">
        <v>9</v>
      </c>
      <c r="E2269" t="s">
        <v>10</v>
      </c>
      <c r="F2269">
        <v>12.9</v>
      </c>
      <c r="G2269">
        <v>60.6</v>
      </c>
      <c r="H2269" t="s">
        <v>13</v>
      </c>
      <c r="I2269" t="str">
        <f t="shared" si="35"/>
        <v>Média</v>
      </c>
    </row>
    <row r="2270" spans="1:9">
      <c r="A2270" t="s">
        <v>107</v>
      </c>
      <c r="B2270">
        <v>2024</v>
      </c>
      <c r="C2270">
        <v>1</v>
      </c>
      <c r="D2270" t="s">
        <v>75</v>
      </c>
      <c r="E2270" t="s">
        <v>76</v>
      </c>
      <c r="F2270">
        <v>12.9</v>
      </c>
      <c r="G2270">
        <v>47.6</v>
      </c>
      <c r="H2270" t="s">
        <v>13</v>
      </c>
      <c r="I2270" t="str">
        <f t="shared" si="35"/>
        <v>Baixa</v>
      </c>
    </row>
    <row r="2271" spans="1:9">
      <c r="A2271" t="s">
        <v>121</v>
      </c>
      <c r="B2271">
        <v>2024</v>
      </c>
      <c r="C2271">
        <v>1</v>
      </c>
      <c r="D2271" t="s">
        <v>75</v>
      </c>
      <c r="E2271" t="s">
        <v>77</v>
      </c>
      <c r="F2271">
        <v>12.9</v>
      </c>
      <c r="G2271">
        <v>83.4</v>
      </c>
      <c r="H2271" t="s">
        <v>13</v>
      </c>
      <c r="I2271" t="str">
        <f t="shared" si="35"/>
        <v>Alta</v>
      </c>
    </row>
    <row r="2272" spans="1:9">
      <c r="A2272" t="s">
        <v>137</v>
      </c>
      <c r="B2272">
        <v>2024</v>
      </c>
      <c r="C2272">
        <v>1</v>
      </c>
      <c r="D2272" t="s">
        <v>75</v>
      </c>
      <c r="E2272" t="s">
        <v>78</v>
      </c>
      <c r="F2272">
        <v>12.9</v>
      </c>
      <c r="G2272">
        <v>86.1</v>
      </c>
      <c r="H2272" t="s">
        <v>13</v>
      </c>
      <c r="I2272" t="str">
        <f t="shared" si="35"/>
        <v>Alta</v>
      </c>
    </row>
    <row r="2273" spans="1:9">
      <c r="A2273" t="s">
        <v>145</v>
      </c>
      <c r="B2273">
        <v>2024</v>
      </c>
      <c r="C2273">
        <v>1</v>
      </c>
      <c r="D2273" t="s">
        <v>139</v>
      </c>
      <c r="E2273" t="s">
        <v>140</v>
      </c>
      <c r="F2273">
        <v>12.9</v>
      </c>
      <c r="G2273">
        <v>90.9</v>
      </c>
      <c r="H2273" t="s">
        <v>13</v>
      </c>
      <c r="I2273" t="str">
        <f t="shared" si="35"/>
        <v>Alta</v>
      </c>
    </row>
    <row r="2274" spans="1:9">
      <c r="A2274" t="s">
        <v>163</v>
      </c>
      <c r="B2274">
        <v>2024</v>
      </c>
      <c r="C2274">
        <v>1</v>
      </c>
      <c r="D2274" t="s">
        <v>139</v>
      </c>
      <c r="E2274" t="s">
        <v>141</v>
      </c>
      <c r="F2274">
        <v>12.9</v>
      </c>
      <c r="G2274">
        <v>90.7</v>
      </c>
      <c r="H2274" t="s">
        <v>13</v>
      </c>
      <c r="I2274" t="str">
        <f t="shared" si="35"/>
        <v>Alta</v>
      </c>
    </row>
    <row r="2275" spans="1:9">
      <c r="A2275" t="s">
        <v>182</v>
      </c>
      <c r="B2275">
        <v>2024</v>
      </c>
      <c r="C2275">
        <v>1</v>
      </c>
      <c r="D2275" t="s">
        <v>139</v>
      </c>
      <c r="E2275" t="s">
        <v>10</v>
      </c>
      <c r="F2275">
        <v>12.9</v>
      </c>
      <c r="G2275">
        <v>74.3</v>
      </c>
      <c r="H2275" t="s">
        <v>13</v>
      </c>
      <c r="I2275" t="str">
        <f t="shared" si="35"/>
        <v>Média</v>
      </c>
    </row>
    <row r="2276" spans="1:9">
      <c r="A2276" t="s">
        <v>25</v>
      </c>
      <c r="B2276">
        <v>2024</v>
      </c>
      <c r="C2276">
        <v>2</v>
      </c>
      <c r="D2276" t="s">
        <v>9</v>
      </c>
      <c r="E2276" t="s">
        <v>10</v>
      </c>
      <c r="F2276">
        <v>12.9</v>
      </c>
      <c r="G2276">
        <v>99.7</v>
      </c>
      <c r="H2276" t="s">
        <v>13</v>
      </c>
      <c r="I2276" t="str">
        <f t="shared" si="35"/>
        <v>Alta</v>
      </c>
    </row>
    <row r="2277" spans="1:9">
      <c r="A2277" t="s">
        <v>69</v>
      </c>
      <c r="B2277">
        <v>2024</v>
      </c>
      <c r="C2277">
        <v>2</v>
      </c>
      <c r="D2277" t="s">
        <v>9</v>
      </c>
      <c r="E2277" t="s">
        <v>14</v>
      </c>
      <c r="F2277">
        <v>12.9</v>
      </c>
      <c r="G2277">
        <v>99.6</v>
      </c>
      <c r="H2277" t="s">
        <v>13</v>
      </c>
      <c r="I2277" t="str">
        <f t="shared" si="35"/>
        <v>Alta</v>
      </c>
    </row>
    <row r="2278" spans="1:9">
      <c r="A2278" t="s">
        <v>105</v>
      </c>
      <c r="B2278">
        <v>2024</v>
      </c>
      <c r="C2278">
        <v>2</v>
      </c>
      <c r="D2278" t="s">
        <v>75</v>
      </c>
      <c r="E2278" t="s">
        <v>77</v>
      </c>
      <c r="F2278">
        <v>12.9</v>
      </c>
      <c r="G2278">
        <v>53.4</v>
      </c>
      <c r="H2278" t="s">
        <v>13</v>
      </c>
      <c r="I2278" t="str">
        <f t="shared" si="35"/>
        <v>Média</v>
      </c>
    </row>
    <row r="2279" spans="1:9">
      <c r="A2279" t="s">
        <v>153</v>
      </c>
      <c r="B2279">
        <v>2024</v>
      </c>
      <c r="C2279">
        <v>2</v>
      </c>
      <c r="D2279" t="s">
        <v>139</v>
      </c>
      <c r="E2279" t="s">
        <v>10</v>
      </c>
      <c r="F2279">
        <v>12.9</v>
      </c>
      <c r="G2279">
        <v>93</v>
      </c>
      <c r="H2279" t="s">
        <v>13</v>
      </c>
      <c r="I2279" t="str">
        <f t="shared" si="35"/>
        <v>Alta</v>
      </c>
    </row>
    <row r="2280" spans="1:9">
      <c r="A2280" t="s">
        <v>176</v>
      </c>
      <c r="B2280">
        <v>2024</v>
      </c>
      <c r="C2280">
        <v>2</v>
      </c>
      <c r="D2280" t="s">
        <v>139</v>
      </c>
      <c r="E2280" t="s">
        <v>10</v>
      </c>
      <c r="F2280">
        <v>12.9</v>
      </c>
      <c r="G2280">
        <v>69.400000000000006</v>
      </c>
      <c r="H2280" t="s">
        <v>13</v>
      </c>
      <c r="I2280" t="str">
        <f t="shared" si="35"/>
        <v>Média</v>
      </c>
    </row>
    <row r="2281" spans="1:9">
      <c r="A2281" t="s">
        <v>255</v>
      </c>
      <c r="B2281">
        <v>2025</v>
      </c>
      <c r="C2281">
        <v>1</v>
      </c>
      <c r="D2281" t="s">
        <v>9</v>
      </c>
      <c r="E2281" t="s">
        <v>12</v>
      </c>
      <c r="F2281">
        <v>12.9</v>
      </c>
      <c r="G2281">
        <v>91.5</v>
      </c>
      <c r="H2281" t="s">
        <v>13</v>
      </c>
      <c r="I2281" t="str">
        <f t="shared" si="35"/>
        <v>Alta</v>
      </c>
    </row>
    <row r="2282" spans="1:9">
      <c r="A2282" t="s">
        <v>333</v>
      </c>
      <c r="B2282">
        <v>2025</v>
      </c>
      <c r="C2282">
        <v>1</v>
      </c>
      <c r="D2282" t="s">
        <v>139</v>
      </c>
      <c r="E2282" t="s">
        <v>141</v>
      </c>
      <c r="F2282">
        <v>12.9</v>
      </c>
      <c r="G2282">
        <v>80.2</v>
      </c>
      <c r="H2282" t="s">
        <v>13</v>
      </c>
      <c r="I2282" t="str">
        <f t="shared" si="35"/>
        <v>Alta</v>
      </c>
    </row>
    <row r="2283" spans="1:9">
      <c r="A2283" t="s">
        <v>367</v>
      </c>
      <c r="B2283">
        <v>2025</v>
      </c>
      <c r="C2283">
        <v>1</v>
      </c>
      <c r="D2283" t="s">
        <v>139</v>
      </c>
      <c r="E2283" t="s">
        <v>10</v>
      </c>
      <c r="F2283">
        <v>12.9</v>
      </c>
      <c r="G2283">
        <v>70.3</v>
      </c>
      <c r="H2283" t="s">
        <v>13</v>
      </c>
      <c r="I2283" t="str">
        <f t="shared" si="35"/>
        <v>Média</v>
      </c>
    </row>
    <row r="2284" spans="1:9">
      <c r="A2284" t="s">
        <v>370</v>
      </c>
      <c r="B2284">
        <v>2025</v>
      </c>
      <c r="C2284">
        <v>1</v>
      </c>
      <c r="D2284" t="s">
        <v>139</v>
      </c>
      <c r="E2284" t="s">
        <v>10</v>
      </c>
      <c r="F2284">
        <v>12.9</v>
      </c>
      <c r="G2284">
        <v>70.2</v>
      </c>
      <c r="H2284" t="s">
        <v>13</v>
      </c>
      <c r="I2284" t="str">
        <f t="shared" si="35"/>
        <v>Média</v>
      </c>
    </row>
    <row r="2285" spans="1:9">
      <c r="A2285" t="s">
        <v>212</v>
      </c>
      <c r="B2285">
        <v>2025</v>
      </c>
      <c r="C2285">
        <v>2</v>
      </c>
      <c r="D2285" t="s">
        <v>9</v>
      </c>
      <c r="E2285" t="s">
        <v>14</v>
      </c>
      <c r="F2285">
        <v>12.9</v>
      </c>
      <c r="G2285">
        <v>68.099999999999994</v>
      </c>
      <c r="H2285" t="s">
        <v>13</v>
      </c>
      <c r="I2285" t="str">
        <f t="shared" si="35"/>
        <v>Média</v>
      </c>
    </row>
    <row r="2286" spans="1:9">
      <c r="A2286" t="s">
        <v>216</v>
      </c>
      <c r="B2286">
        <v>2025</v>
      </c>
      <c r="C2286">
        <v>2</v>
      </c>
      <c r="D2286" t="s">
        <v>9</v>
      </c>
      <c r="E2286" t="s">
        <v>14</v>
      </c>
      <c r="F2286">
        <v>12.9</v>
      </c>
      <c r="G2286">
        <v>51.3</v>
      </c>
      <c r="H2286" t="s">
        <v>13</v>
      </c>
      <c r="I2286" t="str">
        <f t="shared" si="35"/>
        <v>Média</v>
      </c>
    </row>
    <row r="2287" spans="1:9">
      <c r="A2287" t="s">
        <v>239</v>
      </c>
      <c r="B2287">
        <v>2025</v>
      </c>
      <c r="C2287">
        <v>2</v>
      </c>
      <c r="D2287" t="s">
        <v>9</v>
      </c>
      <c r="E2287" t="s">
        <v>12</v>
      </c>
      <c r="F2287">
        <v>12.9</v>
      </c>
      <c r="G2287">
        <v>97.4</v>
      </c>
      <c r="H2287" t="s">
        <v>13</v>
      </c>
      <c r="I2287" t="str">
        <f t="shared" si="35"/>
        <v>Alta</v>
      </c>
    </row>
    <row r="2288" spans="1:9">
      <c r="A2288" t="s">
        <v>245</v>
      </c>
      <c r="B2288">
        <v>2025</v>
      </c>
      <c r="C2288">
        <v>2</v>
      </c>
      <c r="D2288" t="s">
        <v>9</v>
      </c>
      <c r="E2288" t="s">
        <v>14</v>
      </c>
      <c r="F2288">
        <v>12.9</v>
      </c>
      <c r="G2288">
        <v>92.1</v>
      </c>
      <c r="H2288" t="s">
        <v>13</v>
      </c>
      <c r="I2288" t="str">
        <f t="shared" si="35"/>
        <v>Alta</v>
      </c>
    </row>
    <row r="2289" spans="1:9">
      <c r="A2289" t="s">
        <v>252</v>
      </c>
      <c r="B2289">
        <v>2025</v>
      </c>
      <c r="C2289">
        <v>2</v>
      </c>
      <c r="D2289" t="s">
        <v>9</v>
      </c>
      <c r="E2289" t="s">
        <v>12</v>
      </c>
      <c r="F2289">
        <v>12.9</v>
      </c>
      <c r="G2289">
        <v>80.099999999999994</v>
      </c>
      <c r="H2289" t="s">
        <v>13</v>
      </c>
      <c r="I2289" t="str">
        <f t="shared" si="35"/>
        <v>Alta</v>
      </c>
    </row>
    <row r="2290" spans="1:9">
      <c r="A2290" t="s">
        <v>295</v>
      </c>
      <c r="B2290">
        <v>2025</v>
      </c>
      <c r="C2290">
        <v>2</v>
      </c>
      <c r="D2290" t="s">
        <v>75</v>
      </c>
      <c r="E2290" t="s">
        <v>77</v>
      </c>
      <c r="F2290">
        <v>12.9</v>
      </c>
      <c r="G2290">
        <v>72.5</v>
      </c>
      <c r="H2290" t="s">
        <v>13</v>
      </c>
      <c r="I2290" t="str">
        <f t="shared" si="35"/>
        <v>Média</v>
      </c>
    </row>
    <row r="2291" spans="1:9">
      <c r="A2291" t="s">
        <v>326</v>
      </c>
      <c r="B2291">
        <v>2025</v>
      </c>
      <c r="C2291">
        <v>2</v>
      </c>
      <c r="D2291" t="s">
        <v>139</v>
      </c>
      <c r="E2291" t="s">
        <v>10</v>
      </c>
      <c r="F2291">
        <v>12.9</v>
      </c>
      <c r="G2291">
        <v>56.1</v>
      </c>
      <c r="H2291" t="s">
        <v>13</v>
      </c>
      <c r="I2291" t="str">
        <f t="shared" si="35"/>
        <v>Média</v>
      </c>
    </row>
    <row r="2292" spans="1:9">
      <c r="A2292" t="s">
        <v>366</v>
      </c>
      <c r="B2292">
        <v>2025</v>
      </c>
      <c r="C2292">
        <v>2</v>
      </c>
      <c r="D2292" t="s">
        <v>139</v>
      </c>
      <c r="E2292" t="s">
        <v>140</v>
      </c>
      <c r="F2292">
        <v>12.9</v>
      </c>
      <c r="G2292">
        <v>71.7</v>
      </c>
      <c r="H2292" t="s">
        <v>13</v>
      </c>
      <c r="I2292" t="str">
        <f t="shared" si="35"/>
        <v>Média</v>
      </c>
    </row>
    <row r="2293" spans="1:9">
      <c r="A2293" t="s">
        <v>371</v>
      </c>
      <c r="B2293">
        <v>2025</v>
      </c>
      <c r="C2293">
        <v>2</v>
      </c>
      <c r="D2293" t="s">
        <v>139</v>
      </c>
      <c r="E2293" t="s">
        <v>10</v>
      </c>
      <c r="F2293">
        <v>12.9</v>
      </c>
      <c r="G2293">
        <v>70.099999999999994</v>
      </c>
      <c r="H2293" t="s">
        <v>13</v>
      </c>
      <c r="I2293" t="str">
        <f t="shared" si="35"/>
        <v>Média</v>
      </c>
    </row>
    <row r="2294" spans="1:9">
      <c r="A2294" t="s">
        <v>384</v>
      </c>
      <c r="B2294">
        <v>2026</v>
      </c>
      <c r="C2294">
        <v>1</v>
      </c>
      <c r="D2294" t="s">
        <v>9</v>
      </c>
      <c r="E2294" t="s">
        <v>10</v>
      </c>
      <c r="F2294">
        <v>12.9</v>
      </c>
      <c r="G2294">
        <v>91.7</v>
      </c>
      <c r="H2294" t="s">
        <v>13</v>
      </c>
      <c r="I2294" t="str">
        <f t="shared" si="35"/>
        <v>Alta</v>
      </c>
    </row>
    <row r="2295" spans="1:9">
      <c r="A2295" t="s">
        <v>406</v>
      </c>
      <c r="B2295">
        <v>2026</v>
      </c>
      <c r="C2295">
        <v>1</v>
      </c>
      <c r="D2295" t="s">
        <v>9</v>
      </c>
      <c r="E2295" t="s">
        <v>14</v>
      </c>
      <c r="F2295">
        <v>12.9</v>
      </c>
      <c r="G2295">
        <v>79.400000000000006</v>
      </c>
      <c r="H2295" t="s">
        <v>13</v>
      </c>
      <c r="I2295" t="str">
        <f t="shared" si="35"/>
        <v>Alta</v>
      </c>
    </row>
    <row r="2296" spans="1:9">
      <c r="A2296" t="s">
        <v>436</v>
      </c>
      <c r="B2296">
        <v>2026</v>
      </c>
      <c r="C2296">
        <v>1</v>
      </c>
      <c r="D2296" t="s">
        <v>9</v>
      </c>
      <c r="E2296" t="s">
        <v>10</v>
      </c>
      <c r="F2296">
        <v>12.9</v>
      </c>
      <c r="G2296">
        <v>59.6</v>
      </c>
      <c r="H2296" t="s">
        <v>13</v>
      </c>
      <c r="I2296" t="str">
        <f t="shared" si="35"/>
        <v>Média</v>
      </c>
    </row>
    <row r="2297" spans="1:9">
      <c r="A2297" t="s">
        <v>473</v>
      </c>
      <c r="B2297">
        <v>2026</v>
      </c>
      <c r="C2297">
        <v>1</v>
      </c>
      <c r="D2297" t="s">
        <v>75</v>
      </c>
      <c r="E2297" t="s">
        <v>77</v>
      </c>
      <c r="F2297">
        <v>12.9</v>
      </c>
      <c r="G2297">
        <v>69.900000000000006</v>
      </c>
      <c r="H2297" t="s">
        <v>13</v>
      </c>
      <c r="I2297" t="str">
        <f t="shared" si="35"/>
        <v>Média</v>
      </c>
    </row>
    <row r="2298" spans="1:9">
      <c r="A2298" t="s">
        <v>476</v>
      </c>
      <c r="B2298">
        <v>2026</v>
      </c>
      <c r="C2298">
        <v>1</v>
      </c>
      <c r="D2298" t="s">
        <v>75</v>
      </c>
      <c r="E2298" t="s">
        <v>76</v>
      </c>
      <c r="F2298">
        <v>12.9</v>
      </c>
      <c r="G2298">
        <v>79</v>
      </c>
      <c r="H2298" t="s">
        <v>13</v>
      </c>
      <c r="I2298" t="str">
        <f t="shared" si="35"/>
        <v>Alta</v>
      </c>
    </row>
    <row r="2299" spans="1:9">
      <c r="A2299" t="s">
        <v>501</v>
      </c>
      <c r="B2299">
        <v>2026</v>
      </c>
      <c r="C2299">
        <v>1</v>
      </c>
      <c r="D2299" t="s">
        <v>139</v>
      </c>
      <c r="E2299" t="s">
        <v>10</v>
      </c>
      <c r="F2299">
        <v>12.9</v>
      </c>
      <c r="G2299">
        <v>86.7</v>
      </c>
      <c r="H2299" t="s">
        <v>13</v>
      </c>
      <c r="I2299" t="str">
        <f t="shared" si="35"/>
        <v>Alta</v>
      </c>
    </row>
    <row r="2300" spans="1:9">
      <c r="A2300" t="s">
        <v>515</v>
      </c>
      <c r="B2300">
        <v>2026</v>
      </c>
      <c r="C2300">
        <v>1</v>
      </c>
      <c r="D2300" t="s">
        <v>139</v>
      </c>
      <c r="E2300" t="s">
        <v>10</v>
      </c>
      <c r="F2300">
        <v>12.9</v>
      </c>
      <c r="G2300">
        <v>85</v>
      </c>
      <c r="H2300" t="s">
        <v>13</v>
      </c>
      <c r="I2300" t="str">
        <f t="shared" si="35"/>
        <v>Alta</v>
      </c>
    </row>
    <row r="2301" spans="1:9">
      <c r="A2301" t="s">
        <v>542</v>
      </c>
      <c r="B2301">
        <v>2026</v>
      </c>
      <c r="C2301">
        <v>1</v>
      </c>
      <c r="D2301" t="s">
        <v>139</v>
      </c>
      <c r="E2301" t="s">
        <v>10</v>
      </c>
      <c r="F2301">
        <v>12.9</v>
      </c>
      <c r="G2301">
        <v>86.1</v>
      </c>
      <c r="H2301" t="s">
        <v>13</v>
      </c>
      <c r="I2301" t="str">
        <f t="shared" si="35"/>
        <v>Alta</v>
      </c>
    </row>
    <row r="2302" spans="1:9">
      <c r="A2302" t="s">
        <v>418</v>
      </c>
      <c r="B2302">
        <v>2026</v>
      </c>
      <c r="C2302">
        <v>2</v>
      </c>
      <c r="D2302" t="s">
        <v>9</v>
      </c>
      <c r="E2302" t="s">
        <v>10</v>
      </c>
      <c r="F2302">
        <v>12.9</v>
      </c>
      <c r="G2302">
        <v>84.5</v>
      </c>
      <c r="H2302" t="s">
        <v>13</v>
      </c>
      <c r="I2302" t="str">
        <f t="shared" si="35"/>
        <v>Alta</v>
      </c>
    </row>
    <row r="2303" spans="1:9">
      <c r="A2303" t="s">
        <v>463</v>
      </c>
      <c r="B2303">
        <v>2026</v>
      </c>
      <c r="C2303">
        <v>2</v>
      </c>
      <c r="D2303" t="s">
        <v>75</v>
      </c>
      <c r="E2303" t="s">
        <v>77</v>
      </c>
      <c r="F2303">
        <v>12.9</v>
      </c>
      <c r="G2303">
        <v>72.7</v>
      </c>
      <c r="H2303" t="s">
        <v>13</v>
      </c>
      <c r="I2303" t="str">
        <f t="shared" si="35"/>
        <v>Média</v>
      </c>
    </row>
    <row r="2304" spans="1:9">
      <c r="A2304" t="s">
        <v>524</v>
      </c>
      <c r="B2304">
        <v>2026</v>
      </c>
      <c r="C2304">
        <v>2</v>
      </c>
      <c r="D2304" t="s">
        <v>139</v>
      </c>
      <c r="E2304" t="s">
        <v>140</v>
      </c>
      <c r="F2304">
        <v>12.9</v>
      </c>
      <c r="G2304">
        <v>55.3</v>
      </c>
      <c r="H2304" t="s">
        <v>13</v>
      </c>
      <c r="I2304" t="str">
        <f t="shared" si="35"/>
        <v>Média</v>
      </c>
    </row>
    <row r="2305" spans="1:9">
      <c r="A2305" t="s">
        <v>541</v>
      </c>
      <c r="B2305">
        <v>2026</v>
      </c>
      <c r="C2305">
        <v>2</v>
      </c>
      <c r="D2305" t="s">
        <v>139</v>
      </c>
      <c r="E2305" t="s">
        <v>140</v>
      </c>
      <c r="F2305">
        <v>12.9</v>
      </c>
      <c r="G2305">
        <v>72.400000000000006</v>
      </c>
      <c r="H2305" t="s">
        <v>13</v>
      </c>
      <c r="I2305" t="str">
        <f t="shared" si="35"/>
        <v>Média</v>
      </c>
    </row>
    <row r="2306" spans="1:9">
      <c r="A2306" t="s">
        <v>544</v>
      </c>
      <c r="B2306">
        <v>2026</v>
      </c>
      <c r="C2306">
        <v>2</v>
      </c>
      <c r="D2306" t="s">
        <v>139</v>
      </c>
      <c r="E2306" t="s">
        <v>10</v>
      </c>
      <c r="F2306">
        <v>12.9</v>
      </c>
      <c r="G2306">
        <v>87.7</v>
      </c>
      <c r="H2306" t="s">
        <v>13</v>
      </c>
      <c r="I2306" t="str">
        <f t="shared" ref="I2306:I2369" si="36">IF(G2306&lt;50,"Baixa",IF(G2306&lt;75,"Média","Alta"))</f>
        <v>Alta</v>
      </c>
    </row>
    <row r="2307" spans="1:9">
      <c r="A2307" t="s">
        <v>112</v>
      </c>
      <c r="B2307">
        <v>2024</v>
      </c>
      <c r="C2307">
        <v>1</v>
      </c>
      <c r="D2307" t="s">
        <v>75</v>
      </c>
      <c r="E2307" t="s">
        <v>77</v>
      </c>
      <c r="F2307">
        <v>13</v>
      </c>
      <c r="G2307">
        <v>82.1</v>
      </c>
      <c r="H2307" t="s">
        <v>13</v>
      </c>
      <c r="I2307" t="str">
        <f t="shared" si="36"/>
        <v>Alta</v>
      </c>
    </row>
    <row r="2308" spans="1:9">
      <c r="A2308" t="s">
        <v>116</v>
      </c>
      <c r="B2308">
        <v>2024</v>
      </c>
      <c r="C2308">
        <v>1</v>
      </c>
      <c r="D2308" t="s">
        <v>75</v>
      </c>
      <c r="E2308" t="s">
        <v>77</v>
      </c>
      <c r="F2308">
        <v>13</v>
      </c>
      <c r="G2308">
        <v>79.5</v>
      </c>
      <c r="H2308" t="s">
        <v>13</v>
      </c>
      <c r="I2308" t="str">
        <f t="shared" si="36"/>
        <v>Alta</v>
      </c>
    </row>
    <row r="2309" spans="1:9">
      <c r="A2309" t="s">
        <v>136</v>
      </c>
      <c r="B2309">
        <v>2024</v>
      </c>
      <c r="C2309">
        <v>1</v>
      </c>
      <c r="D2309" t="s">
        <v>75</v>
      </c>
      <c r="E2309" t="s">
        <v>76</v>
      </c>
      <c r="F2309">
        <v>13</v>
      </c>
      <c r="G2309">
        <v>88.1</v>
      </c>
      <c r="H2309" t="s">
        <v>13</v>
      </c>
      <c r="I2309" t="str">
        <f t="shared" si="36"/>
        <v>Alta</v>
      </c>
    </row>
    <row r="2310" spans="1:9">
      <c r="A2310" t="s">
        <v>157</v>
      </c>
      <c r="B2310">
        <v>2024</v>
      </c>
      <c r="C2310">
        <v>1</v>
      </c>
      <c r="D2310" t="s">
        <v>139</v>
      </c>
      <c r="E2310" t="s">
        <v>141</v>
      </c>
      <c r="F2310">
        <v>13</v>
      </c>
      <c r="G2310">
        <v>86.8</v>
      </c>
      <c r="H2310" t="s">
        <v>13</v>
      </c>
      <c r="I2310" t="str">
        <f t="shared" si="36"/>
        <v>Alta</v>
      </c>
    </row>
    <row r="2311" spans="1:9">
      <c r="A2311" t="s">
        <v>39</v>
      </c>
      <c r="B2311">
        <v>2024</v>
      </c>
      <c r="C2311">
        <v>2</v>
      </c>
      <c r="D2311" t="s">
        <v>9</v>
      </c>
      <c r="E2311" t="s">
        <v>14</v>
      </c>
      <c r="F2311">
        <v>13</v>
      </c>
      <c r="G2311">
        <v>66.3</v>
      </c>
      <c r="H2311" t="s">
        <v>13</v>
      </c>
      <c r="I2311" t="str">
        <f t="shared" si="36"/>
        <v>Média</v>
      </c>
    </row>
    <row r="2312" spans="1:9">
      <c r="A2312" t="s">
        <v>60</v>
      </c>
      <c r="B2312">
        <v>2024</v>
      </c>
      <c r="C2312">
        <v>2</v>
      </c>
      <c r="D2312" t="s">
        <v>9</v>
      </c>
      <c r="E2312" t="s">
        <v>10</v>
      </c>
      <c r="F2312">
        <v>13</v>
      </c>
      <c r="G2312">
        <v>93</v>
      </c>
      <c r="H2312" t="s">
        <v>13</v>
      </c>
      <c r="I2312" t="str">
        <f t="shared" si="36"/>
        <v>Alta</v>
      </c>
    </row>
    <row r="2313" spans="1:9">
      <c r="A2313" t="s">
        <v>107</v>
      </c>
      <c r="B2313">
        <v>2024</v>
      </c>
      <c r="C2313">
        <v>2</v>
      </c>
      <c r="D2313" t="s">
        <v>75</v>
      </c>
      <c r="E2313" t="s">
        <v>78</v>
      </c>
      <c r="F2313">
        <v>13</v>
      </c>
      <c r="G2313">
        <v>79</v>
      </c>
      <c r="H2313" t="s">
        <v>13</v>
      </c>
      <c r="I2313" t="str">
        <f t="shared" si="36"/>
        <v>Alta</v>
      </c>
    </row>
    <row r="2314" spans="1:9">
      <c r="A2314" t="s">
        <v>127</v>
      </c>
      <c r="B2314">
        <v>2024</v>
      </c>
      <c r="C2314">
        <v>2</v>
      </c>
      <c r="D2314" t="s">
        <v>75</v>
      </c>
      <c r="E2314" t="s">
        <v>77</v>
      </c>
      <c r="F2314">
        <v>13</v>
      </c>
      <c r="G2314">
        <v>84.6</v>
      </c>
      <c r="H2314" t="s">
        <v>13</v>
      </c>
      <c r="I2314" t="str">
        <f t="shared" si="36"/>
        <v>Alta</v>
      </c>
    </row>
    <row r="2315" spans="1:9">
      <c r="A2315" t="s">
        <v>165</v>
      </c>
      <c r="B2315">
        <v>2024</v>
      </c>
      <c r="C2315">
        <v>2</v>
      </c>
      <c r="D2315" t="s">
        <v>139</v>
      </c>
      <c r="E2315" t="s">
        <v>141</v>
      </c>
      <c r="F2315">
        <v>13</v>
      </c>
      <c r="G2315">
        <v>80</v>
      </c>
      <c r="H2315" t="s">
        <v>13</v>
      </c>
      <c r="I2315" t="str">
        <f t="shared" si="36"/>
        <v>Alta</v>
      </c>
    </row>
    <row r="2316" spans="1:9">
      <c r="A2316" t="s">
        <v>182</v>
      </c>
      <c r="B2316">
        <v>2024</v>
      </c>
      <c r="C2316">
        <v>2</v>
      </c>
      <c r="D2316" t="s">
        <v>139</v>
      </c>
      <c r="E2316" t="s">
        <v>141</v>
      </c>
      <c r="F2316">
        <v>13</v>
      </c>
      <c r="G2316">
        <v>86</v>
      </c>
      <c r="H2316" t="s">
        <v>13</v>
      </c>
      <c r="I2316" t="str">
        <f t="shared" si="36"/>
        <v>Alta</v>
      </c>
    </row>
    <row r="2317" spans="1:9">
      <c r="A2317" t="s">
        <v>189</v>
      </c>
      <c r="B2317">
        <v>2024</v>
      </c>
      <c r="C2317">
        <v>2</v>
      </c>
      <c r="D2317" t="s">
        <v>139</v>
      </c>
      <c r="E2317" t="s">
        <v>141</v>
      </c>
      <c r="F2317">
        <v>13</v>
      </c>
      <c r="G2317">
        <v>47.7</v>
      </c>
      <c r="H2317" t="s">
        <v>13</v>
      </c>
      <c r="I2317" t="str">
        <f t="shared" si="36"/>
        <v>Baixa</v>
      </c>
    </row>
    <row r="2318" spans="1:9">
      <c r="A2318" t="s">
        <v>227</v>
      </c>
      <c r="B2318">
        <v>2025</v>
      </c>
      <c r="C2318">
        <v>1</v>
      </c>
      <c r="D2318" t="s">
        <v>9</v>
      </c>
      <c r="E2318" t="s">
        <v>12</v>
      </c>
      <c r="F2318">
        <v>13</v>
      </c>
      <c r="G2318">
        <v>96.8</v>
      </c>
      <c r="H2318" t="s">
        <v>13</v>
      </c>
      <c r="I2318" t="str">
        <f t="shared" si="36"/>
        <v>Alta</v>
      </c>
    </row>
    <row r="2319" spans="1:9">
      <c r="A2319" t="s">
        <v>260</v>
      </c>
      <c r="B2319">
        <v>2025</v>
      </c>
      <c r="C2319">
        <v>1</v>
      </c>
      <c r="D2319" t="s">
        <v>9</v>
      </c>
      <c r="E2319" t="s">
        <v>12</v>
      </c>
      <c r="F2319">
        <v>13</v>
      </c>
      <c r="G2319">
        <v>68.3</v>
      </c>
      <c r="H2319" t="s">
        <v>13</v>
      </c>
      <c r="I2319" t="str">
        <f t="shared" si="36"/>
        <v>Média</v>
      </c>
    </row>
    <row r="2320" spans="1:9">
      <c r="A2320" t="s">
        <v>317</v>
      </c>
      <c r="B2320">
        <v>2025</v>
      </c>
      <c r="C2320">
        <v>1</v>
      </c>
      <c r="D2320" t="s">
        <v>75</v>
      </c>
      <c r="E2320" t="s">
        <v>78</v>
      </c>
      <c r="F2320">
        <v>13</v>
      </c>
      <c r="G2320">
        <v>94.8</v>
      </c>
      <c r="H2320" t="s">
        <v>13</v>
      </c>
      <c r="I2320" t="str">
        <f t="shared" si="36"/>
        <v>Alta</v>
      </c>
    </row>
    <row r="2321" spans="1:9">
      <c r="A2321" t="s">
        <v>344</v>
      </c>
      <c r="B2321">
        <v>2025</v>
      </c>
      <c r="C2321">
        <v>1</v>
      </c>
      <c r="D2321" t="s">
        <v>139</v>
      </c>
      <c r="E2321" t="s">
        <v>140</v>
      </c>
      <c r="F2321">
        <v>13</v>
      </c>
      <c r="G2321">
        <v>82.1</v>
      </c>
      <c r="H2321" t="s">
        <v>13</v>
      </c>
      <c r="I2321" t="str">
        <f t="shared" si="36"/>
        <v>Alta</v>
      </c>
    </row>
    <row r="2322" spans="1:9">
      <c r="A2322" t="s">
        <v>377</v>
      </c>
      <c r="B2322">
        <v>2025</v>
      </c>
      <c r="C2322">
        <v>1</v>
      </c>
      <c r="D2322" t="s">
        <v>139</v>
      </c>
      <c r="E2322" t="s">
        <v>140</v>
      </c>
      <c r="F2322">
        <v>13</v>
      </c>
      <c r="G2322">
        <v>85.9</v>
      </c>
      <c r="H2322" t="s">
        <v>13</v>
      </c>
      <c r="I2322" t="str">
        <f t="shared" si="36"/>
        <v>Alta</v>
      </c>
    </row>
    <row r="2323" spans="1:9">
      <c r="A2323" t="s">
        <v>218</v>
      </c>
      <c r="B2323">
        <v>2025</v>
      </c>
      <c r="C2323">
        <v>2</v>
      </c>
      <c r="D2323" t="s">
        <v>9</v>
      </c>
      <c r="E2323" t="s">
        <v>14</v>
      </c>
      <c r="F2323">
        <v>13</v>
      </c>
      <c r="G2323">
        <v>65.3</v>
      </c>
      <c r="H2323" t="s">
        <v>13</v>
      </c>
      <c r="I2323" t="str">
        <f t="shared" si="36"/>
        <v>Média</v>
      </c>
    </row>
    <row r="2324" spans="1:9">
      <c r="A2324" t="s">
        <v>256</v>
      </c>
      <c r="B2324">
        <v>2025</v>
      </c>
      <c r="C2324">
        <v>2</v>
      </c>
      <c r="D2324" t="s">
        <v>9</v>
      </c>
      <c r="E2324" t="s">
        <v>10</v>
      </c>
      <c r="F2324">
        <v>13</v>
      </c>
      <c r="G2324">
        <v>97</v>
      </c>
      <c r="H2324" t="s">
        <v>13</v>
      </c>
      <c r="I2324" t="str">
        <f t="shared" si="36"/>
        <v>Alta</v>
      </c>
    </row>
    <row r="2325" spans="1:9">
      <c r="A2325" t="s">
        <v>257</v>
      </c>
      <c r="B2325">
        <v>2025</v>
      </c>
      <c r="C2325">
        <v>2</v>
      </c>
      <c r="D2325" t="s">
        <v>9</v>
      </c>
      <c r="E2325" t="s">
        <v>10</v>
      </c>
      <c r="F2325">
        <v>13</v>
      </c>
      <c r="G2325">
        <v>66.5</v>
      </c>
      <c r="H2325" t="s">
        <v>13</v>
      </c>
      <c r="I2325" t="str">
        <f t="shared" si="36"/>
        <v>Média</v>
      </c>
    </row>
    <row r="2326" spans="1:9">
      <c r="A2326" t="s">
        <v>274</v>
      </c>
      <c r="B2326">
        <v>2025</v>
      </c>
      <c r="C2326">
        <v>2</v>
      </c>
      <c r="D2326" t="s">
        <v>75</v>
      </c>
      <c r="E2326" t="s">
        <v>77</v>
      </c>
      <c r="F2326">
        <v>13</v>
      </c>
      <c r="G2326">
        <v>86.4</v>
      </c>
      <c r="H2326" t="s">
        <v>13</v>
      </c>
      <c r="I2326" t="str">
        <f t="shared" si="36"/>
        <v>Alta</v>
      </c>
    </row>
    <row r="2327" spans="1:9">
      <c r="A2327" t="s">
        <v>408</v>
      </c>
      <c r="B2327">
        <v>2026</v>
      </c>
      <c r="C2327">
        <v>1</v>
      </c>
      <c r="D2327" t="s">
        <v>9</v>
      </c>
      <c r="E2327" t="s">
        <v>14</v>
      </c>
      <c r="F2327">
        <v>13</v>
      </c>
      <c r="G2327">
        <v>88</v>
      </c>
      <c r="H2327" t="s">
        <v>13</v>
      </c>
      <c r="I2327" t="str">
        <f t="shared" si="36"/>
        <v>Alta</v>
      </c>
    </row>
    <row r="2328" spans="1:9">
      <c r="A2328" t="s">
        <v>468</v>
      </c>
      <c r="B2328">
        <v>2026</v>
      </c>
      <c r="C2328">
        <v>1</v>
      </c>
      <c r="D2328" t="s">
        <v>75</v>
      </c>
      <c r="E2328" t="s">
        <v>77</v>
      </c>
      <c r="F2328">
        <v>13</v>
      </c>
      <c r="G2328">
        <v>88.1</v>
      </c>
      <c r="H2328" t="s">
        <v>13</v>
      </c>
      <c r="I2328" t="str">
        <f t="shared" si="36"/>
        <v>Alta</v>
      </c>
    </row>
    <row r="2329" spans="1:9">
      <c r="A2329" t="s">
        <v>469</v>
      </c>
      <c r="B2329">
        <v>2026</v>
      </c>
      <c r="C2329">
        <v>1</v>
      </c>
      <c r="D2329" t="s">
        <v>75</v>
      </c>
      <c r="E2329" t="s">
        <v>76</v>
      </c>
      <c r="F2329">
        <v>13</v>
      </c>
      <c r="G2329">
        <v>84.6</v>
      </c>
      <c r="H2329" t="s">
        <v>13</v>
      </c>
      <c r="I2329" t="str">
        <f t="shared" si="36"/>
        <v>Alta</v>
      </c>
    </row>
    <row r="2330" spans="1:9">
      <c r="A2330" t="s">
        <v>480</v>
      </c>
      <c r="B2330">
        <v>2026</v>
      </c>
      <c r="C2330">
        <v>1</v>
      </c>
      <c r="D2330" t="s">
        <v>75</v>
      </c>
      <c r="E2330" t="s">
        <v>78</v>
      </c>
      <c r="F2330">
        <v>13</v>
      </c>
      <c r="G2330">
        <v>84</v>
      </c>
      <c r="H2330" t="s">
        <v>13</v>
      </c>
      <c r="I2330" t="str">
        <f t="shared" si="36"/>
        <v>Alta</v>
      </c>
    </row>
    <row r="2331" spans="1:9">
      <c r="A2331" t="s">
        <v>481</v>
      </c>
      <c r="B2331">
        <v>2026</v>
      </c>
      <c r="C2331">
        <v>1</v>
      </c>
      <c r="D2331" t="s">
        <v>75</v>
      </c>
      <c r="E2331" t="s">
        <v>78</v>
      </c>
      <c r="F2331">
        <v>13</v>
      </c>
      <c r="G2331">
        <v>48.6</v>
      </c>
      <c r="H2331" t="s">
        <v>13</v>
      </c>
      <c r="I2331" t="str">
        <f t="shared" si="36"/>
        <v>Baixa</v>
      </c>
    </row>
    <row r="2332" spans="1:9">
      <c r="A2332" t="s">
        <v>518</v>
      </c>
      <c r="B2332">
        <v>2026</v>
      </c>
      <c r="C2332">
        <v>1</v>
      </c>
      <c r="D2332" t="s">
        <v>139</v>
      </c>
      <c r="E2332" t="s">
        <v>141</v>
      </c>
      <c r="F2332">
        <v>13</v>
      </c>
      <c r="G2332">
        <v>89.3</v>
      </c>
      <c r="H2332" t="s">
        <v>13</v>
      </c>
      <c r="I2332" t="str">
        <f t="shared" si="36"/>
        <v>Alta</v>
      </c>
    </row>
    <row r="2333" spans="1:9">
      <c r="A2333" t="s">
        <v>539</v>
      </c>
      <c r="B2333">
        <v>2026</v>
      </c>
      <c r="C2333">
        <v>1</v>
      </c>
      <c r="D2333" t="s">
        <v>139</v>
      </c>
      <c r="E2333" t="s">
        <v>140</v>
      </c>
      <c r="F2333">
        <v>13</v>
      </c>
      <c r="G2333">
        <v>46.8</v>
      </c>
      <c r="H2333" t="s">
        <v>13</v>
      </c>
      <c r="I2333" t="str">
        <f t="shared" si="36"/>
        <v>Baixa</v>
      </c>
    </row>
    <row r="2334" spans="1:9">
      <c r="A2334" t="s">
        <v>540</v>
      </c>
      <c r="B2334">
        <v>2026</v>
      </c>
      <c r="C2334">
        <v>1</v>
      </c>
      <c r="D2334" t="s">
        <v>139</v>
      </c>
      <c r="E2334" t="s">
        <v>140</v>
      </c>
      <c r="F2334">
        <v>13</v>
      </c>
      <c r="G2334">
        <v>91.5</v>
      </c>
      <c r="H2334" t="s">
        <v>13</v>
      </c>
      <c r="I2334" t="str">
        <f t="shared" si="36"/>
        <v>Alta</v>
      </c>
    </row>
    <row r="2335" spans="1:9">
      <c r="A2335" t="s">
        <v>394</v>
      </c>
      <c r="B2335">
        <v>2026</v>
      </c>
      <c r="C2335">
        <v>2</v>
      </c>
      <c r="D2335" t="s">
        <v>9</v>
      </c>
      <c r="E2335" t="s">
        <v>12</v>
      </c>
      <c r="F2335">
        <v>13</v>
      </c>
      <c r="G2335">
        <v>57.9</v>
      </c>
      <c r="H2335" t="s">
        <v>13</v>
      </c>
      <c r="I2335" t="str">
        <f t="shared" si="36"/>
        <v>Média</v>
      </c>
    </row>
    <row r="2336" spans="1:9">
      <c r="A2336" t="s">
        <v>440</v>
      </c>
      <c r="B2336">
        <v>2026</v>
      </c>
      <c r="C2336">
        <v>2</v>
      </c>
      <c r="D2336" t="s">
        <v>9</v>
      </c>
      <c r="E2336" t="s">
        <v>10</v>
      </c>
      <c r="F2336">
        <v>13</v>
      </c>
      <c r="G2336">
        <v>62.3</v>
      </c>
      <c r="H2336" t="s">
        <v>13</v>
      </c>
      <c r="I2336" t="str">
        <f t="shared" si="36"/>
        <v>Média</v>
      </c>
    </row>
    <row r="2337" spans="1:9">
      <c r="A2337" t="s">
        <v>485</v>
      </c>
      <c r="B2337">
        <v>2026</v>
      </c>
      <c r="C2337">
        <v>2</v>
      </c>
      <c r="D2337" t="s">
        <v>75</v>
      </c>
      <c r="E2337" t="s">
        <v>78</v>
      </c>
      <c r="F2337">
        <v>13</v>
      </c>
      <c r="G2337">
        <v>93.1</v>
      </c>
      <c r="H2337" t="s">
        <v>13</v>
      </c>
      <c r="I2337" t="str">
        <f t="shared" si="36"/>
        <v>Alta</v>
      </c>
    </row>
    <row r="2338" spans="1:9">
      <c r="A2338" t="s">
        <v>511</v>
      </c>
      <c r="B2338">
        <v>2026</v>
      </c>
      <c r="C2338">
        <v>2</v>
      </c>
      <c r="D2338" t="s">
        <v>139</v>
      </c>
      <c r="E2338" t="s">
        <v>140</v>
      </c>
      <c r="F2338">
        <v>13</v>
      </c>
      <c r="G2338">
        <v>67.400000000000006</v>
      </c>
      <c r="H2338" t="s">
        <v>13</v>
      </c>
      <c r="I2338" t="str">
        <f t="shared" si="36"/>
        <v>Média</v>
      </c>
    </row>
    <row r="2339" spans="1:9">
      <c r="A2339" t="s">
        <v>559</v>
      </c>
      <c r="B2339">
        <v>2026</v>
      </c>
      <c r="C2339">
        <v>2</v>
      </c>
      <c r="D2339" t="s">
        <v>139</v>
      </c>
      <c r="E2339" t="s">
        <v>141</v>
      </c>
      <c r="F2339">
        <v>13</v>
      </c>
      <c r="G2339">
        <v>77.099999999999994</v>
      </c>
      <c r="H2339" t="s">
        <v>13</v>
      </c>
      <c r="I2339" t="str">
        <f t="shared" si="36"/>
        <v>Alta</v>
      </c>
    </row>
    <row r="2340" spans="1:9">
      <c r="A2340" t="s">
        <v>74</v>
      </c>
      <c r="B2340">
        <v>2024</v>
      </c>
      <c r="C2340">
        <v>1</v>
      </c>
      <c r="D2340" t="s">
        <v>75</v>
      </c>
      <c r="E2340" t="s">
        <v>77</v>
      </c>
      <c r="F2340">
        <v>13.1</v>
      </c>
      <c r="G2340">
        <v>99.2</v>
      </c>
      <c r="H2340" t="s">
        <v>13</v>
      </c>
      <c r="I2340" t="str">
        <f t="shared" si="36"/>
        <v>Alta</v>
      </c>
    </row>
    <row r="2341" spans="1:9">
      <c r="A2341" t="s">
        <v>104</v>
      </c>
      <c r="B2341">
        <v>2024</v>
      </c>
      <c r="C2341">
        <v>1</v>
      </c>
      <c r="D2341" t="s">
        <v>75</v>
      </c>
      <c r="E2341" t="s">
        <v>78</v>
      </c>
      <c r="F2341">
        <v>13.1</v>
      </c>
      <c r="G2341">
        <v>76.099999999999994</v>
      </c>
      <c r="H2341" t="s">
        <v>13</v>
      </c>
      <c r="I2341" t="str">
        <f t="shared" si="36"/>
        <v>Alta</v>
      </c>
    </row>
    <row r="2342" spans="1:9">
      <c r="A2342" t="s">
        <v>118</v>
      </c>
      <c r="B2342">
        <v>2024</v>
      </c>
      <c r="C2342">
        <v>1</v>
      </c>
      <c r="D2342" t="s">
        <v>75</v>
      </c>
      <c r="E2342" t="s">
        <v>78</v>
      </c>
      <c r="F2342">
        <v>13.1</v>
      </c>
      <c r="G2342">
        <v>91.4</v>
      </c>
      <c r="H2342" t="s">
        <v>13</v>
      </c>
      <c r="I2342" t="str">
        <f t="shared" si="36"/>
        <v>Alta</v>
      </c>
    </row>
    <row r="2343" spans="1:9">
      <c r="A2343" t="s">
        <v>122</v>
      </c>
      <c r="B2343">
        <v>2024</v>
      </c>
      <c r="C2343">
        <v>1</v>
      </c>
      <c r="D2343" t="s">
        <v>75</v>
      </c>
      <c r="E2343" t="s">
        <v>78</v>
      </c>
      <c r="F2343">
        <v>13.1</v>
      </c>
      <c r="G2343">
        <v>67.099999999999994</v>
      </c>
      <c r="H2343" t="s">
        <v>13</v>
      </c>
      <c r="I2343" t="str">
        <f t="shared" si="36"/>
        <v>Média</v>
      </c>
    </row>
    <row r="2344" spans="1:9">
      <c r="A2344" t="s">
        <v>181</v>
      </c>
      <c r="B2344">
        <v>2024</v>
      </c>
      <c r="C2344">
        <v>1</v>
      </c>
      <c r="D2344" t="s">
        <v>139</v>
      </c>
      <c r="E2344" t="s">
        <v>141</v>
      </c>
      <c r="F2344">
        <v>13.1</v>
      </c>
      <c r="G2344">
        <v>87.8</v>
      </c>
      <c r="H2344" t="s">
        <v>13</v>
      </c>
      <c r="I2344" t="str">
        <f t="shared" si="36"/>
        <v>Alta</v>
      </c>
    </row>
    <row r="2345" spans="1:9">
      <c r="A2345" t="s">
        <v>190</v>
      </c>
      <c r="B2345">
        <v>2024</v>
      </c>
      <c r="C2345">
        <v>1</v>
      </c>
      <c r="D2345" t="s">
        <v>139</v>
      </c>
      <c r="E2345" t="s">
        <v>10</v>
      </c>
      <c r="F2345">
        <v>13.1</v>
      </c>
      <c r="G2345">
        <v>54.9</v>
      </c>
      <c r="H2345" t="s">
        <v>13</v>
      </c>
      <c r="I2345" t="str">
        <f t="shared" si="36"/>
        <v>Média</v>
      </c>
    </row>
    <row r="2346" spans="1:9">
      <c r="A2346" t="s">
        <v>15</v>
      </c>
      <c r="B2346">
        <v>2024</v>
      </c>
      <c r="C2346">
        <v>2</v>
      </c>
      <c r="D2346" t="s">
        <v>9</v>
      </c>
      <c r="E2346" t="s">
        <v>12</v>
      </c>
      <c r="F2346">
        <v>13.1</v>
      </c>
      <c r="G2346">
        <v>87.8</v>
      </c>
      <c r="H2346" t="s">
        <v>13</v>
      </c>
      <c r="I2346" t="str">
        <f t="shared" si="36"/>
        <v>Alta</v>
      </c>
    </row>
    <row r="2347" spans="1:9">
      <c r="A2347" t="s">
        <v>287</v>
      </c>
      <c r="B2347">
        <v>2025</v>
      </c>
      <c r="C2347">
        <v>1</v>
      </c>
      <c r="D2347" t="s">
        <v>75</v>
      </c>
      <c r="E2347" t="s">
        <v>78</v>
      </c>
      <c r="F2347">
        <v>13.1</v>
      </c>
      <c r="G2347">
        <v>75.3</v>
      </c>
      <c r="H2347" t="s">
        <v>13</v>
      </c>
      <c r="I2347" t="str">
        <f t="shared" si="36"/>
        <v>Alta</v>
      </c>
    </row>
    <row r="2348" spans="1:9">
      <c r="A2348" t="s">
        <v>313</v>
      </c>
      <c r="B2348">
        <v>2025</v>
      </c>
      <c r="C2348">
        <v>1</v>
      </c>
      <c r="D2348" t="s">
        <v>75</v>
      </c>
      <c r="E2348" t="s">
        <v>78</v>
      </c>
      <c r="F2348">
        <v>13.1</v>
      </c>
      <c r="G2348">
        <v>78.3</v>
      </c>
      <c r="H2348" t="s">
        <v>13</v>
      </c>
      <c r="I2348" t="str">
        <f t="shared" si="36"/>
        <v>Alta</v>
      </c>
    </row>
    <row r="2349" spans="1:9">
      <c r="A2349" t="s">
        <v>250</v>
      </c>
      <c r="B2349">
        <v>2025</v>
      </c>
      <c r="C2349">
        <v>2</v>
      </c>
      <c r="D2349" t="s">
        <v>9</v>
      </c>
      <c r="E2349" t="s">
        <v>12</v>
      </c>
      <c r="F2349">
        <v>13.1</v>
      </c>
      <c r="G2349">
        <v>79.400000000000006</v>
      </c>
      <c r="H2349" t="s">
        <v>13</v>
      </c>
      <c r="I2349" t="str">
        <f t="shared" si="36"/>
        <v>Alta</v>
      </c>
    </row>
    <row r="2350" spans="1:9">
      <c r="A2350" t="s">
        <v>291</v>
      </c>
      <c r="B2350">
        <v>2025</v>
      </c>
      <c r="C2350">
        <v>2</v>
      </c>
      <c r="D2350" t="s">
        <v>75</v>
      </c>
      <c r="E2350" t="s">
        <v>78</v>
      </c>
      <c r="F2350">
        <v>13.1</v>
      </c>
      <c r="G2350">
        <v>85</v>
      </c>
      <c r="H2350" t="s">
        <v>13</v>
      </c>
      <c r="I2350" t="str">
        <f t="shared" si="36"/>
        <v>Alta</v>
      </c>
    </row>
    <row r="2351" spans="1:9">
      <c r="A2351" t="s">
        <v>370</v>
      </c>
      <c r="B2351">
        <v>2025</v>
      </c>
      <c r="C2351">
        <v>2</v>
      </c>
      <c r="D2351" t="s">
        <v>139</v>
      </c>
      <c r="E2351" t="s">
        <v>141</v>
      </c>
      <c r="F2351">
        <v>13.1</v>
      </c>
      <c r="G2351">
        <v>56.9</v>
      </c>
      <c r="H2351" t="s">
        <v>13</v>
      </c>
      <c r="I2351" t="str">
        <f t="shared" si="36"/>
        <v>Média</v>
      </c>
    </row>
    <row r="2352" spans="1:9">
      <c r="A2352" t="s">
        <v>378</v>
      </c>
      <c r="B2352">
        <v>2025</v>
      </c>
      <c r="C2352">
        <v>2</v>
      </c>
      <c r="D2352" t="s">
        <v>139</v>
      </c>
      <c r="E2352" t="s">
        <v>10</v>
      </c>
      <c r="F2352">
        <v>13.1</v>
      </c>
      <c r="G2352">
        <v>67.8</v>
      </c>
      <c r="H2352" t="s">
        <v>13</v>
      </c>
      <c r="I2352" t="str">
        <f t="shared" si="36"/>
        <v>Média</v>
      </c>
    </row>
    <row r="2353" spans="1:9">
      <c r="A2353" t="s">
        <v>391</v>
      </c>
      <c r="B2353">
        <v>2026</v>
      </c>
      <c r="C2353">
        <v>1</v>
      </c>
      <c r="D2353" t="s">
        <v>9</v>
      </c>
      <c r="E2353" t="s">
        <v>12</v>
      </c>
      <c r="F2353">
        <v>13.1</v>
      </c>
      <c r="G2353">
        <v>91.9</v>
      </c>
      <c r="H2353" t="s">
        <v>13</v>
      </c>
      <c r="I2353" t="str">
        <f t="shared" si="36"/>
        <v>Alta</v>
      </c>
    </row>
    <row r="2354" spans="1:9">
      <c r="A2354" t="s">
        <v>405</v>
      </c>
      <c r="B2354">
        <v>2026</v>
      </c>
      <c r="C2354">
        <v>1</v>
      </c>
      <c r="D2354" t="s">
        <v>9</v>
      </c>
      <c r="E2354" t="s">
        <v>12</v>
      </c>
      <c r="F2354">
        <v>13.1</v>
      </c>
      <c r="G2354">
        <v>56.2</v>
      </c>
      <c r="H2354" t="s">
        <v>13</v>
      </c>
      <c r="I2354" t="str">
        <f t="shared" si="36"/>
        <v>Média</v>
      </c>
    </row>
    <row r="2355" spans="1:9">
      <c r="A2355" t="s">
        <v>412</v>
      </c>
      <c r="B2355">
        <v>2026</v>
      </c>
      <c r="C2355">
        <v>1</v>
      </c>
      <c r="D2355" t="s">
        <v>9</v>
      </c>
      <c r="E2355" t="s">
        <v>14</v>
      </c>
      <c r="F2355">
        <v>13.1</v>
      </c>
      <c r="G2355">
        <v>89.6</v>
      </c>
      <c r="H2355" t="s">
        <v>13</v>
      </c>
      <c r="I2355" t="str">
        <f t="shared" si="36"/>
        <v>Alta</v>
      </c>
    </row>
    <row r="2356" spans="1:9">
      <c r="A2356" t="s">
        <v>433</v>
      </c>
      <c r="B2356">
        <v>2026</v>
      </c>
      <c r="C2356">
        <v>1</v>
      </c>
      <c r="D2356" t="s">
        <v>9</v>
      </c>
      <c r="E2356" t="s">
        <v>10</v>
      </c>
      <c r="F2356">
        <v>13.1</v>
      </c>
      <c r="G2356">
        <v>87.8</v>
      </c>
      <c r="H2356" t="s">
        <v>13</v>
      </c>
      <c r="I2356" t="str">
        <f t="shared" si="36"/>
        <v>Alta</v>
      </c>
    </row>
    <row r="2357" spans="1:9">
      <c r="A2357" t="s">
        <v>443</v>
      </c>
      <c r="B2357">
        <v>2026</v>
      </c>
      <c r="C2357">
        <v>1</v>
      </c>
      <c r="D2357" t="s">
        <v>75</v>
      </c>
      <c r="E2357" t="s">
        <v>77</v>
      </c>
      <c r="F2357">
        <v>13.1</v>
      </c>
      <c r="G2357">
        <v>49.9</v>
      </c>
      <c r="H2357" t="s">
        <v>13</v>
      </c>
      <c r="I2357" t="str">
        <f t="shared" si="36"/>
        <v>Baixa</v>
      </c>
    </row>
    <row r="2358" spans="1:9">
      <c r="A2358" t="s">
        <v>480</v>
      </c>
      <c r="B2358">
        <v>2026</v>
      </c>
      <c r="C2358">
        <v>1</v>
      </c>
      <c r="D2358" t="s">
        <v>75</v>
      </c>
      <c r="E2358" t="s">
        <v>76</v>
      </c>
      <c r="F2358">
        <v>13.1</v>
      </c>
      <c r="G2358">
        <v>92.8</v>
      </c>
      <c r="H2358" t="s">
        <v>13</v>
      </c>
      <c r="I2358" t="str">
        <f t="shared" si="36"/>
        <v>Alta</v>
      </c>
    </row>
    <row r="2359" spans="1:9">
      <c r="A2359" t="s">
        <v>490</v>
      </c>
      <c r="B2359">
        <v>2026</v>
      </c>
      <c r="C2359">
        <v>1</v>
      </c>
      <c r="D2359" t="s">
        <v>75</v>
      </c>
      <c r="E2359" t="s">
        <v>77</v>
      </c>
      <c r="F2359">
        <v>13.1</v>
      </c>
      <c r="G2359">
        <v>88.6</v>
      </c>
      <c r="H2359" t="s">
        <v>13</v>
      </c>
      <c r="I2359" t="str">
        <f t="shared" si="36"/>
        <v>Alta</v>
      </c>
    </row>
    <row r="2360" spans="1:9">
      <c r="A2360" t="s">
        <v>531</v>
      </c>
      <c r="B2360">
        <v>2026</v>
      </c>
      <c r="C2360">
        <v>1</v>
      </c>
      <c r="D2360" t="s">
        <v>139</v>
      </c>
      <c r="E2360" t="s">
        <v>10</v>
      </c>
      <c r="F2360">
        <v>13.1</v>
      </c>
      <c r="G2360">
        <v>65</v>
      </c>
      <c r="H2360" t="s">
        <v>13</v>
      </c>
      <c r="I2360" t="str">
        <f t="shared" si="36"/>
        <v>Média</v>
      </c>
    </row>
    <row r="2361" spans="1:9">
      <c r="A2361" t="s">
        <v>545</v>
      </c>
      <c r="B2361">
        <v>2026</v>
      </c>
      <c r="C2361">
        <v>1</v>
      </c>
      <c r="D2361" t="s">
        <v>139</v>
      </c>
      <c r="E2361" t="s">
        <v>140</v>
      </c>
      <c r="F2361">
        <v>13.1</v>
      </c>
      <c r="G2361">
        <v>85.8</v>
      </c>
      <c r="H2361" t="s">
        <v>13</v>
      </c>
      <c r="I2361" t="str">
        <f t="shared" si="36"/>
        <v>Alta</v>
      </c>
    </row>
    <row r="2362" spans="1:9">
      <c r="A2362" t="s">
        <v>549</v>
      </c>
      <c r="B2362">
        <v>2026</v>
      </c>
      <c r="C2362">
        <v>1</v>
      </c>
      <c r="D2362" t="s">
        <v>139</v>
      </c>
      <c r="E2362" t="s">
        <v>140</v>
      </c>
      <c r="F2362">
        <v>13.1</v>
      </c>
      <c r="G2362">
        <v>89.4</v>
      </c>
      <c r="H2362" t="s">
        <v>13</v>
      </c>
      <c r="I2362" t="str">
        <f t="shared" si="36"/>
        <v>Alta</v>
      </c>
    </row>
    <row r="2363" spans="1:9">
      <c r="A2363" t="s">
        <v>387</v>
      </c>
      <c r="B2363">
        <v>2026</v>
      </c>
      <c r="C2363">
        <v>2</v>
      </c>
      <c r="D2363" t="s">
        <v>9</v>
      </c>
      <c r="E2363" t="s">
        <v>14</v>
      </c>
      <c r="F2363">
        <v>13.1</v>
      </c>
      <c r="G2363">
        <v>62.1</v>
      </c>
      <c r="H2363" t="s">
        <v>13</v>
      </c>
      <c r="I2363" t="str">
        <f t="shared" si="36"/>
        <v>Média</v>
      </c>
    </row>
    <row r="2364" spans="1:9">
      <c r="A2364" t="s">
        <v>507</v>
      </c>
      <c r="B2364">
        <v>2026</v>
      </c>
      <c r="C2364">
        <v>2</v>
      </c>
      <c r="D2364" t="s">
        <v>139</v>
      </c>
      <c r="E2364" t="s">
        <v>140</v>
      </c>
      <c r="F2364">
        <v>13.1</v>
      </c>
      <c r="G2364">
        <v>88.3</v>
      </c>
      <c r="H2364" t="s">
        <v>13</v>
      </c>
      <c r="I2364" t="str">
        <f t="shared" si="36"/>
        <v>Alta</v>
      </c>
    </row>
    <row r="2365" spans="1:9">
      <c r="A2365" t="s">
        <v>28</v>
      </c>
      <c r="B2365">
        <v>2024</v>
      </c>
      <c r="C2365">
        <v>1</v>
      </c>
      <c r="D2365" t="s">
        <v>9</v>
      </c>
      <c r="E2365" t="s">
        <v>12</v>
      </c>
      <c r="F2365">
        <v>13.2</v>
      </c>
      <c r="G2365">
        <v>88.1</v>
      </c>
      <c r="H2365" t="s">
        <v>13</v>
      </c>
      <c r="I2365" t="str">
        <f t="shared" si="36"/>
        <v>Alta</v>
      </c>
    </row>
    <row r="2366" spans="1:9">
      <c r="A2366" t="s">
        <v>63</v>
      </c>
      <c r="B2366">
        <v>2024</v>
      </c>
      <c r="C2366">
        <v>1</v>
      </c>
      <c r="D2366" t="s">
        <v>9</v>
      </c>
      <c r="E2366" t="s">
        <v>14</v>
      </c>
      <c r="F2366">
        <v>13.2</v>
      </c>
      <c r="G2366">
        <v>74.8</v>
      </c>
      <c r="H2366" t="s">
        <v>13</v>
      </c>
      <c r="I2366" t="str">
        <f t="shared" si="36"/>
        <v>Média</v>
      </c>
    </row>
    <row r="2367" spans="1:9">
      <c r="A2367" t="s">
        <v>65</v>
      </c>
      <c r="B2367">
        <v>2024</v>
      </c>
      <c r="C2367">
        <v>1</v>
      </c>
      <c r="D2367" t="s">
        <v>9</v>
      </c>
      <c r="E2367" t="s">
        <v>14</v>
      </c>
      <c r="F2367">
        <v>13.2</v>
      </c>
      <c r="G2367">
        <v>78.400000000000006</v>
      </c>
      <c r="H2367" t="s">
        <v>13</v>
      </c>
      <c r="I2367" t="str">
        <f t="shared" si="36"/>
        <v>Alta</v>
      </c>
    </row>
    <row r="2368" spans="1:9">
      <c r="A2368" t="s">
        <v>110</v>
      </c>
      <c r="B2368">
        <v>2024</v>
      </c>
      <c r="C2368">
        <v>1</v>
      </c>
      <c r="D2368" t="s">
        <v>75</v>
      </c>
      <c r="E2368" t="s">
        <v>76</v>
      </c>
      <c r="F2368">
        <v>13.2</v>
      </c>
      <c r="G2368">
        <v>78.2</v>
      </c>
      <c r="H2368" t="s">
        <v>13</v>
      </c>
      <c r="I2368" t="str">
        <f t="shared" si="36"/>
        <v>Alta</v>
      </c>
    </row>
    <row r="2369" spans="1:9">
      <c r="A2369" t="s">
        <v>144</v>
      </c>
      <c r="B2369">
        <v>2024</v>
      </c>
      <c r="C2369">
        <v>1</v>
      </c>
      <c r="D2369" t="s">
        <v>139</v>
      </c>
      <c r="E2369" t="s">
        <v>140</v>
      </c>
      <c r="F2369">
        <v>13.2</v>
      </c>
      <c r="G2369">
        <v>84.3</v>
      </c>
      <c r="H2369" t="s">
        <v>13</v>
      </c>
      <c r="I2369" t="str">
        <f t="shared" si="36"/>
        <v>Alta</v>
      </c>
    </row>
    <row r="2370" spans="1:9">
      <c r="A2370" t="s">
        <v>153</v>
      </c>
      <c r="B2370">
        <v>2024</v>
      </c>
      <c r="C2370">
        <v>1</v>
      </c>
      <c r="D2370" t="s">
        <v>139</v>
      </c>
      <c r="E2370" t="s">
        <v>141</v>
      </c>
      <c r="F2370">
        <v>13.2</v>
      </c>
      <c r="G2370">
        <v>45</v>
      </c>
      <c r="H2370" t="s">
        <v>13</v>
      </c>
      <c r="I2370" t="str">
        <f t="shared" ref="I2370:I2433" si="37">IF(G2370&lt;50,"Baixa",IF(G2370&lt;75,"Média","Alta"))</f>
        <v>Baixa</v>
      </c>
    </row>
    <row r="2371" spans="1:9">
      <c r="A2371" t="s">
        <v>52</v>
      </c>
      <c r="B2371">
        <v>2024</v>
      </c>
      <c r="C2371">
        <v>2</v>
      </c>
      <c r="D2371" t="s">
        <v>9</v>
      </c>
      <c r="E2371" t="s">
        <v>10</v>
      </c>
      <c r="F2371">
        <v>13.2</v>
      </c>
      <c r="G2371">
        <v>80.3</v>
      </c>
      <c r="H2371" t="s">
        <v>13</v>
      </c>
      <c r="I2371" t="str">
        <f t="shared" si="37"/>
        <v>Alta</v>
      </c>
    </row>
    <row r="2372" spans="1:9">
      <c r="A2372" t="s">
        <v>67</v>
      </c>
      <c r="B2372">
        <v>2024</v>
      </c>
      <c r="C2372">
        <v>2</v>
      </c>
      <c r="D2372" t="s">
        <v>9</v>
      </c>
      <c r="E2372" t="s">
        <v>12</v>
      </c>
      <c r="F2372">
        <v>13.2</v>
      </c>
      <c r="G2372">
        <v>88.9</v>
      </c>
      <c r="H2372" t="s">
        <v>13</v>
      </c>
      <c r="I2372" t="str">
        <f t="shared" si="37"/>
        <v>Alta</v>
      </c>
    </row>
    <row r="2373" spans="1:9">
      <c r="A2373" t="s">
        <v>84</v>
      </c>
      <c r="B2373">
        <v>2024</v>
      </c>
      <c r="C2373">
        <v>2</v>
      </c>
      <c r="D2373" t="s">
        <v>75</v>
      </c>
      <c r="E2373" t="s">
        <v>76</v>
      </c>
      <c r="F2373">
        <v>13.2</v>
      </c>
      <c r="G2373">
        <v>86.4</v>
      </c>
      <c r="H2373" t="s">
        <v>13</v>
      </c>
      <c r="I2373" t="str">
        <f t="shared" si="37"/>
        <v>Alta</v>
      </c>
    </row>
    <row r="2374" spans="1:9">
      <c r="A2374" t="s">
        <v>152</v>
      </c>
      <c r="B2374">
        <v>2024</v>
      </c>
      <c r="C2374">
        <v>2</v>
      </c>
      <c r="D2374" t="s">
        <v>139</v>
      </c>
      <c r="E2374" t="s">
        <v>141</v>
      </c>
      <c r="F2374">
        <v>13.2</v>
      </c>
      <c r="G2374">
        <v>70.099999999999994</v>
      </c>
      <c r="H2374" t="s">
        <v>13</v>
      </c>
      <c r="I2374" t="str">
        <f t="shared" si="37"/>
        <v>Média</v>
      </c>
    </row>
    <row r="2375" spans="1:9">
      <c r="A2375" t="s">
        <v>198</v>
      </c>
      <c r="B2375">
        <v>2024</v>
      </c>
      <c r="C2375">
        <v>2</v>
      </c>
      <c r="D2375" t="s">
        <v>139</v>
      </c>
      <c r="E2375" t="s">
        <v>10</v>
      </c>
      <c r="F2375">
        <v>13.2</v>
      </c>
      <c r="G2375">
        <v>86.1</v>
      </c>
      <c r="H2375" t="s">
        <v>13</v>
      </c>
      <c r="I2375" t="str">
        <f t="shared" si="37"/>
        <v>Alta</v>
      </c>
    </row>
    <row r="2376" spans="1:9">
      <c r="A2376" t="s">
        <v>202</v>
      </c>
      <c r="B2376">
        <v>2025</v>
      </c>
      <c r="C2376">
        <v>1</v>
      </c>
      <c r="D2376" t="s">
        <v>9</v>
      </c>
      <c r="E2376" t="s">
        <v>10</v>
      </c>
      <c r="F2376">
        <v>13.2</v>
      </c>
      <c r="G2376">
        <v>97.5</v>
      </c>
      <c r="H2376" t="s">
        <v>13</v>
      </c>
      <c r="I2376" t="str">
        <f t="shared" si="37"/>
        <v>Alta</v>
      </c>
    </row>
    <row r="2377" spans="1:9">
      <c r="A2377" t="s">
        <v>370</v>
      </c>
      <c r="B2377">
        <v>2025</v>
      </c>
      <c r="C2377">
        <v>1</v>
      </c>
      <c r="D2377" t="s">
        <v>139</v>
      </c>
      <c r="E2377" t="s">
        <v>140</v>
      </c>
      <c r="F2377">
        <v>13.2</v>
      </c>
      <c r="G2377">
        <v>93</v>
      </c>
      <c r="H2377" t="s">
        <v>13</v>
      </c>
      <c r="I2377" t="str">
        <f t="shared" si="37"/>
        <v>Alta</v>
      </c>
    </row>
    <row r="2378" spans="1:9">
      <c r="A2378" t="s">
        <v>248</v>
      </c>
      <c r="B2378">
        <v>2025</v>
      </c>
      <c r="C2378">
        <v>2</v>
      </c>
      <c r="D2378" t="s">
        <v>9</v>
      </c>
      <c r="E2378" t="s">
        <v>12</v>
      </c>
      <c r="F2378">
        <v>13.2</v>
      </c>
      <c r="G2378">
        <v>79.8</v>
      </c>
      <c r="H2378" t="s">
        <v>13</v>
      </c>
      <c r="I2378" t="str">
        <f t="shared" si="37"/>
        <v>Alta</v>
      </c>
    </row>
    <row r="2379" spans="1:9">
      <c r="A2379" t="s">
        <v>270</v>
      </c>
      <c r="B2379">
        <v>2025</v>
      </c>
      <c r="C2379">
        <v>2</v>
      </c>
      <c r="D2379" t="s">
        <v>75</v>
      </c>
      <c r="E2379" t="s">
        <v>77</v>
      </c>
      <c r="F2379">
        <v>13.2</v>
      </c>
      <c r="G2379">
        <v>92.4</v>
      </c>
      <c r="H2379" t="s">
        <v>13</v>
      </c>
      <c r="I2379" t="str">
        <f t="shared" si="37"/>
        <v>Alta</v>
      </c>
    </row>
    <row r="2380" spans="1:9">
      <c r="A2380" t="s">
        <v>328</v>
      </c>
      <c r="B2380">
        <v>2025</v>
      </c>
      <c r="C2380">
        <v>2</v>
      </c>
      <c r="D2380" t="s">
        <v>139</v>
      </c>
      <c r="E2380" t="s">
        <v>141</v>
      </c>
      <c r="F2380">
        <v>13.2</v>
      </c>
      <c r="G2380">
        <v>75.7</v>
      </c>
      <c r="H2380" t="s">
        <v>13</v>
      </c>
      <c r="I2380" t="str">
        <f t="shared" si="37"/>
        <v>Alta</v>
      </c>
    </row>
    <row r="2381" spans="1:9">
      <c r="A2381" t="s">
        <v>408</v>
      </c>
      <c r="B2381">
        <v>2026</v>
      </c>
      <c r="C2381">
        <v>1</v>
      </c>
      <c r="D2381" t="s">
        <v>9</v>
      </c>
      <c r="E2381" t="s">
        <v>12</v>
      </c>
      <c r="F2381">
        <v>13.2</v>
      </c>
      <c r="G2381">
        <v>64.099999999999994</v>
      </c>
      <c r="H2381" t="s">
        <v>13</v>
      </c>
      <c r="I2381" t="str">
        <f t="shared" si="37"/>
        <v>Média</v>
      </c>
    </row>
    <row r="2382" spans="1:9">
      <c r="A2382" t="s">
        <v>409</v>
      </c>
      <c r="B2382">
        <v>2026</v>
      </c>
      <c r="C2382">
        <v>1</v>
      </c>
      <c r="D2382" t="s">
        <v>9</v>
      </c>
      <c r="E2382" t="s">
        <v>10</v>
      </c>
      <c r="F2382">
        <v>13.2</v>
      </c>
      <c r="G2382">
        <v>77.3</v>
      </c>
      <c r="H2382" t="s">
        <v>13</v>
      </c>
      <c r="I2382" t="str">
        <f t="shared" si="37"/>
        <v>Alta</v>
      </c>
    </row>
    <row r="2383" spans="1:9">
      <c r="A2383" t="s">
        <v>438</v>
      </c>
      <c r="B2383">
        <v>2026</v>
      </c>
      <c r="C2383">
        <v>1</v>
      </c>
      <c r="D2383" t="s">
        <v>9</v>
      </c>
      <c r="E2383" t="s">
        <v>10</v>
      </c>
      <c r="F2383">
        <v>13.2</v>
      </c>
      <c r="G2383">
        <v>63.3</v>
      </c>
      <c r="H2383" t="s">
        <v>13</v>
      </c>
      <c r="I2383" t="str">
        <f t="shared" si="37"/>
        <v>Média</v>
      </c>
    </row>
    <row r="2384" spans="1:9">
      <c r="A2384" t="s">
        <v>512</v>
      </c>
      <c r="B2384">
        <v>2026</v>
      </c>
      <c r="C2384">
        <v>1</v>
      </c>
      <c r="D2384" t="s">
        <v>139</v>
      </c>
      <c r="E2384" t="s">
        <v>10</v>
      </c>
      <c r="F2384">
        <v>13.2</v>
      </c>
      <c r="G2384">
        <v>96.5</v>
      </c>
      <c r="H2384" t="s">
        <v>13</v>
      </c>
      <c r="I2384" t="str">
        <f t="shared" si="37"/>
        <v>Alta</v>
      </c>
    </row>
    <row r="2385" spans="1:9">
      <c r="A2385" t="s">
        <v>535</v>
      </c>
      <c r="B2385">
        <v>2026</v>
      </c>
      <c r="C2385">
        <v>1</v>
      </c>
      <c r="D2385" t="s">
        <v>139</v>
      </c>
      <c r="E2385" t="s">
        <v>10</v>
      </c>
      <c r="F2385">
        <v>13.2</v>
      </c>
      <c r="G2385">
        <v>79.2</v>
      </c>
      <c r="H2385" t="s">
        <v>13</v>
      </c>
      <c r="I2385" t="str">
        <f t="shared" si="37"/>
        <v>Alta</v>
      </c>
    </row>
    <row r="2386" spans="1:9">
      <c r="A2386" t="s">
        <v>549</v>
      </c>
      <c r="B2386">
        <v>2026</v>
      </c>
      <c r="C2386">
        <v>1</v>
      </c>
      <c r="D2386" t="s">
        <v>139</v>
      </c>
      <c r="E2386" t="s">
        <v>10</v>
      </c>
      <c r="F2386">
        <v>13.2</v>
      </c>
      <c r="G2386">
        <v>65.599999999999994</v>
      </c>
      <c r="H2386" t="s">
        <v>13</v>
      </c>
      <c r="I2386" t="str">
        <f t="shared" si="37"/>
        <v>Média</v>
      </c>
    </row>
    <row r="2387" spans="1:9">
      <c r="A2387" t="s">
        <v>558</v>
      </c>
      <c r="B2387">
        <v>2026</v>
      </c>
      <c r="C2387">
        <v>1</v>
      </c>
      <c r="D2387" t="s">
        <v>139</v>
      </c>
      <c r="E2387" t="s">
        <v>141</v>
      </c>
      <c r="F2387">
        <v>13.2</v>
      </c>
      <c r="G2387">
        <v>88.9</v>
      </c>
      <c r="H2387" t="s">
        <v>13</v>
      </c>
      <c r="I2387" t="str">
        <f t="shared" si="37"/>
        <v>Alta</v>
      </c>
    </row>
    <row r="2388" spans="1:9">
      <c r="A2388" t="s">
        <v>442</v>
      </c>
      <c r="B2388">
        <v>2026</v>
      </c>
      <c r="C2388">
        <v>2</v>
      </c>
      <c r="D2388" t="s">
        <v>75</v>
      </c>
      <c r="E2388" t="s">
        <v>78</v>
      </c>
      <c r="F2388">
        <v>13.2</v>
      </c>
      <c r="G2388">
        <v>68.400000000000006</v>
      </c>
      <c r="H2388" t="s">
        <v>13</v>
      </c>
      <c r="I2388" t="str">
        <f t="shared" si="37"/>
        <v>Média</v>
      </c>
    </row>
    <row r="2389" spans="1:9">
      <c r="A2389" t="s">
        <v>460</v>
      </c>
      <c r="B2389">
        <v>2026</v>
      </c>
      <c r="C2389">
        <v>2</v>
      </c>
      <c r="D2389" t="s">
        <v>75</v>
      </c>
      <c r="E2389" t="s">
        <v>78</v>
      </c>
      <c r="F2389">
        <v>13.2</v>
      </c>
      <c r="G2389">
        <v>91.1</v>
      </c>
      <c r="H2389" t="s">
        <v>13</v>
      </c>
      <c r="I2389" t="str">
        <f t="shared" si="37"/>
        <v>Alta</v>
      </c>
    </row>
    <row r="2390" spans="1:9">
      <c r="A2390" t="s">
        <v>503</v>
      </c>
      <c r="B2390">
        <v>2026</v>
      </c>
      <c r="C2390">
        <v>2</v>
      </c>
      <c r="D2390" t="s">
        <v>139</v>
      </c>
      <c r="E2390" t="s">
        <v>10</v>
      </c>
      <c r="F2390">
        <v>13.2</v>
      </c>
      <c r="G2390">
        <v>55.3</v>
      </c>
      <c r="H2390" t="s">
        <v>13</v>
      </c>
      <c r="I2390" t="str">
        <f t="shared" si="37"/>
        <v>Média</v>
      </c>
    </row>
    <row r="2391" spans="1:9">
      <c r="A2391" t="s">
        <v>527</v>
      </c>
      <c r="B2391">
        <v>2026</v>
      </c>
      <c r="C2391">
        <v>2</v>
      </c>
      <c r="D2391" t="s">
        <v>139</v>
      </c>
      <c r="E2391" t="s">
        <v>10</v>
      </c>
      <c r="F2391">
        <v>13.2</v>
      </c>
      <c r="G2391">
        <v>96.2</v>
      </c>
      <c r="H2391" t="s">
        <v>13</v>
      </c>
      <c r="I2391" t="str">
        <f t="shared" si="37"/>
        <v>Alta</v>
      </c>
    </row>
    <row r="2392" spans="1:9">
      <c r="A2392" t="s">
        <v>541</v>
      </c>
      <c r="B2392">
        <v>2026</v>
      </c>
      <c r="C2392">
        <v>2</v>
      </c>
      <c r="D2392" t="s">
        <v>139</v>
      </c>
      <c r="E2392" t="s">
        <v>10</v>
      </c>
      <c r="F2392">
        <v>13.2</v>
      </c>
      <c r="G2392">
        <v>69.400000000000006</v>
      </c>
      <c r="H2392" t="s">
        <v>13</v>
      </c>
      <c r="I2392" t="str">
        <f t="shared" si="37"/>
        <v>Média</v>
      </c>
    </row>
    <row r="2393" spans="1:9">
      <c r="A2393" t="s">
        <v>542</v>
      </c>
      <c r="B2393">
        <v>2026</v>
      </c>
      <c r="C2393">
        <v>2</v>
      </c>
      <c r="D2393" t="s">
        <v>139</v>
      </c>
      <c r="E2393" t="s">
        <v>10</v>
      </c>
      <c r="F2393">
        <v>13.2</v>
      </c>
      <c r="G2393">
        <v>64.2</v>
      </c>
      <c r="H2393" t="s">
        <v>13</v>
      </c>
      <c r="I2393" t="str">
        <f t="shared" si="37"/>
        <v>Média</v>
      </c>
    </row>
    <row r="2394" spans="1:9">
      <c r="A2394" t="s">
        <v>59</v>
      </c>
      <c r="B2394">
        <v>2024</v>
      </c>
      <c r="C2394">
        <v>1</v>
      </c>
      <c r="D2394" t="s">
        <v>9</v>
      </c>
      <c r="E2394" t="s">
        <v>12</v>
      </c>
      <c r="F2394">
        <v>13.3</v>
      </c>
      <c r="G2394">
        <v>88.9</v>
      </c>
      <c r="H2394" t="s">
        <v>13</v>
      </c>
      <c r="I2394" t="str">
        <f t="shared" si="37"/>
        <v>Alta</v>
      </c>
    </row>
    <row r="2395" spans="1:9">
      <c r="A2395" t="s">
        <v>181</v>
      </c>
      <c r="B2395">
        <v>2024</v>
      </c>
      <c r="C2395">
        <v>1</v>
      </c>
      <c r="D2395" t="s">
        <v>139</v>
      </c>
      <c r="E2395" t="s">
        <v>10</v>
      </c>
      <c r="F2395">
        <v>13.3</v>
      </c>
      <c r="G2395">
        <v>56.5</v>
      </c>
      <c r="H2395" t="s">
        <v>13</v>
      </c>
      <c r="I2395" t="str">
        <f t="shared" si="37"/>
        <v>Média</v>
      </c>
    </row>
    <row r="2396" spans="1:9">
      <c r="A2396" t="s">
        <v>25</v>
      </c>
      <c r="B2396">
        <v>2024</v>
      </c>
      <c r="C2396">
        <v>2</v>
      </c>
      <c r="D2396" t="s">
        <v>9</v>
      </c>
      <c r="E2396" t="s">
        <v>14</v>
      </c>
      <c r="F2396">
        <v>13.3</v>
      </c>
      <c r="G2396">
        <v>99.8</v>
      </c>
      <c r="H2396" t="s">
        <v>13</v>
      </c>
      <c r="I2396" t="str">
        <f t="shared" si="37"/>
        <v>Alta</v>
      </c>
    </row>
    <row r="2397" spans="1:9">
      <c r="A2397" t="s">
        <v>74</v>
      </c>
      <c r="B2397">
        <v>2024</v>
      </c>
      <c r="C2397">
        <v>2</v>
      </c>
      <c r="D2397" t="s">
        <v>75</v>
      </c>
      <c r="E2397" t="s">
        <v>76</v>
      </c>
      <c r="F2397">
        <v>13.3</v>
      </c>
      <c r="G2397">
        <v>72.2</v>
      </c>
      <c r="H2397" t="s">
        <v>13</v>
      </c>
      <c r="I2397" t="str">
        <f t="shared" si="37"/>
        <v>Média</v>
      </c>
    </row>
    <row r="2398" spans="1:9">
      <c r="A2398" t="s">
        <v>102</v>
      </c>
      <c r="B2398">
        <v>2024</v>
      </c>
      <c r="C2398">
        <v>2</v>
      </c>
      <c r="D2398" t="s">
        <v>75</v>
      </c>
      <c r="E2398" t="s">
        <v>78</v>
      </c>
      <c r="F2398">
        <v>13.3</v>
      </c>
      <c r="G2398">
        <v>60.5</v>
      </c>
      <c r="H2398" t="s">
        <v>13</v>
      </c>
      <c r="I2398" t="str">
        <f t="shared" si="37"/>
        <v>Média</v>
      </c>
    </row>
    <row r="2399" spans="1:9">
      <c r="A2399" t="s">
        <v>179</v>
      </c>
      <c r="B2399">
        <v>2024</v>
      </c>
      <c r="C2399">
        <v>2</v>
      </c>
      <c r="D2399" t="s">
        <v>139</v>
      </c>
      <c r="E2399" t="s">
        <v>141</v>
      </c>
      <c r="F2399">
        <v>13.3</v>
      </c>
      <c r="G2399">
        <v>67.8</v>
      </c>
      <c r="H2399" t="s">
        <v>13</v>
      </c>
      <c r="I2399" t="str">
        <f t="shared" si="37"/>
        <v>Média</v>
      </c>
    </row>
    <row r="2400" spans="1:9">
      <c r="A2400" t="s">
        <v>238</v>
      </c>
      <c r="B2400">
        <v>2025</v>
      </c>
      <c r="C2400">
        <v>1</v>
      </c>
      <c r="D2400" t="s">
        <v>9</v>
      </c>
      <c r="E2400" t="s">
        <v>14</v>
      </c>
      <c r="F2400">
        <v>13.3</v>
      </c>
      <c r="G2400">
        <v>82.4</v>
      </c>
      <c r="H2400" t="s">
        <v>13</v>
      </c>
      <c r="I2400" t="str">
        <f t="shared" si="37"/>
        <v>Alta</v>
      </c>
    </row>
    <row r="2401" spans="1:9">
      <c r="A2401" t="s">
        <v>280</v>
      </c>
      <c r="B2401">
        <v>2025</v>
      </c>
      <c r="C2401">
        <v>1</v>
      </c>
      <c r="D2401" t="s">
        <v>75</v>
      </c>
      <c r="E2401" t="s">
        <v>78</v>
      </c>
      <c r="F2401">
        <v>13.3</v>
      </c>
      <c r="G2401">
        <v>93.3</v>
      </c>
      <c r="H2401" t="s">
        <v>13</v>
      </c>
      <c r="I2401" t="str">
        <f t="shared" si="37"/>
        <v>Alta</v>
      </c>
    </row>
    <row r="2402" spans="1:9">
      <c r="A2402" t="s">
        <v>345</v>
      </c>
      <c r="B2402">
        <v>2025</v>
      </c>
      <c r="C2402">
        <v>1</v>
      </c>
      <c r="D2402" t="s">
        <v>139</v>
      </c>
      <c r="E2402" t="s">
        <v>141</v>
      </c>
      <c r="F2402">
        <v>13.3</v>
      </c>
      <c r="G2402">
        <v>76.900000000000006</v>
      </c>
      <c r="H2402" t="s">
        <v>13</v>
      </c>
      <c r="I2402" t="str">
        <f t="shared" si="37"/>
        <v>Alta</v>
      </c>
    </row>
    <row r="2403" spans="1:9">
      <c r="A2403" t="s">
        <v>377</v>
      </c>
      <c r="B2403">
        <v>2025</v>
      </c>
      <c r="C2403">
        <v>1</v>
      </c>
      <c r="D2403" t="s">
        <v>139</v>
      </c>
      <c r="E2403" t="s">
        <v>141</v>
      </c>
      <c r="F2403">
        <v>13.3</v>
      </c>
      <c r="G2403">
        <v>85.9</v>
      </c>
      <c r="H2403" t="s">
        <v>13</v>
      </c>
      <c r="I2403" t="str">
        <f t="shared" si="37"/>
        <v>Alta</v>
      </c>
    </row>
    <row r="2404" spans="1:9">
      <c r="A2404" t="s">
        <v>279</v>
      </c>
      <c r="B2404">
        <v>2025</v>
      </c>
      <c r="C2404">
        <v>2</v>
      </c>
      <c r="D2404" t="s">
        <v>75</v>
      </c>
      <c r="E2404" t="s">
        <v>76</v>
      </c>
      <c r="F2404">
        <v>13.3</v>
      </c>
      <c r="G2404">
        <v>86.7</v>
      </c>
      <c r="H2404" t="s">
        <v>13</v>
      </c>
      <c r="I2404" t="str">
        <f t="shared" si="37"/>
        <v>Alta</v>
      </c>
    </row>
    <row r="2405" spans="1:9">
      <c r="A2405" t="s">
        <v>306</v>
      </c>
      <c r="B2405">
        <v>2025</v>
      </c>
      <c r="C2405">
        <v>2</v>
      </c>
      <c r="D2405" t="s">
        <v>75</v>
      </c>
      <c r="E2405" t="s">
        <v>76</v>
      </c>
      <c r="F2405">
        <v>13.3</v>
      </c>
      <c r="G2405">
        <v>53.1</v>
      </c>
      <c r="H2405" t="s">
        <v>13</v>
      </c>
      <c r="I2405" t="str">
        <f t="shared" si="37"/>
        <v>Média</v>
      </c>
    </row>
    <row r="2406" spans="1:9">
      <c r="A2406" t="s">
        <v>331</v>
      </c>
      <c r="B2406">
        <v>2025</v>
      </c>
      <c r="C2406">
        <v>2</v>
      </c>
      <c r="D2406" t="s">
        <v>139</v>
      </c>
      <c r="E2406" t="s">
        <v>141</v>
      </c>
      <c r="F2406">
        <v>13.3</v>
      </c>
      <c r="G2406">
        <v>94.8</v>
      </c>
      <c r="H2406" t="s">
        <v>13</v>
      </c>
      <c r="I2406" t="str">
        <f t="shared" si="37"/>
        <v>Alta</v>
      </c>
    </row>
    <row r="2407" spans="1:9">
      <c r="A2407" t="s">
        <v>365</v>
      </c>
      <c r="B2407">
        <v>2025</v>
      </c>
      <c r="C2407">
        <v>2</v>
      </c>
      <c r="D2407" t="s">
        <v>139</v>
      </c>
      <c r="E2407" t="s">
        <v>141</v>
      </c>
      <c r="F2407">
        <v>13.3</v>
      </c>
      <c r="G2407">
        <v>96.8</v>
      </c>
      <c r="H2407" t="s">
        <v>13</v>
      </c>
      <c r="I2407" t="str">
        <f t="shared" si="37"/>
        <v>Alta</v>
      </c>
    </row>
    <row r="2408" spans="1:9">
      <c r="A2408" t="s">
        <v>390</v>
      </c>
      <c r="B2408">
        <v>2026</v>
      </c>
      <c r="C2408">
        <v>1</v>
      </c>
      <c r="D2408" t="s">
        <v>9</v>
      </c>
      <c r="E2408" t="s">
        <v>12</v>
      </c>
      <c r="F2408">
        <v>13.3</v>
      </c>
      <c r="G2408">
        <v>76.400000000000006</v>
      </c>
      <c r="H2408" t="s">
        <v>13</v>
      </c>
      <c r="I2408" t="str">
        <f t="shared" si="37"/>
        <v>Alta</v>
      </c>
    </row>
    <row r="2409" spans="1:9">
      <c r="A2409" t="s">
        <v>422</v>
      </c>
      <c r="B2409">
        <v>2026</v>
      </c>
      <c r="C2409">
        <v>1</v>
      </c>
      <c r="D2409" t="s">
        <v>9</v>
      </c>
      <c r="E2409" t="s">
        <v>12</v>
      </c>
      <c r="F2409">
        <v>13.3</v>
      </c>
      <c r="G2409">
        <v>92.9</v>
      </c>
      <c r="H2409" t="s">
        <v>13</v>
      </c>
      <c r="I2409" t="str">
        <f t="shared" si="37"/>
        <v>Alta</v>
      </c>
    </row>
    <row r="2410" spans="1:9">
      <c r="A2410" t="s">
        <v>455</v>
      </c>
      <c r="B2410">
        <v>2026</v>
      </c>
      <c r="C2410">
        <v>1</v>
      </c>
      <c r="D2410" t="s">
        <v>75</v>
      </c>
      <c r="E2410" t="s">
        <v>78</v>
      </c>
      <c r="F2410">
        <v>13.3</v>
      </c>
      <c r="G2410">
        <v>81.400000000000006</v>
      </c>
      <c r="H2410" t="s">
        <v>13</v>
      </c>
      <c r="I2410" t="str">
        <f t="shared" si="37"/>
        <v>Alta</v>
      </c>
    </row>
    <row r="2411" spans="1:9">
      <c r="A2411" t="s">
        <v>504</v>
      </c>
      <c r="B2411">
        <v>2026</v>
      </c>
      <c r="C2411">
        <v>1</v>
      </c>
      <c r="D2411" t="s">
        <v>139</v>
      </c>
      <c r="E2411" t="s">
        <v>141</v>
      </c>
      <c r="F2411">
        <v>13.3</v>
      </c>
      <c r="G2411">
        <v>89.6</v>
      </c>
      <c r="H2411" t="s">
        <v>13</v>
      </c>
      <c r="I2411" t="str">
        <f t="shared" si="37"/>
        <v>Alta</v>
      </c>
    </row>
    <row r="2412" spans="1:9">
      <c r="A2412" t="s">
        <v>493</v>
      </c>
      <c r="B2412">
        <v>2026</v>
      </c>
      <c r="C2412">
        <v>2</v>
      </c>
      <c r="D2412" t="s">
        <v>75</v>
      </c>
      <c r="E2412" t="s">
        <v>77</v>
      </c>
      <c r="F2412">
        <v>13.3</v>
      </c>
      <c r="G2412">
        <v>94.9</v>
      </c>
      <c r="H2412" t="s">
        <v>13</v>
      </c>
      <c r="I2412" t="str">
        <f t="shared" si="37"/>
        <v>Alta</v>
      </c>
    </row>
    <row r="2413" spans="1:9">
      <c r="A2413" t="s">
        <v>509</v>
      </c>
      <c r="B2413">
        <v>2026</v>
      </c>
      <c r="C2413">
        <v>2</v>
      </c>
      <c r="D2413" t="s">
        <v>139</v>
      </c>
      <c r="E2413" t="s">
        <v>10</v>
      </c>
      <c r="F2413">
        <v>13.3</v>
      </c>
      <c r="G2413">
        <v>97.6</v>
      </c>
      <c r="H2413" t="s">
        <v>13</v>
      </c>
      <c r="I2413" t="str">
        <f t="shared" si="37"/>
        <v>Alta</v>
      </c>
    </row>
    <row r="2414" spans="1:9">
      <c r="A2414" t="s">
        <v>546</v>
      </c>
      <c r="B2414">
        <v>2026</v>
      </c>
      <c r="C2414">
        <v>2</v>
      </c>
      <c r="D2414" t="s">
        <v>139</v>
      </c>
      <c r="E2414" t="s">
        <v>141</v>
      </c>
      <c r="F2414">
        <v>13.3</v>
      </c>
      <c r="G2414">
        <v>96.9</v>
      </c>
      <c r="H2414" t="s">
        <v>13</v>
      </c>
      <c r="I2414" t="str">
        <f t="shared" si="37"/>
        <v>Alta</v>
      </c>
    </row>
    <row r="2415" spans="1:9">
      <c r="A2415" t="s">
        <v>42</v>
      </c>
      <c r="B2415">
        <v>2024</v>
      </c>
      <c r="C2415">
        <v>1</v>
      </c>
      <c r="D2415" t="s">
        <v>9</v>
      </c>
      <c r="E2415" t="s">
        <v>10</v>
      </c>
      <c r="F2415">
        <v>13.4</v>
      </c>
      <c r="G2415">
        <v>60.1</v>
      </c>
      <c r="H2415" t="s">
        <v>13</v>
      </c>
      <c r="I2415" t="str">
        <f t="shared" si="37"/>
        <v>Média</v>
      </c>
    </row>
    <row r="2416" spans="1:9">
      <c r="A2416" t="s">
        <v>55</v>
      </c>
      <c r="B2416">
        <v>2024</v>
      </c>
      <c r="C2416">
        <v>1</v>
      </c>
      <c r="D2416" t="s">
        <v>9</v>
      </c>
      <c r="E2416" t="s">
        <v>12</v>
      </c>
      <c r="F2416">
        <v>13.4</v>
      </c>
      <c r="G2416">
        <v>87.3</v>
      </c>
      <c r="H2416" t="s">
        <v>13</v>
      </c>
      <c r="I2416" t="str">
        <f t="shared" si="37"/>
        <v>Alta</v>
      </c>
    </row>
    <row r="2417" spans="1:9">
      <c r="A2417" t="s">
        <v>70</v>
      </c>
      <c r="B2417">
        <v>2024</v>
      </c>
      <c r="C2417">
        <v>1</v>
      </c>
      <c r="D2417" t="s">
        <v>9</v>
      </c>
      <c r="E2417" t="s">
        <v>14</v>
      </c>
      <c r="F2417">
        <v>13.4</v>
      </c>
      <c r="G2417">
        <v>99.6</v>
      </c>
      <c r="H2417" t="s">
        <v>13</v>
      </c>
      <c r="I2417" t="str">
        <f t="shared" si="37"/>
        <v>Alta</v>
      </c>
    </row>
    <row r="2418" spans="1:9">
      <c r="A2418" t="s">
        <v>74</v>
      </c>
      <c r="B2418">
        <v>2024</v>
      </c>
      <c r="C2418">
        <v>1</v>
      </c>
      <c r="D2418" t="s">
        <v>75</v>
      </c>
      <c r="E2418" t="s">
        <v>76</v>
      </c>
      <c r="F2418">
        <v>13.4</v>
      </c>
      <c r="G2418">
        <v>57.6</v>
      </c>
      <c r="H2418" t="s">
        <v>13</v>
      </c>
      <c r="I2418" t="str">
        <f t="shared" si="37"/>
        <v>Média</v>
      </c>
    </row>
    <row r="2419" spans="1:9">
      <c r="A2419" t="s">
        <v>105</v>
      </c>
      <c r="B2419">
        <v>2024</v>
      </c>
      <c r="C2419">
        <v>1</v>
      </c>
      <c r="D2419" t="s">
        <v>75</v>
      </c>
      <c r="E2419" t="s">
        <v>78</v>
      </c>
      <c r="F2419">
        <v>13.4</v>
      </c>
      <c r="G2419">
        <v>82.4</v>
      </c>
      <c r="H2419" t="s">
        <v>13</v>
      </c>
      <c r="I2419" t="str">
        <f t="shared" si="37"/>
        <v>Alta</v>
      </c>
    </row>
    <row r="2420" spans="1:9">
      <c r="A2420" t="s">
        <v>163</v>
      </c>
      <c r="B2420">
        <v>2024</v>
      </c>
      <c r="C2420">
        <v>1</v>
      </c>
      <c r="D2420" t="s">
        <v>139</v>
      </c>
      <c r="E2420" t="s">
        <v>10</v>
      </c>
      <c r="F2420">
        <v>13.4</v>
      </c>
      <c r="G2420">
        <v>88.6</v>
      </c>
      <c r="H2420" t="s">
        <v>13</v>
      </c>
      <c r="I2420" t="str">
        <f t="shared" si="37"/>
        <v>Alta</v>
      </c>
    </row>
    <row r="2421" spans="1:9">
      <c r="A2421" t="s">
        <v>200</v>
      </c>
      <c r="B2421">
        <v>2024</v>
      </c>
      <c r="C2421">
        <v>1</v>
      </c>
      <c r="D2421" t="s">
        <v>139</v>
      </c>
      <c r="E2421" t="s">
        <v>140</v>
      </c>
      <c r="F2421">
        <v>13.4</v>
      </c>
      <c r="G2421">
        <v>82.7</v>
      </c>
      <c r="H2421" t="s">
        <v>13</v>
      </c>
      <c r="I2421" t="str">
        <f t="shared" si="37"/>
        <v>Alta</v>
      </c>
    </row>
    <row r="2422" spans="1:9">
      <c r="A2422" t="s">
        <v>36</v>
      </c>
      <c r="B2422">
        <v>2024</v>
      </c>
      <c r="C2422">
        <v>2</v>
      </c>
      <c r="D2422" t="s">
        <v>9</v>
      </c>
      <c r="E2422" t="s">
        <v>10</v>
      </c>
      <c r="F2422">
        <v>13.4</v>
      </c>
      <c r="G2422">
        <v>49.6</v>
      </c>
      <c r="H2422" t="s">
        <v>13</v>
      </c>
      <c r="I2422" t="str">
        <f t="shared" si="37"/>
        <v>Baixa</v>
      </c>
    </row>
    <row r="2423" spans="1:9">
      <c r="A2423" t="s">
        <v>54</v>
      </c>
      <c r="B2423">
        <v>2024</v>
      </c>
      <c r="C2423">
        <v>2</v>
      </c>
      <c r="D2423" t="s">
        <v>9</v>
      </c>
      <c r="E2423" t="s">
        <v>12</v>
      </c>
      <c r="F2423">
        <v>13.4</v>
      </c>
      <c r="G2423">
        <v>74.900000000000006</v>
      </c>
      <c r="H2423" t="s">
        <v>13</v>
      </c>
      <c r="I2423" t="str">
        <f t="shared" si="37"/>
        <v>Média</v>
      </c>
    </row>
    <row r="2424" spans="1:9">
      <c r="A2424" t="s">
        <v>55</v>
      </c>
      <c r="B2424">
        <v>2024</v>
      </c>
      <c r="C2424">
        <v>2</v>
      </c>
      <c r="D2424" t="s">
        <v>9</v>
      </c>
      <c r="E2424" t="s">
        <v>12</v>
      </c>
      <c r="F2424">
        <v>13.4</v>
      </c>
      <c r="G2424">
        <v>64.900000000000006</v>
      </c>
      <c r="H2424" t="s">
        <v>13</v>
      </c>
      <c r="I2424" t="str">
        <f t="shared" si="37"/>
        <v>Média</v>
      </c>
    </row>
    <row r="2425" spans="1:9">
      <c r="A2425" t="s">
        <v>113</v>
      </c>
      <c r="B2425">
        <v>2024</v>
      </c>
      <c r="C2425">
        <v>2</v>
      </c>
      <c r="D2425" t="s">
        <v>75</v>
      </c>
      <c r="E2425" t="s">
        <v>76</v>
      </c>
      <c r="F2425">
        <v>13.4</v>
      </c>
      <c r="G2425">
        <v>91.3</v>
      </c>
      <c r="H2425" t="s">
        <v>13</v>
      </c>
      <c r="I2425" t="str">
        <f t="shared" si="37"/>
        <v>Alta</v>
      </c>
    </row>
    <row r="2426" spans="1:9">
      <c r="A2426" t="s">
        <v>187</v>
      </c>
      <c r="B2426">
        <v>2024</v>
      </c>
      <c r="C2426">
        <v>2</v>
      </c>
      <c r="D2426" t="s">
        <v>139</v>
      </c>
      <c r="E2426" t="s">
        <v>10</v>
      </c>
      <c r="F2426">
        <v>13.4</v>
      </c>
      <c r="G2426">
        <v>63.6</v>
      </c>
      <c r="H2426" t="s">
        <v>13</v>
      </c>
      <c r="I2426" t="str">
        <f t="shared" si="37"/>
        <v>Média</v>
      </c>
    </row>
    <row r="2427" spans="1:9">
      <c r="A2427" t="s">
        <v>220</v>
      </c>
      <c r="B2427">
        <v>2025</v>
      </c>
      <c r="C2427">
        <v>1</v>
      </c>
      <c r="D2427" t="s">
        <v>9</v>
      </c>
      <c r="E2427" t="s">
        <v>10</v>
      </c>
      <c r="F2427">
        <v>13.4</v>
      </c>
      <c r="G2427">
        <v>60.3</v>
      </c>
      <c r="H2427" t="s">
        <v>13</v>
      </c>
      <c r="I2427" t="str">
        <f t="shared" si="37"/>
        <v>Média</v>
      </c>
    </row>
    <row r="2428" spans="1:9">
      <c r="A2428" t="s">
        <v>283</v>
      </c>
      <c r="B2428">
        <v>2025</v>
      </c>
      <c r="C2428">
        <v>1</v>
      </c>
      <c r="D2428" t="s">
        <v>75</v>
      </c>
      <c r="E2428" t="s">
        <v>77</v>
      </c>
      <c r="F2428">
        <v>13.4</v>
      </c>
      <c r="G2428">
        <v>85.1</v>
      </c>
      <c r="H2428" t="s">
        <v>13</v>
      </c>
      <c r="I2428" t="str">
        <f t="shared" si="37"/>
        <v>Alta</v>
      </c>
    </row>
    <row r="2429" spans="1:9">
      <c r="A2429" t="s">
        <v>297</v>
      </c>
      <c r="B2429">
        <v>2025</v>
      </c>
      <c r="C2429">
        <v>1</v>
      </c>
      <c r="D2429" t="s">
        <v>75</v>
      </c>
      <c r="E2429" t="s">
        <v>76</v>
      </c>
      <c r="F2429">
        <v>13.4</v>
      </c>
      <c r="G2429">
        <v>46.7</v>
      </c>
      <c r="H2429" t="s">
        <v>13</v>
      </c>
      <c r="I2429" t="str">
        <f t="shared" si="37"/>
        <v>Baixa</v>
      </c>
    </row>
    <row r="2430" spans="1:9">
      <c r="A2430" t="s">
        <v>328</v>
      </c>
      <c r="B2430">
        <v>2025</v>
      </c>
      <c r="C2430">
        <v>1</v>
      </c>
      <c r="D2430" t="s">
        <v>139</v>
      </c>
      <c r="E2430" t="s">
        <v>141</v>
      </c>
      <c r="F2430">
        <v>13.4</v>
      </c>
      <c r="G2430">
        <v>47.5</v>
      </c>
      <c r="H2430" t="s">
        <v>13</v>
      </c>
      <c r="I2430" t="str">
        <f t="shared" si="37"/>
        <v>Baixa</v>
      </c>
    </row>
    <row r="2431" spans="1:9">
      <c r="A2431" t="s">
        <v>349</v>
      </c>
      <c r="B2431">
        <v>2025</v>
      </c>
      <c r="C2431">
        <v>1</v>
      </c>
      <c r="D2431" t="s">
        <v>139</v>
      </c>
      <c r="E2431" t="s">
        <v>141</v>
      </c>
      <c r="F2431">
        <v>13.4</v>
      </c>
      <c r="G2431">
        <v>59.3</v>
      </c>
      <c r="H2431" t="s">
        <v>13</v>
      </c>
      <c r="I2431" t="str">
        <f t="shared" si="37"/>
        <v>Média</v>
      </c>
    </row>
    <row r="2432" spans="1:9">
      <c r="A2432" t="s">
        <v>373</v>
      </c>
      <c r="B2432">
        <v>2025</v>
      </c>
      <c r="C2432">
        <v>1</v>
      </c>
      <c r="D2432" t="s">
        <v>139</v>
      </c>
      <c r="E2432" t="s">
        <v>141</v>
      </c>
      <c r="F2432">
        <v>13.4</v>
      </c>
      <c r="G2432">
        <v>76.7</v>
      </c>
      <c r="H2432" t="s">
        <v>13</v>
      </c>
      <c r="I2432" t="str">
        <f t="shared" si="37"/>
        <v>Alta</v>
      </c>
    </row>
    <row r="2433" spans="1:9">
      <c r="A2433" t="s">
        <v>379</v>
      </c>
      <c r="B2433">
        <v>2025</v>
      </c>
      <c r="C2433">
        <v>1</v>
      </c>
      <c r="D2433" t="s">
        <v>139</v>
      </c>
      <c r="E2433" t="s">
        <v>140</v>
      </c>
      <c r="F2433">
        <v>13.4</v>
      </c>
      <c r="G2433">
        <v>89.2</v>
      </c>
      <c r="H2433" t="s">
        <v>13</v>
      </c>
      <c r="I2433" t="str">
        <f t="shared" si="37"/>
        <v>Alta</v>
      </c>
    </row>
    <row r="2434" spans="1:9">
      <c r="A2434" t="s">
        <v>229</v>
      </c>
      <c r="B2434">
        <v>2025</v>
      </c>
      <c r="C2434">
        <v>2</v>
      </c>
      <c r="D2434" t="s">
        <v>9</v>
      </c>
      <c r="E2434" t="s">
        <v>12</v>
      </c>
      <c r="F2434">
        <v>13.4</v>
      </c>
      <c r="G2434">
        <v>90.4</v>
      </c>
      <c r="H2434" t="s">
        <v>13</v>
      </c>
      <c r="I2434" t="str">
        <f t="shared" ref="I2434:I2497" si="38">IF(G2434&lt;50,"Baixa",IF(G2434&lt;75,"Média","Alta"))</f>
        <v>Alta</v>
      </c>
    </row>
    <row r="2435" spans="1:9">
      <c r="A2435" t="s">
        <v>254</v>
      </c>
      <c r="B2435">
        <v>2025</v>
      </c>
      <c r="C2435">
        <v>2</v>
      </c>
      <c r="D2435" t="s">
        <v>9</v>
      </c>
      <c r="E2435" t="s">
        <v>10</v>
      </c>
      <c r="F2435">
        <v>13.4</v>
      </c>
      <c r="G2435">
        <v>71</v>
      </c>
      <c r="H2435" t="s">
        <v>13</v>
      </c>
      <c r="I2435" t="str">
        <f t="shared" si="38"/>
        <v>Média</v>
      </c>
    </row>
    <row r="2436" spans="1:9">
      <c r="A2436" t="s">
        <v>286</v>
      </c>
      <c r="B2436">
        <v>2025</v>
      </c>
      <c r="C2436">
        <v>2</v>
      </c>
      <c r="D2436" t="s">
        <v>75</v>
      </c>
      <c r="E2436" t="s">
        <v>76</v>
      </c>
      <c r="F2436">
        <v>13.4</v>
      </c>
      <c r="G2436">
        <v>100</v>
      </c>
      <c r="H2436" t="s">
        <v>13</v>
      </c>
      <c r="I2436" t="str">
        <f t="shared" si="38"/>
        <v>Alta</v>
      </c>
    </row>
    <row r="2437" spans="1:9">
      <c r="A2437" t="s">
        <v>297</v>
      </c>
      <c r="B2437">
        <v>2025</v>
      </c>
      <c r="C2437">
        <v>2</v>
      </c>
      <c r="D2437" t="s">
        <v>75</v>
      </c>
      <c r="E2437" t="s">
        <v>77</v>
      </c>
      <c r="F2437">
        <v>13.4</v>
      </c>
      <c r="G2437">
        <v>96.8</v>
      </c>
      <c r="H2437" t="s">
        <v>13</v>
      </c>
      <c r="I2437" t="str">
        <f t="shared" si="38"/>
        <v>Alta</v>
      </c>
    </row>
    <row r="2438" spans="1:9">
      <c r="A2438" t="s">
        <v>316</v>
      </c>
      <c r="B2438">
        <v>2025</v>
      </c>
      <c r="C2438">
        <v>2</v>
      </c>
      <c r="D2438" t="s">
        <v>75</v>
      </c>
      <c r="E2438" t="s">
        <v>78</v>
      </c>
      <c r="F2438">
        <v>13.4</v>
      </c>
      <c r="G2438">
        <v>93.6</v>
      </c>
      <c r="H2438" t="s">
        <v>13</v>
      </c>
      <c r="I2438" t="str">
        <f t="shared" si="38"/>
        <v>Alta</v>
      </c>
    </row>
    <row r="2439" spans="1:9">
      <c r="A2439" t="s">
        <v>348</v>
      </c>
      <c r="B2439">
        <v>2025</v>
      </c>
      <c r="C2439">
        <v>2</v>
      </c>
      <c r="D2439" t="s">
        <v>139</v>
      </c>
      <c r="E2439" t="s">
        <v>141</v>
      </c>
      <c r="F2439">
        <v>13.4</v>
      </c>
      <c r="G2439">
        <v>57.2</v>
      </c>
      <c r="H2439" t="s">
        <v>13</v>
      </c>
      <c r="I2439" t="str">
        <f t="shared" si="38"/>
        <v>Média</v>
      </c>
    </row>
    <row r="2440" spans="1:9">
      <c r="A2440" t="s">
        <v>366</v>
      </c>
      <c r="B2440">
        <v>2025</v>
      </c>
      <c r="C2440">
        <v>2</v>
      </c>
      <c r="D2440" t="s">
        <v>139</v>
      </c>
      <c r="E2440" t="s">
        <v>141</v>
      </c>
      <c r="F2440">
        <v>13.4</v>
      </c>
      <c r="G2440">
        <v>70.2</v>
      </c>
      <c r="H2440" t="s">
        <v>13</v>
      </c>
      <c r="I2440" t="str">
        <f t="shared" si="38"/>
        <v>Média</v>
      </c>
    </row>
    <row r="2441" spans="1:9">
      <c r="A2441" t="s">
        <v>369</v>
      </c>
      <c r="B2441">
        <v>2025</v>
      </c>
      <c r="C2441">
        <v>2</v>
      </c>
      <c r="D2441" t="s">
        <v>139</v>
      </c>
      <c r="E2441" t="s">
        <v>10</v>
      </c>
      <c r="F2441">
        <v>13.4</v>
      </c>
      <c r="G2441">
        <v>95.2</v>
      </c>
      <c r="H2441" t="s">
        <v>13</v>
      </c>
      <c r="I2441" t="str">
        <f t="shared" si="38"/>
        <v>Alta</v>
      </c>
    </row>
    <row r="2442" spans="1:9">
      <c r="A2442" t="s">
        <v>404</v>
      </c>
      <c r="B2442">
        <v>2026</v>
      </c>
      <c r="C2442">
        <v>1</v>
      </c>
      <c r="D2442" t="s">
        <v>9</v>
      </c>
      <c r="E2442" t="s">
        <v>10</v>
      </c>
      <c r="F2442">
        <v>13.4</v>
      </c>
      <c r="G2442">
        <v>93.9</v>
      </c>
      <c r="H2442" t="s">
        <v>13</v>
      </c>
      <c r="I2442" t="str">
        <f t="shared" si="38"/>
        <v>Alta</v>
      </c>
    </row>
    <row r="2443" spans="1:9">
      <c r="A2443" t="s">
        <v>409</v>
      </c>
      <c r="B2443">
        <v>2026</v>
      </c>
      <c r="C2443">
        <v>1</v>
      </c>
      <c r="D2443" t="s">
        <v>9</v>
      </c>
      <c r="E2443" t="s">
        <v>14</v>
      </c>
      <c r="F2443">
        <v>13.4</v>
      </c>
      <c r="G2443">
        <v>96.9</v>
      </c>
      <c r="H2443" t="s">
        <v>13</v>
      </c>
      <c r="I2443" t="str">
        <f t="shared" si="38"/>
        <v>Alta</v>
      </c>
    </row>
    <row r="2444" spans="1:9">
      <c r="A2444" t="s">
        <v>423</v>
      </c>
      <c r="B2444">
        <v>2026</v>
      </c>
      <c r="C2444">
        <v>1</v>
      </c>
      <c r="D2444" t="s">
        <v>9</v>
      </c>
      <c r="E2444" t="s">
        <v>14</v>
      </c>
      <c r="F2444">
        <v>13.4</v>
      </c>
      <c r="G2444">
        <v>50.1</v>
      </c>
      <c r="H2444" t="s">
        <v>13</v>
      </c>
      <c r="I2444" t="str">
        <f t="shared" si="38"/>
        <v>Média</v>
      </c>
    </row>
    <row r="2445" spans="1:9">
      <c r="A2445" t="s">
        <v>429</v>
      </c>
      <c r="B2445">
        <v>2026</v>
      </c>
      <c r="C2445">
        <v>1</v>
      </c>
      <c r="D2445" t="s">
        <v>9</v>
      </c>
      <c r="E2445" t="s">
        <v>10</v>
      </c>
      <c r="F2445">
        <v>13.4</v>
      </c>
      <c r="G2445">
        <v>74.2</v>
      </c>
      <c r="H2445" t="s">
        <v>13</v>
      </c>
      <c r="I2445" t="str">
        <f t="shared" si="38"/>
        <v>Média</v>
      </c>
    </row>
    <row r="2446" spans="1:9">
      <c r="A2446" t="s">
        <v>465</v>
      </c>
      <c r="B2446">
        <v>2026</v>
      </c>
      <c r="C2446">
        <v>1</v>
      </c>
      <c r="D2446" t="s">
        <v>75</v>
      </c>
      <c r="E2446" t="s">
        <v>77</v>
      </c>
      <c r="F2446">
        <v>13.4</v>
      </c>
      <c r="G2446">
        <v>88.8</v>
      </c>
      <c r="H2446" t="s">
        <v>13</v>
      </c>
      <c r="I2446" t="str">
        <f t="shared" si="38"/>
        <v>Alta</v>
      </c>
    </row>
    <row r="2447" spans="1:9">
      <c r="A2447" t="s">
        <v>510</v>
      </c>
      <c r="B2447">
        <v>2026</v>
      </c>
      <c r="C2447">
        <v>1</v>
      </c>
      <c r="D2447" t="s">
        <v>139</v>
      </c>
      <c r="E2447" t="s">
        <v>141</v>
      </c>
      <c r="F2447">
        <v>13.4</v>
      </c>
      <c r="G2447">
        <v>89.2</v>
      </c>
      <c r="H2447" t="s">
        <v>13</v>
      </c>
      <c r="I2447" t="str">
        <f t="shared" si="38"/>
        <v>Alta</v>
      </c>
    </row>
    <row r="2448" spans="1:9">
      <c r="A2448" t="s">
        <v>515</v>
      </c>
      <c r="B2448">
        <v>2026</v>
      </c>
      <c r="C2448">
        <v>1</v>
      </c>
      <c r="D2448" t="s">
        <v>139</v>
      </c>
      <c r="E2448" t="s">
        <v>140</v>
      </c>
      <c r="F2448">
        <v>13.4</v>
      </c>
      <c r="G2448">
        <v>49.4</v>
      </c>
      <c r="H2448" t="s">
        <v>13</v>
      </c>
      <c r="I2448" t="str">
        <f t="shared" si="38"/>
        <v>Baixa</v>
      </c>
    </row>
    <row r="2449" spans="1:9">
      <c r="A2449" t="s">
        <v>531</v>
      </c>
      <c r="B2449">
        <v>2026</v>
      </c>
      <c r="C2449">
        <v>1</v>
      </c>
      <c r="D2449" t="s">
        <v>139</v>
      </c>
      <c r="E2449" t="s">
        <v>141</v>
      </c>
      <c r="F2449">
        <v>13.4</v>
      </c>
      <c r="G2449">
        <v>65</v>
      </c>
      <c r="H2449" t="s">
        <v>13</v>
      </c>
      <c r="I2449" t="str">
        <f t="shared" si="38"/>
        <v>Média</v>
      </c>
    </row>
    <row r="2450" spans="1:9">
      <c r="A2450" t="s">
        <v>391</v>
      </c>
      <c r="B2450">
        <v>2026</v>
      </c>
      <c r="C2450">
        <v>2</v>
      </c>
      <c r="D2450" t="s">
        <v>9</v>
      </c>
      <c r="E2450" t="s">
        <v>10</v>
      </c>
      <c r="F2450">
        <v>13.4</v>
      </c>
      <c r="G2450">
        <v>79.2</v>
      </c>
      <c r="H2450" t="s">
        <v>13</v>
      </c>
      <c r="I2450" t="str">
        <f t="shared" si="38"/>
        <v>Alta</v>
      </c>
    </row>
    <row r="2451" spans="1:9">
      <c r="A2451" t="s">
        <v>408</v>
      </c>
      <c r="B2451">
        <v>2026</v>
      </c>
      <c r="C2451">
        <v>2</v>
      </c>
      <c r="D2451" t="s">
        <v>9</v>
      </c>
      <c r="E2451" t="s">
        <v>14</v>
      </c>
      <c r="F2451">
        <v>13.4</v>
      </c>
      <c r="G2451">
        <v>88.4</v>
      </c>
      <c r="H2451" t="s">
        <v>13</v>
      </c>
      <c r="I2451" t="str">
        <f t="shared" si="38"/>
        <v>Alta</v>
      </c>
    </row>
    <row r="2452" spans="1:9">
      <c r="A2452" t="s">
        <v>454</v>
      </c>
      <c r="B2452">
        <v>2026</v>
      </c>
      <c r="C2452">
        <v>2</v>
      </c>
      <c r="D2452" t="s">
        <v>75</v>
      </c>
      <c r="E2452" t="s">
        <v>78</v>
      </c>
      <c r="F2452">
        <v>13.4</v>
      </c>
      <c r="G2452">
        <v>83.5</v>
      </c>
      <c r="H2452" t="s">
        <v>13</v>
      </c>
      <c r="I2452" t="str">
        <f t="shared" si="38"/>
        <v>Alta</v>
      </c>
    </row>
    <row r="2453" spans="1:9">
      <c r="A2453" t="s">
        <v>494</v>
      </c>
      <c r="B2453">
        <v>2026</v>
      </c>
      <c r="C2453">
        <v>2</v>
      </c>
      <c r="D2453" t="s">
        <v>75</v>
      </c>
      <c r="E2453" t="s">
        <v>76</v>
      </c>
      <c r="F2453">
        <v>13.4</v>
      </c>
      <c r="G2453">
        <v>90.1</v>
      </c>
      <c r="H2453" t="s">
        <v>13</v>
      </c>
      <c r="I2453" t="str">
        <f t="shared" si="38"/>
        <v>Alta</v>
      </c>
    </row>
    <row r="2454" spans="1:9">
      <c r="A2454" t="s">
        <v>86</v>
      </c>
      <c r="B2454">
        <v>2024</v>
      </c>
      <c r="C2454">
        <v>1</v>
      </c>
      <c r="D2454" t="s">
        <v>75</v>
      </c>
      <c r="E2454" t="s">
        <v>78</v>
      </c>
      <c r="F2454">
        <v>13.5</v>
      </c>
      <c r="G2454">
        <v>87.7</v>
      </c>
      <c r="H2454" t="s">
        <v>13</v>
      </c>
      <c r="I2454" t="str">
        <f t="shared" si="38"/>
        <v>Alta</v>
      </c>
    </row>
    <row r="2455" spans="1:9">
      <c r="A2455" t="s">
        <v>123</v>
      </c>
      <c r="B2455">
        <v>2024</v>
      </c>
      <c r="C2455">
        <v>1</v>
      </c>
      <c r="D2455" t="s">
        <v>75</v>
      </c>
      <c r="E2455" t="s">
        <v>77</v>
      </c>
      <c r="F2455">
        <v>13.5</v>
      </c>
      <c r="G2455">
        <v>55.2</v>
      </c>
      <c r="H2455" t="s">
        <v>13</v>
      </c>
      <c r="I2455" t="str">
        <f t="shared" si="38"/>
        <v>Média</v>
      </c>
    </row>
    <row r="2456" spans="1:9">
      <c r="A2456" t="s">
        <v>187</v>
      </c>
      <c r="B2456">
        <v>2024</v>
      </c>
      <c r="C2456">
        <v>1</v>
      </c>
      <c r="D2456" t="s">
        <v>139</v>
      </c>
      <c r="E2456" t="s">
        <v>10</v>
      </c>
      <c r="F2456">
        <v>13.5</v>
      </c>
      <c r="G2456">
        <v>99.5</v>
      </c>
      <c r="H2456" t="s">
        <v>13</v>
      </c>
      <c r="I2456" t="str">
        <f t="shared" si="38"/>
        <v>Alta</v>
      </c>
    </row>
    <row r="2457" spans="1:9">
      <c r="A2457" t="s">
        <v>58</v>
      </c>
      <c r="B2457">
        <v>2024</v>
      </c>
      <c r="C2457">
        <v>2</v>
      </c>
      <c r="D2457" t="s">
        <v>9</v>
      </c>
      <c r="E2457" t="s">
        <v>10</v>
      </c>
      <c r="F2457">
        <v>13.5</v>
      </c>
      <c r="G2457">
        <v>95</v>
      </c>
      <c r="H2457" t="s">
        <v>13</v>
      </c>
      <c r="I2457" t="str">
        <f t="shared" si="38"/>
        <v>Alta</v>
      </c>
    </row>
    <row r="2458" spans="1:9">
      <c r="A2458" t="s">
        <v>157</v>
      </c>
      <c r="B2458">
        <v>2024</v>
      </c>
      <c r="C2458">
        <v>2</v>
      </c>
      <c r="D2458" t="s">
        <v>139</v>
      </c>
      <c r="E2458" t="s">
        <v>141</v>
      </c>
      <c r="F2458">
        <v>13.5</v>
      </c>
      <c r="G2458">
        <v>90.9</v>
      </c>
      <c r="H2458" t="s">
        <v>13</v>
      </c>
      <c r="I2458" t="str">
        <f t="shared" si="38"/>
        <v>Alta</v>
      </c>
    </row>
    <row r="2459" spans="1:9">
      <c r="A2459" t="s">
        <v>185</v>
      </c>
      <c r="B2459">
        <v>2024</v>
      </c>
      <c r="C2459">
        <v>2</v>
      </c>
      <c r="D2459" t="s">
        <v>139</v>
      </c>
      <c r="E2459" t="s">
        <v>140</v>
      </c>
      <c r="F2459">
        <v>13.5</v>
      </c>
      <c r="G2459">
        <v>74</v>
      </c>
      <c r="H2459" t="s">
        <v>13</v>
      </c>
      <c r="I2459" t="str">
        <f t="shared" si="38"/>
        <v>Média</v>
      </c>
    </row>
    <row r="2460" spans="1:9">
      <c r="A2460" t="s">
        <v>209</v>
      </c>
      <c r="B2460">
        <v>2025</v>
      </c>
      <c r="C2460">
        <v>1</v>
      </c>
      <c r="D2460" t="s">
        <v>9</v>
      </c>
      <c r="E2460" t="s">
        <v>14</v>
      </c>
      <c r="F2460">
        <v>13.5</v>
      </c>
      <c r="G2460">
        <v>91.3</v>
      </c>
      <c r="H2460" t="s">
        <v>13</v>
      </c>
      <c r="I2460" t="str">
        <f t="shared" si="38"/>
        <v>Alta</v>
      </c>
    </row>
    <row r="2461" spans="1:9">
      <c r="A2461" t="s">
        <v>215</v>
      </c>
      <c r="B2461">
        <v>2025</v>
      </c>
      <c r="C2461">
        <v>1</v>
      </c>
      <c r="D2461" t="s">
        <v>9</v>
      </c>
      <c r="E2461" t="s">
        <v>10</v>
      </c>
      <c r="F2461">
        <v>13.5</v>
      </c>
      <c r="G2461">
        <v>78.599999999999994</v>
      </c>
      <c r="H2461" t="s">
        <v>13</v>
      </c>
      <c r="I2461" t="str">
        <f t="shared" si="38"/>
        <v>Alta</v>
      </c>
    </row>
    <row r="2462" spans="1:9">
      <c r="A2462" t="s">
        <v>282</v>
      </c>
      <c r="B2462">
        <v>2025</v>
      </c>
      <c r="C2462">
        <v>1</v>
      </c>
      <c r="D2462" t="s">
        <v>75</v>
      </c>
      <c r="E2462" t="s">
        <v>78</v>
      </c>
      <c r="F2462">
        <v>13.5</v>
      </c>
      <c r="G2462">
        <v>98.2</v>
      </c>
      <c r="H2462" t="s">
        <v>13</v>
      </c>
      <c r="I2462" t="str">
        <f t="shared" si="38"/>
        <v>Alta</v>
      </c>
    </row>
    <row r="2463" spans="1:9">
      <c r="A2463" t="s">
        <v>313</v>
      </c>
      <c r="B2463">
        <v>2025</v>
      </c>
      <c r="C2463">
        <v>1</v>
      </c>
      <c r="D2463" t="s">
        <v>75</v>
      </c>
      <c r="E2463" t="s">
        <v>76</v>
      </c>
      <c r="F2463">
        <v>13.5</v>
      </c>
      <c r="G2463">
        <v>50.2</v>
      </c>
      <c r="H2463" t="s">
        <v>13</v>
      </c>
      <c r="I2463" t="str">
        <f t="shared" si="38"/>
        <v>Média</v>
      </c>
    </row>
    <row r="2464" spans="1:9">
      <c r="A2464" t="s">
        <v>319</v>
      </c>
      <c r="B2464">
        <v>2025</v>
      </c>
      <c r="C2464">
        <v>1</v>
      </c>
      <c r="D2464" t="s">
        <v>75</v>
      </c>
      <c r="E2464" t="s">
        <v>78</v>
      </c>
      <c r="F2464">
        <v>13.5</v>
      </c>
      <c r="G2464">
        <v>88.1</v>
      </c>
      <c r="H2464" t="s">
        <v>13</v>
      </c>
      <c r="I2464" t="str">
        <f t="shared" si="38"/>
        <v>Alta</v>
      </c>
    </row>
    <row r="2465" spans="1:9">
      <c r="A2465" t="s">
        <v>369</v>
      </c>
      <c r="B2465">
        <v>2025</v>
      </c>
      <c r="C2465">
        <v>1</v>
      </c>
      <c r="D2465" t="s">
        <v>139</v>
      </c>
      <c r="E2465" t="s">
        <v>10</v>
      </c>
      <c r="F2465">
        <v>13.5</v>
      </c>
      <c r="G2465">
        <v>75.2</v>
      </c>
      <c r="H2465" t="s">
        <v>13</v>
      </c>
      <c r="I2465" t="str">
        <f t="shared" si="38"/>
        <v>Alta</v>
      </c>
    </row>
    <row r="2466" spans="1:9">
      <c r="A2466" t="s">
        <v>300</v>
      </c>
      <c r="B2466">
        <v>2025</v>
      </c>
      <c r="C2466">
        <v>2</v>
      </c>
      <c r="D2466" t="s">
        <v>75</v>
      </c>
      <c r="E2466" t="s">
        <v>76</v>
      </c>
      <c r="F2466">
        <v>13.5</v>
      </c>
      <c r="G2466">
        <v>72.099999999999994</v>
      </c>
      <c r="H2466" t="s">
        <v>13</v>
      </c>
      <c r="I2466" t="str">
        <f t="shared" si="38"/>
        <v>Média</v>
      </c>
    </row>
    <row r="2467" spans="1:9">
      <c r="A2467" t="s">
        <v>314</v>
      </c>
      <c r="B2467">
        <v>2025</v>
      </c>
      <c r="C2467">
        <v>2</v>
      </c>
      <c r="D2467" t="s">
        <v>75</v>
      </c>
      <c r="E2467" t="s">
        <v>77</v>
      </c>
      <c r="F2467">
        <v>13.5</v>
      </c>
      <c r="G2467">
        <v>91.3</v>
      </c>
      <c r="H2467" t="s">
        <v>13</v>
      </c>
      <c r="I2467" t="str">
        <f t="shared" si="38"/>
        <v>Alta</v>
      </c>
    </row>
    <row r="2468" spans="1:9">
      <c r="A2468" t="s">
        <v>466</v>
      </c>
      <c r="B2468">
        <v>2026</v>
      </c>
      <c r="C2468">
        <v>1</v>
      </c>
      <c r="D2468" t="s">
        <v>75</v>
      </c>
      <c r="E2468" t="s">
        <v>76</v>
      </c>
      <c r="F2468">
        <v>13.5</v>
      </c>
      <c r="G2468">
        <v>52.6</v>
      </c>
      <c r="H2468" t="s">
        <v>13</v>
      </c>
      <c r="I2468" t="str">
        <f t="shared" si="38"/>
        <v>Média</v>
      </c>
    </row>
    <row r="2469" spans="1:9">
      <c r="A2469" t="s">
        <v>511</v>
      </c>
      <c r="B2469">
        <v>2026</v>
      </c>
      <c r="C2469">
        <v>1</v>
      </c>
      <c r="D2469" t="s">
        <v>139</v>
      </c>
      <c r="E2469" t="s">
        <v>141</v>
      </c>
      <c r="F2469">
        <v>13.5</v>
      </c>
      <c r="G2469">
        <v>82.5</v>
      </c>
      <c r="H2469" t="s">
        <v>13</v>
      </c>
      <c r="I2469" t="str">
        <f t="shared" si="38"/>
        <v>Alta</v>
      </c>
    </row>
    <row r="2470" spans="1:9">
      <c r="A2470" t="s">
        <v>397</v>
      </c>
      <c r="B2470">
        <v>2026</v>
      </c>
      <c r="C2470">
        <v>2</v>
      </c>
      <c r="D2470" t="s">
        <v>9</v>
      </c>
      <c r="E2470" t="s">
        <v>14</v>
      </c>
      <c r="F2470">
        <v>13.5</v>
      </c>
      <c r="G2470">
        <v>86.8</v>
      </c>
      <c r="H2470" t="s">
        <v>13</v>
      </c>
      <c r="I2470" t="str">
        <f t="shared" si="38"/>
        <v>Alta</v>
      </c>
    </row>
    <row r="2471" spans="1:9">
      <c r="A2471" t="s">
        <v>480</v>
      </c>
      <c r="B2471">
        <v>2026</v>
      </c>
      <c r="C2471">
        <v>2</v>
      </c>
      <c r="D2471" t="s">
        <v>75</v>
      </c>
      <c r="E2471" t="s">
        <v>78</v>
      </c>
      <c r="F2471">
        <v>13.5</v>
      </c>
      <c r="G2471">
        <v>73</v>
      </c>
      <c r="H2471" t="s">
        <v>13</v>
      </c>
      <c r="I2471" t="str">
        <f t="shared" si="38"/>
        <v>Média</v>
      </c>
    </row>
    <row r="2472" spans="1:9">
      <c r="A2472" t="s">
        <v>21</v>
      </c>
      <c r="B2472">
        <v>2024</v>
      </c>
      <c r="C2472">
        <v>1</v>
      </c>
      <c r="D2472" t="s">
        <v>9</v>
      </c>
      <c r="E2472" t="s">
        <v>14</v>
      </c>
      <c r="F2472">
        <v>13.6</v>
      </c>
      <c r="G2472">
        <v>81</v>
      </c>
      <c r="H2472" t="s">
        <v>13</v>
      </c>
      <c r="I2472" t="str">
        <f t="shared" si="38"/>
        <v>Alta</v>
      </c>
    </row>
    <row r="2473" spans="1:9">
      <c r="A2473" t="s">
        <v>56</v>
      </c>
      <c r="B2473">
        <v>2024</v>
      </c>
      <c r="C2473">
        <v>1</v>
      </c>
      <c r="D2473" t="s">
        <v>9</v>
      </c>
      <c r="E2473" t="s">
        <v>10</v>
      </c>
      <c r="F2473">
        <v>13.6</v>
      </c>
      <c r="G2473">
        <v>62.4</v>
      </c>
      <c r="H2473" t="s">
        <v>13</v>
      </c>
      <c r="I2473" t="str">
        <f t="shared" si="38"/>
        <v>Média</v>
      </c>
    </row>
    <row r="2474" spans="1:9">
      <c r="A2474" t="s">
        <v>111</v>
      </c>
      <c r="B2474">
        <v>2024</v>
      </c>
      <c r="C2474">
        <v>1</v>
      </c>
      <c r="D2474" t="s">
        <v>75</v>
      </c>
      <c r="E2474" t="s">
        <v>78</v>
      </c>
      <c r="F2474">
        <v>13.6</v>
      </c>
      <c r="G2474">
        <v>87.7</v>
      </c>
      <c r="H2474" t="s">
        <v>13</v>
      </c>
      <c r="I2474" t="str">
        <f t="shared" si="38"/>
        <v>Alta</v>
      </c>
    </row>
    <row r="2475" spans="1:9">
      <c r="A2475" t="s">
        <v>199</v>
      </c>
      <c r="B2475">
        <v>2024</v>
      </c>
      <c r="C2475">
        <v>1</v>
      </c>
      <c r="D2475" t="s">
        <v>139</v>
      </c>
      <c r="E2475" t="s">
        <v>10</v>
      </c>
      <c r="F2475">
        <v>13.6</v>
      </c>
      <c r="G2475">
        <v>92.6</v>
      </c>
      <c r="H2475" t="s">
        <v>13</v>
      </c>
      <c r="I2475" t="str">
        <f t="shared" si="38"/>
        <v>Alta</v>
      </c>
    </row>
    <row r="2476" spans="1:9">
      <c r="A2476" t="s">
        <v>43</v>
      </c>
      <c r="B2476">
        <v>2024</v>
      </c>
      <c r="C2476">
        <v>2</v>
      </c>
      <c r="D2476" t="s">
        <v>9</v>
      </c>
      <c r="E2476" t="s">
        <v>14</v>
      </c>
      <c r="F2476">
        <v>13.6</v>
      </c>
      <c r="G2476">
        <v>78.8</v>
      </c>
      <c r="H2476" t="s">
        <v>13</v>
      </c>
      <c r="I2476" t="str">
        <f t="shared" si="38"/>
        <v>Alta</v>
      </c>
    </row>
    <row r="2477" spans="1:9">
      <c r="A2477" t="s">
        <v>59</v>
      </c>
      <c r="B2477">
        <v>2024</v>
      </c>
      <c r="C2477">
        <v>2</v>
      </c>
      <c r="D2477" t="s">
        <v>9</v>
      </c>
      <c r="E2477" t="s">
        <v>14</v>
      </c>
      <c r="F2477">
        <v>13.6</v>
      </c>
      <c r="G2477">
        <v>74.099999999999994</v>
      </c>
      <c r="H2477" t="s">
        <v>13</v>
      </c>
      <c r="I2477" t="str">
        <f t="shared" si="38"/>
        <v>Média</v>
      </c>
    </row>
    <row r="2478" spans="1:9">
      <c r="A2478" t="s">
        <v>73</v>
      </c>
      <c r="B2478">
        <v>2024</v>
      </c>
      <c r="C2478">
        <v>2</v>
      </c>
      <c r="D2478" t="s">
        <v>9</v>
      </c>
      <c r="E2478" t="s">
        <v>10</v>
      </c>
      <c r="F2478">
        <v>13.6</v>
      </c>
      <c r="G2478">
        <v>79.599999999999994</v>
      </c>
      <c r="H2478" t="s">
        <v>13</v>
      </c>
      <c r="I2478" t="str">
        <f t="shared" si="38"/>
        <v>Alta</v>
      </c>
    </row>
    <row r="2479" spans="1:9">
      <c r="A2479" t="s">
        <v>153</v>
      </c>
      <c r="B2479">
        <v>2024</v>
      </c>
      <c r="C2479">
        <v>2</v>
      </c>
      <c r="D2479" t="s">
        <v>139</v>
      </c>
      <c r="E2479" t="s">
        <v>140</v>
      </c>
      <c r="F2479">
        <v>13.6</v>
      </c>
      <c r="G2479">
        <v>96.7</v>
      </c>
      <c r="H2479" t="s">
        <v>13</v>
      </c>
      <c r="I2479" t="str">
        <f t="shared" si="38"/>
        <v>Alta</v>
      </c>
    </row>
    <row r="2480" spans="1:9">
      <c r="A2480" t="s">
        <v>184</v>
      </c>
      <c r="B2480">
        <v>2024</v>
      </c>
      <c r="C2480">
        <v>2</v>
      </c>
      <c r="D2480" t="s">
        <v>139</v>
      </c>
      <c r="E2480" t="s">
        <v>10</v>
      </c>
      <c r="F2480">
        <v>13.6</v>
      </c>
      <c r="G2480">
        <v>93.3</v>
      </c>
      <c r="H2480" t="s">
        <v>13</v>
      </c>
      <c r="I2480" t="str">
        <f t="shared" si="38"/>
        <v>Alta</v>
      </c>
    </row>
    <row r="2481" spans="1:9">
      <c r="A2481" t="s">
        <v>242</v>
      </c>
      <c r="B2481">
        <v>2025</v>
      </c>
      <c r="C2481">
        <v>1</v>
      </c>
      <c r="D2481" t="s">
        <v>9</v>
      </c>
      <c r="E2481" t="s">
        <v>14</v>
      </c>
      <c r="F2481">
        <v>13.6</v>
      </c>
      <c r="G2481">
        <v>86.7</v>
      </c>
      <c r="H2481" t="s">
        <v>13</v>
      </c>
      <c r="I2481" t="str">
        <f t="shared" si="38"/>
        <v>Alta</v>
      </c>
    </row>
    <row r="2482" spans="1:9">
      <c r="A2482" t="s">
        <v>269</v>
      </c>
      <c r="B2482">
        <v>2025</v>
      </c>
      <c r="C2482">
        <v>1</v>
      </c>
      <c r="D2482" t="s">
        <v>75</v>
      </c>
      <c r="E2482" t="s">
        <v>77</v>
      </c>
      <c r="F2482">
        <v>13.6</v>
      </c>
      <c r="G2482">
        <v>90.7</v>
      </c>
      <c r="H2482" t="s">
        <v>13</v>
      </c>
      <c r="I2482" t="str">
        <f t="shared" si="38"/>
        <v>Alta</v>
      </c>
    </row>
    <row r="2483" spans="1:9">
      <c r="A2483" t="s">
        <v>342</v>
      </c>
      <c r="B2483">
        <v>2025</v>
      </c>
      <c r="C2483">
        <v>1</v>
      </c>
      <c r="D2483" t="s">
        <v>139</v>
      </c>
      <c r="E2483" t="s">
        <v>10</v>
      </c>
      <c r="F2483">
        <v>13.6</v>
      </c>
      <c r="G2483">
        <v>74.3</v>
      </c>
      <c r="H2483" t="s">
        <v>13</v>
      </c>
      <c r="I2483" t="str">
        <f t="shared" si="38"/>
        <v>Média</v>
      </c>
    </row>
    <row r="2484" spans="1:9">
      <c r="A2484" t="s">
        <v>211</v>
      </c>
      <c r="B2484">
        <v>2025</v>
      </c>
      <c r="C2484">
        <v>2</v>
      </c>
      <c r="D2484" t="s">
        <v>9</v>
      </c>
      <c r="E2484" t="s">
        <v>14</v>
      </c>
      <c r="F2484">
        <v>13.6</v>
      </c>
      <c r="G2484">
        <v>95.8</v>
      </c>
      <c r="H2484" t="s">
        <v>13</v>
      </c>
      <c r="I2484" t="str">
        <f t="shared" si="38"/>
        <v>Alta</v>
      </c>
    </row>
    <row r="2485" spans="1:9">
      <c r="A2485" t="s">
        <v>240</v>
      </c>
      <c r="B2485">
        <v>2025</v>
      </c>
      <c r="C2485">
        <v>2</v>
      </c>
      <c r="D2485" t="s">
        <v>9</v>
      </c>
      <c r="E2485" t="s">
        <v>12</v>
      </c>
      <c r="F2485">
        <v>13.6</v>
      </c>
      <c r="G2485">
        <v>97</v>
      </c>
      <c r="H2485" t="s">
        <v>13</v>
      </c>
      <c r="I2485" t="str">
        <f t="shared" si="38"/>
        <v>Alta</v>
      </c>
    </row>
    <row r="2486" spans="1:9">
      <c r="A2486" t="s">
        <v>263</v>
      </c>
      <c r="B2486">
        <v>2025</v>
      </c>
      <c r="C2486">
        <v>2</v>
      </c>
      <c r="D2486" t="s">
        <v>75</v>
      </c>
      <c r="E2486" t="s">
        <v>77</v>
      </c>
      <c r="F2486">
        <v>13.6</v>
      </c>
      <c r="G2486">
        <v>75.2</v>
      </c>
      <c r="H2486" t="s">
        <v>13</v>
      </c>
      <c r="I2486" t="str">
        <f t="shared" si="38"/>
        <v>Alta</v>
      </c>
    </row>
    <row r="2487" spans="1:9">
      <c r="A2487" t="s">
        <v>277</v>
      </c>
      <c r="B2487">
        <v>2025</v>
      </c>
      <c r="C2487">
        <v>2</v>
      </c>
      <c r="D2487" t="s">
        <v>75</v>
      </c>
      <c r="E2487" t="s">
        <v>78</v>
      </c>
      <c r="F2487">
        <v>13.6</v>
      </c>
      <c r="G2487">
        <v>71.7</v>
      </c>
      <c r="H2487" t="s">
        <v>13</v>
      </c>
      <c r="I2487" t="str">
        <f t="shared" si="38"/>
        <v>Média</v>
      </c>
    </row>
    <row r="2488" spans="1:9">
      <c r="A2488" t="s">
        <v>359</v>
      </c>
      <c r="B2488">
        <v>2025</v>
      </c>
      <c r="C2488">
        <v>2</v>
      </c>
      <c r="D2488" t="s">
        <v>139</v>
      </c>
      <c r="E2488" t="s">
        <v>141</v>
      </c>
      <c r="F2488">
        <v>13.6</v>
      </c>
      <c r="G2488">
        <v>95.8</v>
      </c>
      <c r="H2488" t="s">
        <v>13</v>
      </c>
      <c r="I2488" t="str">
        <f t="shared" si="38"/>
        <v>Alta</v>
      </c>
    </row>
    <row r="2489" spans="1:9">
      <c r="A2489" t="s">
        <v>459</v>
      </c>
      <c r="B2489">
        <v>2026</v>
      </c>
      <c r="C2489">
        <v>1</v>
      </c>
      <c r="D2489" t="s">
        <v>75</v>
      </c>
      <c r="E2489" t="s">
        <v>78</v>
      </c>
      <c r="F2489">
        <v>13.6</v>
      </c>
      <c r="G2489">
        <v>79.8</v>
      </c>
      <c r="H2489" t="s">
        <v>13</v>
      </c>
      <c r="I2489" t="str">
        <f t="shared" si="38"/>
        <v>Alta</v>
      </c>
    </row>
    <row r="2490" spans="1:9">
      <c r="A2490" t="s">
        <v>426</v>
      </c>
      <c r="B2490">
        <v>2026</v>
      </c>
      <c r="C2490">
        <v>2</v>
      </c>
      <c r="D2490" t="s">
        <v>9</v>
      </c>
      <c r="E2490" t="s">
        <v>14</v>
      </c>
      <c r="F2490">
        <v>13.6</v>
      </c>
      <c r="G2490">
        <v>85.3</v>
      </c>
      <c r="H2490" t="s">
        <v>13</v>
      </c>
      <c r="I2490" t="str">
        <f t="shared" si="38"/>
        <v>Alta</v>
      </c>
    </row>
    <row r="2491" spans="1:9">
      <c r="A2491" t="s">
        <v>454</v>
      </c>
      <c r="B2491">
        <v>2026</v>
      </c>
      <c r="C2491">
        <v>2</v>
      </c>
      <c r="D2491" t="s">
        <v>75</v>
      </c>
      <c r="E2491" t="s">
        <v>76</v>
      </c>
      <c r="F2491">
        <v>13.6</v>
      </c>
      <c r="G2491">
        <v>82.5</v>
      </c>
      <c r="H2491" t="s">
        <v>13</v>
      </c>
      <c r="I2491" t="str">
        <f t="shared" si="38"/>
        <v>Alta</v>
      </c>
    </row>
    <row r="2492" spans="1:9">
      <c r="A2492" t="s">
        <v>488</v>
      </c>
      <c r="B2492">
        <v>2026</v>
      </c>
      <c r="C2492">
        <v>2</v>
      </c>
      <c r="D2492" t="s">
        <v>75</v>
      </c>
      <c r="E2492" t="s">
        <v>78</v>
      </c>
      <c r="F2492">
        <v>13.6</v>
      </c>
      <c r="G2492">
        <v>99.7</v>
      </c>
      <c r="H2492" t="s">
        <v>13</v>
      </c>
      <c r="I2492" t="str">
        <f t="shared" si="38"/>
        <v>Alta</v>
      </c>
    </row>
    <row r="2493" spans="1:9">
      <c r="A2493" t="s">
        <v>511</v>
      </c>
      <c r="B2493">
        <v>2026</v>
      </c>
      <c r="C2493">
        <v>2</v>
      </c>
      <c r="D2493" t="s">
        <v>139</v>
      </c>
      <c r="E2493" t="s">
        <v>10</v>
      </c>
      <c r="F2493">
        <v>13.6</v>
      </c>
      <c r="G2493">
        <v>56.7</v>
      </c>
      <c r="H2493" t="s">
        <v>13</v>
      </c>
      <c r="I2493" t="str">
        <f t="shared" si="38"/>
        <v>Média</v>
      </c>
    </row>
    <row r="2494" spans="1:9">
      <c r="A2494" t="s">
        <v>531</v>
      </c>
      <c r="B2494">
        <v>2026</v>
      </c>
      <c r="C2494">
        <v>2</v>
      </c>
      <c r="D2494" t="s">
        <v>139</v>
      </c>
      <c r="E2494" t="s">
        <v>140</v>
      </c>
      <c r="F2494">
        <v>13.6</v>
      </c>
      <c r="G2494">
        <v>78.2</v>
      </c>
      <c r="H2494" t="s">
        <v>13</v>
      </c>
      <c r="I2494" t="str">
        <f t="shared" si="38"/>
        <v>Alta</v>
      </c>
    </row>
    <row r="2495" spans="1:9">
      <c r="A2495" t="s">
        <v>108</v>
      </c>
      <c r="B2495">
        <v>2024</v>
      </c>
      <c r="C2495">
        <v>1</v>
      </c>
      <c r="D2495" t="s">
        <v>75</v>
      </c>
      <c r="E2495" t="s">
        <v>78</v>
      </c>
      <c r="F2495">
        <v>13.7</v>
      </c>
      <c r="G2495">
        <v>81.099999999999994</v>
      </c>
      <c r="H2495" t="s">
        <v>13</v>
      </c>
      <c r="I2495" t="str">
        <f t="shared" si="38"/>
        <v>Alta</v>
      </c>
    </row>
    <row r="2496" spans="1:9">
      <c r="A2496" t="s">
        <v>109</v>
      </c>
      <c r="B2496">
        <v>2024</v>
      </c>
      <c r="C2496">
        <v>1</v>
      </c>
      <c r="D2496" t="s">
        <v>75</v>
      </c>
      <c r="E2496" t="s">
        <v>76</v>
      </c>
      <c r="F2496">
        <v>13.7</v>
      </c>
      <c r="G2496">
        <v>95.6</v>
      </c>
      <c r="H2496" t="s">
        <v>13</v>
      </c>
      <c r="I2496" t="str">
        <f t="shared" si="38"/>
        <v>Alta</v>
      </c>
    </row>
    <row r="2497" spans="1:9">
      <c r="A2497" t="s">
        <v>138</v>
      </c>
      <c r="B2497">
        <v>2024</v>
      </c>
      <c r="C2497">
        <v>1</v>
      </c>
      <c r="D2497" t="s">
        <v>139</v>
      </c>
      <c r="E2497" t="s">
        <v>141</v>
      </c>
      <c r="F2497">
        <v>13.7</v>
      </c>
      <c r="G2497">
        <v>98.7</v>
      </c>
      <c r="H2497" t="s">
        <v>13</v>
      </c>
      <c r="I2497" t="str">
        <f t="shared" si="38"/>
        <v>Alta</v>
      </c>
    </row>
    <row r="2498" spans="1:9">
      <c r="A2498" t="s">
        <v>146</v>
      </c>
      <c r="B2498">
        <v>2024</v>
      </c>
      <c r="C2498">
        <v>1</v>
      </c>
      <c r="D2498" t="s">
        <v>139</v>
      </c>
      <c r="E2498" t="s">
        <v>141</v>
      </c>
      <c r="F2498">
        <v>13.7</v>
      </c>
      <c r="G2498">
        <v>70.400000000000006</v>
      </c>
      <c r="H2498" t="s">
        <v>13</v>
      </c>
      <c r="I2498" t="str">
        <f t="shared" ref="I2498:I2561" si="39">IF(G2498&lt;50,"Baixa",IF(G2498&lt;75,"Média","Alta"))</f>
        <v>Média</v>
      </c>
    </row>
    <row r="2499" spans="1:9">
      <c r="A2499" t="s">
        <v>197</v>
      </c>
      <c r="B2499">
        <v>2024</v>
      </c>
      <c r="C2499">
        <v>1</v>
      </c>
      <c r="D2499" t="s">
        <v>139</v>
      </c>
      <c r="E2499" t="s">
        <v>140</v>
      </c>
      <c r="F2499">
        <v>13.7</v>
      </c>
      <c r="G2499">
        <v>97.6</v>
      </c>
      <c r="H2499" t="s">
        <v>13</v>
      </c>
      <c r="I2499" t="str">
        <f t="shared" si="39"/>
        <v>Alta</v>
      </c>
    </row>
    <row r="2500" spans="1:9">
      <c r="A2500" t="s">
        <v>83</v>
      </c>
      <c r="B2500">
        <v>2024</v>
      </c>
      <c r="C2500">
        <v>2</v>
      </c>
      <c r="D2500" t="s">
        <v>75</v>
      </c>
      <c r="E2500" t="s">
        <v>77</v>
      </c>
      <c r="F2500">
        <v>13.7</v>
      </c>
      <c r="G2500">
        <v>72.5</v>
      </c>
      <c r="H2500" t="s">
        <v>13</v>
      </c>
      <c r="I2500" t="str">
        <f t="shared" si="39"/>
        <v>Média</v>
      </c>
    </row>
    <row r="2501" spans="1:9">
      <c r="A2501" t="s">
        <v>124</v>
      </c>
      <c r="B2501">
        <v>2024</v>
      </c>
      <c r="C2501">
        <v>2</v>
      </c>
      <c r="D2501" t="s">
        <v>75</v>
      </c>
      <c r="E2501" t="s">
        <v>76</v>
      </c>
      <c r="F2501">
        <v>13.7</v>
      </c>
      <c r="G2501">
        <v>54.1</v>
      </c>
      <c r="H2501" t="s">
        <v>13</v>
      </c>
      <c r="I2501" t="str">
        <f t="shared" si="39"/>
        <v>Média</v>
      </c>
    </row>
    <row r="2502" spans="1:9">
      <c r="A2502" t="s">
        <v>129</v>
      </c>
      <c r="B2502">
        <v>2024</v>
      </c>
      <c r="C2502">
        <v>2</v>
      </c>
      <c r="D2502" t="s">
        <v>75</v>
      </c>
      <c r="E2502" t="s">
        <v>77</v>
      </c>
      <c r="F2502">
        <v>13.7</v>
      </c>
      <c r="G2502">
        <v>54</v>
      </c>
      <c r="H2502" t="s">
        <v>13</v>
      </c>
      <c r="I2502" t="str">
        <f t="shared" si="39"/>
        <v>Média</v>
      </c>
    </row>
    <row r="2503" spans="1:9">
      <c r="A2503" t="s">
        <v>149</v>
      </c>
      <c r="B2503">
        <v>2024</v>
      </c>
      <c r="C2503">
        <v>2</v>
      </c>
      <c r="D2503" t="s">
        <v>139</v>
      </c>
      <c r="E2503" t="s">
        <v>10</v>
      </c>
      <c r="F2503">
        <v>13.7</v>
      </c>
      <c r="G2503">
        <v>54.4</v>
      </c>
      <c r="H2503" t="s">
        <v>13</v>
      </c>
      <c r="I2503" t="str">
        <f t="shared" si="39"/>
        <v>Média</v>
      </c>
    </row>
    <row r="2504" spans="1:9">
      <c r="A2504" t="s">
        <v>163</v>
      </c>
      <c r="B2504">
        <v>2024</v>
      </c>
      <c r="C2504">
        <v>2</v>
      </c>
      <c r="D2504" t="s">
        <v>139</v>
      </c>
      <c r="E2504" t="s">
        <v>10</v>
      </c>
      <c r="F2504">
        <v>13.7</v>
      </c>
      <c r="G2504">
        <v>78.8</v>
      </c>
      <c r="H2504" t="s">
        <v>13</v>
      </c>
      <c r="I2504" t="str">
        <f t="shared" si="39"/>
        <v>Alta</v>
      </c>
    </row>
    <row r="2505" spans="1:9">
      <c r="A2505" t="s">
        <v>201</v>
      </c>
      <c r="B2505">
        <v>2025</v>
      </c>
      <c r="C2505">
        <v>1</v>
      </c>
      <c r="D2505" t="s">
        <v>9</v>
      </c>
      <c r="E2505" t="s">
        <v>10</v>
      </c>
      <c r="F2505">
        <v>13.7</v>
      </c>
      <c r="G2505">
        <v>87.4</v>
      </c>
      <c r="H2505" t="s">
        <v>13</v>
      </c>
      <c r="I2505" t="str">
        <f t="shared" si="39"/>
        <v>Alta</v>
      </c>
    </row>
    <row r="2506" spans="1:9">
      <c r="A2506" t="s">
        <v>207</v>
      </c>
      <c r="B2506">
        <v>2025</v>
      </c>
      <c r="C2506">
        <v>1</v>
      </c>
      <c r="D2506" t="s">
        <v>9</v>
      </c>
      <c r="E2506" t="s">
        <v>12</v>
      </c>
      <c r="F2506">
        <v>13.7</v>
      </c>
      <c r="G2506">
        <v>97.4</v>
      </c>
      <c r="H2506" t="s">
        <v>13</v>
      </c>
      <c r="I2506" t="str">
        <f t="shared" si="39"/>
        <v>Alta</v>
      </c>
    </row>
    <row r="2507" spans="1:9">
      <c r="A2507" t="s">
        <v>298</v>
      </c>
      <c r="B2507">
        <v>2025</v>
      </c>
      <c r="C2507">
        <v>1</v>
      </c>
      <c r="D2507" t="s">
        <v>75</v>
      </c>
      <c r="E2507" t="s">
        <v>78</v>
      </c>
      <c r="F2507">
        <v>13.7</v>
      </c>
      <c r="G2507">
        <v>45.2</v>
      </c>
      <c r="H2507" t="s">
        <v>13</v>
      </c>
      <c r="I2507" t="str">
        <f t="shared" si="39"/>
        <v>Baixa</v>
      </c>
    </row>
    <row r="2508" spans="1:9">
      <c r="A2508" t="s">
        <v>311</v>
      </c>
      <c r="B2508">
        <v>2025</v>
      </c>
      <c r="C2508">
        <v>1</v>
      </c>
      <c r="D2508" t="s">
        <v>75</v>
      </c>
      <c r="E2508" t="s">
        <v>77</v>
      </c>
      <c r="F2508">
        <v>13.7</v>
      </c>
      <c r="G2508">
        <v>48.2</v>
      </c>
      <c r="H2508" t="s">
        <v>13</v>
      </c>
      <c r="I2508" t="str">
        <f t="shared" si="39"/>
        <v>Baixa</v>
      </c>
    </row>
    <row r="2509" spans="1:9">
      <c r="A2509" t="s">
        <v>348</v>
      </c>
      <c r="B2509">
        <v>2025</v>
      </c>
      <c r="C2509">
        <v>1</v>
      </c>
      <c r="D2509" t="s">
        <v>139</v>
      </c>
      <c r="E2509" t="s">
        <v>141</v>
      </c>
      <c r="F2509">
        <v>13.7</v>
      </c>
      <c r="G2509">
        <v>87.8</v>
      </c>
      <c r="H2509" t="s">
        <v>13</v>
      </c>
      <c r="I2509" t="str">
        <f t="shared" si="39"/>
        <v>Alta</v>
      </c>
    </row>
    <row r="2510" spans="1:9">
      <c r="A2510" t="s">
        <v>291</v>
      </c>
      <c r="B2510">
        <v>2025</v>
      </c>
      <c r="C2510">
        <v>2</v>
      </c>
      <c r="D2510" t="s">
        <v>75</v>
      </c>
      <c r="E2510" t="s">
        <v>76</v>
      </c>
      <c r="F2510">
        <v>13.7</v>
      </c>
      <c r="G2510">
        <v>84.2</v>
      </c>
      <c r="H2510" t="s">
        <v>13</v>
      </c>
      <c r="I2510" t="str">
        <f t="shared" si="39"/>
        <v>Alta</v>
      </c>
    </row>
    <row r="2511" spans="1:9">
      <c r="A2511" t="s">
        <v>376</v>
      </c>
      <c r="B2511">
        <v>2025</v>
      </c>
      <c r="C2511">
        <v>2</v>
      </c>
      <c r="D2511" t="s">
        <v>139</v>
      </c>
      <c r="E2511" t="s">
        <v>141</v>
      </c>
      <c r="F2511">
        <v>13.7</v>
      </c>
      <c r="G2511">
        <v>82.6</v>
      </c>
      <c r="H2511" t="s">
        <v>13</v>
      </c>
      <c r="I2511" t="str">
        <f t="shared" si="39"/>
        <v>Alta</v>
      </c>
    </row>
    <row r="2512" spans="1:9">
      <c r="A2512" t="s">
        <v>385</v>
      </c>
      <c r="B2512">
        <v>2026</v>
      </c>
      <c r="C2512">
        <v>1</v>
      </c>
      <c r="D2512" t="s">
        <v>9</v>
      </c>
      <c r="E2512" t="s">
        <v>12</v>
      </c>
      <c r="F2512">
        <v>13.7</v>
      </c>
      <c r="G2512">
        <v>98.9</v>
      </c>
      <c r="H2512" t="s">
        <v>13</v>
      </c>
      <c r="I2512" t="str">
        <f t="shared" si="39"/>
        <v>Alta</v>
      </c>
    </row>
    <row r="2513" spans="1:9">
      <c r="A2513" t="s">
        <v>387</v>
      </c>
      <c r="B2513">
        <v>2026</v>
      </c>
      <c r="C2513">
        <v>1</v>
      </c>
      <c r="D2513" t="s">
        <v>9</v>
      </c>
      <c r="E2513" t="s">
        <v>10</v>
      </c>
      <c r="F2513">
        <v>13.7</v>
      </c>
      <c r="G2513">
        <v>96</v>
      </c>
      <c r="H2513" t="s">
        <v>13</v>
      </c>
      <c r="I2513" t="str">
        <f t="shared" si="39"/>
        <v>Alta</v>
      </c>
    </row>
    <row r="2514" spans="1:9">
      <c r="A2514" t="s">
        <v>435</v>
      </c>
      <c r="B2514">
        <v>2026</v>
      </c>
      <c r="C2514">
        <v>1</v>
      </c>
      <c r="D2514" t="s">
        <v>9</v>
      </c>
      <c r="E2514" t="s">
        <v>10</v>
      </c>
      <c r="F2514">
        <v>13.7</v>
      </c>
      <c r="G2514">
        <v>73.400000000000006</v>
      </c>
      <c r="H2514" t="s">
        <v>13</v>
      </c>
      <c r="I2514" t="str">
        <f t="shared" si="39"/>
        <v>Média</v>
      </c>
    </row>
    <row r="2515" spans="1:9">
      <c r="A2515" t="s">
        <v>501</v>
      </c>
      <c r="B2515">
        <v>2026</v>
      </c>
      <c r="C2515">
        <v>1</v>
      </c>
      <c r="D2515" t="s">
        <v>139</v>
      </c>
      <c r="E2515" t="s">
        <v>140</v>
      </c>
      <c r="F2515">
        <v>13.7</v>
      </c>
      <c r="G2515">
        <v>89.8</v>
      </c>
      <c r="H2515" t="s">
        <v>13</v>
      </c>
      <c r="I2515" t="str">
        <f t="shared" si="39"/>
        <v>Alta</v>
      </c>
    </row>
    <row r="2516" spans="1:9">
      <c r="A2516" t="s">
        <v>533</v>
      </c>
      <c r="B2516">
        <v>2026</v>
      </c>
      <c r="C2516">
        <v>1</v>
      </c>
      <c r="D2516" t="s">
        <v>139</v>
      </c>
      <c r="E2516" t="s">
        <v>10</v>
      </c>
      <c r="F2516">
        <v>13.7</v>
      </c>
      <c r="G2516">
        <v>51.7</v>
      </c>
      <c r="H2516" t="s">
        <v>13</v>
      </c>
      <c r="I2516" t="str">
        <f t="shared" si="39"/>
        <v>Média</v>
      </c>
    </row>
    <row r="2517" spans="1:9">
      <c r="A2517" t="s">
        <v>544</v>
      </c>
      <c r="B2517">
        <v>2026</v>
      </c>
      <c r="C2517">
        <v>1</v>
      </c>
      <c r="D2517" t="s">
        <v>139</v>
      </c>
      <c r="E2517" t="s">
        <v>10</v>
      </c>
      <c r="F2517">
        <v>13.7</v>
      </c>
      <c r="G2517">
        <v>69.8</v>
      </c>
      <c r="H2517" t="s">
        <v>13</v>
      </c>
      <c r="I2517" t="str">
        <f t="shared" si="39"/>
        <v>Média</v>
      </c>
    </row>
    <row r="2518" spans="1:9">
      <c r="A2518" t="s">
        <v>385</v>
      </c>
      <c r="B2518">
        <v>2026</v>
      </c>
      <c r="C2518">
        <v>2</v>
      </c>
      <c r="D2518" t="s">
        <v>9</v>
      </c>
      <c r="E2518" t="s">
        <v>12</v>
      </c>
      <c r="F2518">
        <v>13.7</v>
      </c>
      <c r="G2518">
        <v>79.3</v>
      </c>
      <c r="H2518" t="s">
        <v>13</v>
      </c>
      <c r="I2518" t="str">
        <f t="shared" si="39"/>
        <v>Alta</v>
      </c>
    </row>
    <row r="2519" spans="1:9">
      <c r="A2519" t="s">
        <v>398</v>
      </c>
      <c r="B2519">
        <v>2026</v>
      </c>
      <c r="C2519">
        <v>2</v>
      </c>
      <c r="D2519" t="s">
        <v>9</v>
      </c>
      <c r="E2519" t="s">
        <v>10</v>
      </c>
      <c r="F2519">
        <v>13.7</v>
      </c>
      <c r="G2519">
        <v>70.8</v>
      </c>
      <c r="H2519" t="s">
        <v>13</v>
      </c>
      <c r="I2519" t="str">
        <f t="shared" si="39"/>
        <v>Média</v>
      </c>
    </row>
    <row r="2520" spans="1:9">
      <c r="A2520" t="s">
        <v>406</v>
      </c>
      <c r="B2520">
        <v>2026</v>
      </c>
      <c r="C2520">
        <v>2</v>
      </c>
      <c r="D2520" t="s">
        <v>9</v>
      </c>
      <c r="E2520" t="s">
        <v>14</v>
      </c>
      <c r="F2520">
        <v>13.7</v>
      </c>
      <c r="G2520">
        <v>94.6</v>
      </c>
      <c r="H2520" t="s">
        <v>13</v>
      </c>
      <c r="I2520" t="str">
        <f t="shared" si="39"/>
        <v>Alta</v>
      </c>
    </row>
    <row r="2521" spans="1:9">
      <c r="A2521" t="s">
        <v>419</v>
      </c>
      <c r="B2521">
        <v>2026</v>
      </c>
      <c r="C2521">
        <v>2</v>
      </c>
      <c r="D2521" t="s">
        <v>9</v>
      </c>
      <c r="E2521" t="s">
        <v>10</v>
      </c>
      <c r="F2521">
        <v>13.7</v>
      </c>
      <c r="G2521">
        <v>68.2</v>
      </c>
      <c r="H2521" t="s">
        <v>13</v>
      </c>
      <c r="I2521" t="str">
        <f t="shared" si="39"/>
        <v>Média</v>
      </c>
    </row>
    <row r="2522" spans="1:9">
      <c r="A2522" t="s">
        <v>434</v>
      </c>
      <c r="B2522">
        <v>2026</v>
      </c>
      <c r="C2522">
        <v>2</v>
      </c>
      <c r="D2522" t="s">
        <v>9</v>
      </c>
      <c r="E2522" t="s">
        <v>14</v>
      </c>
      <c r="F2522">
        <v>13.7</v>
      </c>
      <c r="G2522">
        <v>74.3</v>
      </c>
      <c r="H2522" t="s">
        <v>13</v>
      </c>
      <c r="I2522" t="str">
        <f t="shared" si="39"/>
        <v>Média</v>
      </c>
    </row>
    <row r="2523" spans="1:9">
      <c r="A2523" t="s">
        <v>475</v>
      </c>
      <c r="B2523">
        <v>2026</v>
      </c>
      <c r="C2523">
        <v>2</v>
      </c>
      <c r="D2523" t="s">
        <v>75</v>
      </c>
      <c r="E2523" t="s">
        <v>76</v>
      </c>
      <c r="F2523">
        <v>13.7</v>
      </c>
      <c r="G2523">
        <v>52.5</v>
      </c>
      <c r="H2523" t="s">
        <v>13</v>
      </c>
      <c r="I2523" t="str">
        <f t="shared" si="39"/>
        <v>Média</v>
      </c>
    </row>
    <row r="2524" spans="1:9">
      <c r="A2524" t="s">
        <v>484</v>
      </c>
      <c r="B2524">
        <v>2026</v>
      </c>
      <c r="C2524">
        <v>2</v>
      </c>
      <c r="D2524" t="s">
        <v>75</v>
      </c>
      <c r="E2524" t="s">
        <v>78</v>
      </c>
      <c r="F2524">
        <v>13.7</v>
      </c>
      <c r="G2524">
        <v>88.5</v>
      </c>
      <c r="H2524" t="s">
        <v>13</v>
      </c>
      <c r="I2524" t="str">
        <f t="shared" si="39"/>
        <v>Alta</v>
      </c>
    </row>
    <row r="2525" spans="1:9">
      <c r="A2525" t="s">
        <v>500</v>
      </c>
      <c r="B2525">
        <v>2026</v>
      </c>
      <c r="C2525">
        <v>2</v>
      </c>
      <c r="D2525" t="s">
        <v>75</v>
      </c>
      <c r="E2525" t="s">
        <v>77</v>
      </c>
      <c r="F2525">
        <v>13.7</v>
      </c>
      <c r="G2525">
        <v>58.3</v>
      </c>
      <c r="H2525" t="s">
        <v>13</v>
      </c>
      <c r="I2525" t="str">
        <f t="shared" si="39"/>
        <v>Média</v>
      </c>
    </row>
    <row r="2526" spans="1:9">
      <c r="A2526" t="s">
        <v>527</v>
      </c>
      <c r="B2526">
        <v>2026</v>
      </c>
      <c r="C2526">
        <v>2</v>
      </c>
      <c r="D2526" t="s">
        <v>139</v>
      </c>
      <c r="E2526" t="s">
        <v>140</v>
      </c>
      <c r="F2526">
        <v>13.7</v>
      </c>
      <c r="G2526">
        <v>88.2</v>
      </c>
      <c r="H2526" t="s">
        <v>13</v>
      </c>
      <c r="I2526" t="str">
        <f t="shared" si="39"/>
        <v>Alta</v>
      </c>
    </row>
    <row r="2527" spans="1:9">
      <c r="A2527" t="s">
        <v>529</v>
      </c>
      <c r="B2527">
        <v>2026</v>
      </c>
      <c r="C2527">
        <v>2</v>
      </c>
      <c r="D2527" t="s">
        <v>139</v>
      </c>
      <c r="E2527" t="s">
        <v>10</v>
      </c>
      <c r="F2527">
        <v>13.7</v>
      </c>
      <c r="G2527">
        <v>54.8</v>
      </c>
      <c r="H2527" t="s">
        <v>13</v>
      </c>
      <c r="I2527" t="str">
        <f t="shared" si="39"/>
        <v>Média</v>
      </c>
    </row>
    <row r="2528" spans="1:9">
      <c r="A2528" t="s">
        <v>539</v>
      </c>
      <c r="B2528">
        <v>2026</v>
      </c>
      <c r="C2528">
        <v>2</v>
      </c>
      <c r="D2528" t="s">
        <v>139</v>
      </c>
      <c r="E2528" t="s">
        <v>141</v>
      </c>
      <c r="F2528">
        <v>13.7</v>
      </c>
      <c r="G2528">
        <v>96.2</v>
      </c>
      <c r="H2528" t="s">
        <v>13</v>
      </c>
      <c r="I2528" t="str">
        <f t="shared" si="39"/>
        <v>Alta</v>
      </c>
    </row>
    <row r="2529" spans="1:9">
      <c r="A2529" t="s">
        <v>88</v>
      </c>
      <c r="B2529">
        <v>2024</v>
      </c>
      <c r="C2529">
        <v>1</v>
      </c>
      <c r="D2529" t="s">
        <v>75</v>
      </c>
      <c r="E2529" t="s">
        <v>76</v>
      </c>
      <c r="F2529">
        <v>13.8</v>
      </c>
      <c r="G2529">
        <v>68.2</v>
      </c>
      <c r="H2529" t="s">
        <v>13</v>
      </c>
      <c r="I2529" t="str">
        <f t="shared" si="39"/>
        <v>Média</v>
      </c>
    </row>
    <row r="2530" spans="1:9">
      <c r="A2530" t="s">
        <v>156</v>
      </c>
      <c r="B2530">
        <v>2024</v>
      </c>
      <c r="C2530">
        <v>1</v>
      </c>
      <c r="D2530" t="s">
        <v>139</v>
      </c>
      <c r="E2530" t="s">
        <v>141</v>
      </c>
      <c r="F2530">
        <v>13.8</v>
      </c>
      <c r="G2530">
        <v>74.900000000000006</v>
      </c>
      <c r="H2530" t="s">
        <v>13</v>
      </c>
      <c r="I2530" t="str">
        <f t="shared" si="39"/>
        <v>Média</v>
      </c>
    </row>
    <row r="2531" spans="1:9">
      <c r="A2531" t="s">
        <v>186</v>
      </c>
      <c r="B2531">
        <v>2024</v>
      </c>
      <c r="C2531">
        <v>1</v>
      </c>
      <c r="D2531" t="s">
        <v>139</v>
      </c>
      <c r="E2531" t="s">
        <v>10</v>
      </c>
      <c r="F2531">
        <v>13.8</v>
      </c>
      <c r="G2531">
        <v>71</v>
      </c>
      <c r="H2531" t="s">
        <v>13</v>
      </c>
      <c r="I2531" t="str">
        <f t="shared" si="39"/>
        <v>Média</v>
      </c>
    </row>
    <row r="2532" spans="1:9">
      <c r="A2532" t="s">
        <v>193</v>
      </c>
      <c r="B2532">
        <v>2024</v>
      </c>
      <c r="C2532">
        <v>1</v>
      </c>
      <c r="D2532" t="s">
        <v>139</v>
      </c>
      <c r="E2532" t="s">
        <v>140</v>
      </c>
      <c r="F2532">
        <v>13.8</v>
      </c>
      <c r="G2532">
        <v>79.5</v>
      </c>
      <c r="H2532" t="s">
        <v>13</v>
      </c>
      <c r="I2532" t="str">
        <f t="shared" si="39"/>
        <v>Alta</v>
      </c>
    </row>
    <row r="2533" spans="1:9">
      <c r="A2533" t="s">
        <v>199</v>
      </c>
      <c r="B2533">
        <v>2024</v>
      </c>
      <c r="C2533">
        <v>1</v>
      </c>
      <c r="D2533" t="s">
        <v>139</v>
      </c>
      <c r="E2533" t="s">
        <v>141</v>
      </c>
      <c r="F2533">
        <v>13.8</v>
      </c>
      <c r="G2533">
        <v>79.599999999999994</v>
      </c>
      <c r="H2533" t="s">
        <v>13</v>
      </c>
      <c r="I2533" t="str">
        <f t="shared" si="39"/>
        <v>Alta</v>
      </c>
    </row>
    <row r="2534" spans="1:9">
      <c r="A2534" t="s">
        <v>33</v>
      </c>
      <c r="B2534">
        <v>2024</v>
      </c>
      <c r="C2534">
        <v>2</v>
      </c>
      <c r="D2534" t="s">
        <v>9</v>
      </c>
      <c r="E2534" t="s">
        <v>10</v>
      </c>
      <c r="F2534">
        <v>13.8</v>
      </c>
      <c r="G2534">
        <v>96.5</v>
      </c>
      <c r="H2534" t="s">
        <v>13</v>
      </c>
      <c r="I2534" t="str">
        <f t="shared" si="39"/>
        <v>Alta</v>
      </c>
    </row>
    <row r="2535" spans="1:9">
      <c r="A2535" t="s">
        <v>44</v>
      </c>
      <c r="B2535">
        <v>2024</v>
      </c>
      <c r="C2535">
        <v>2</v>
      </c>
      <c r="D2535" t="s">
        <v>9</v>
      </c>
      <c r="E2535" t="s">
        <v>12</v>
      </c>
      <c r="F2535">
        <v>13.8</v>
      </c>
      <c r="G2535">
        <v>48.3</v>
      </c>
      <c r="H2535" t="s">
        <v>13</v>
      </c>
      <c r="I2535" t="str">
        <f t="shared" si="39"/>
        <v>Baixa</v>
      </c>
    </row>
    <row r="2536" spans="1:9">
      <c r="A2536" t="s">
        <v>47</v>
      </c>
      <c r="B2536">
        <v>2024</v>
      </c>
      <c r="C2536">
        <v>2</v>
      </c>
      <c r="D2536" t="s">
        <v>9</v>
      </c>
      <c r="E2536" t="s">
        <v>14</v>
      </c>
      <c r="F2536">
        <v>13.8</v>
      </c>
      <c r="G2536">
        <v>50.2</v>
      </c>
      <c r="H2536" t="s">
        <v>13</v>
      </c>
      <c r="I2536" t="str">
        <f t="shared" si="39"/>
        <v>Média</v>
      </c>
    </row>
    <row r="2537" spans="1:9">
      <c r="A2537" t="s">
        <v>87</v>
      </c>
      <c r="B2537">
        <v>2024</v>
      </c>
      <c r="C2537">
        <v>2</v>
      </c>
      <c r="D2537" t="s">
        <v>75</v>
      </c>
      <c r="E2537" t="s">
        <v>78</v>
      </c>
      <c r="F2537">
        <v>13.8</v>
      </c>
      <c r="G2537">
        <v>56.7</v>
      </c>
      <c r="H2537" t="s">
        <v>13</v>
      </c>
      <c r="I2537" t="str">
        <f t="shared" si="39"/>
        <v>Média</v>
      </c>
    </row>
    <row r="2538" spans="1:9">
      <c r="A2538" t="s">
        <v>94</v>
      </c>
      <c r="B2538">
        <v>2024</v>
      </c>
      <c r="C2538">
        <v>2</v>
      </c>
      <c r="D2538" t="s">
        <v>75</v>
      </c>
      <c r="E2538" t="s">
        <v>78</v>
      </c>
      <c r="F2538">
        <v>13.8</v>
      </c>
      <c r="G2538">
        <v>84</v>
      </c>
      <c r="H2538" t="s">
        <v>13</v>
      </c>
      <c r="I2538" t="str">
        <f t="shared" si="39"/>
        <v>Alta</v>
      </c>
    </row>
    <row r="2539" spans="1:9">
      <c r="A2539" t="s">
        <v>196</v>
      </c>
      <c r="B2539">
        <v>2024</v>
      </c>
      <c r="C2539">
        <v>2</v>
      </c>
      <c r="D2539" t="s">
        <v>139</v>
      </c>
      <c r="E2539" t="s">
        <v>141</v>
      </c>
      <c r="F2539">
        <v>13.8</v>
      </c>
      <c r="G2539">
        <v>91.8</v>
      </c>
      <c r="H2539" t="s">
        <v>13</v>
      </c>
      <c r="I2539" t="str">
        <f t="shared" si="39"/>
        <v>Alta</v>
      </c>
    </row>
    <row r="2540" spans="1:9">
      <c r="A2540" t="s">
        <v>203</v>
      </c>
      <c r="B2540">
        <v>2025</v>
      </c>
      <c r="C2540">
        <v>1</v>
      </c>
      <c r="D2540" t="s">
        <v>9</v>
      </c>
      <c r="E2540" t="s">
        <v>12</v>
      </c>
      <c r="F2540">
        <v>13.8</v>
      </c>
      <c r="G2540">
        <v>90.3</v>
      </c>
      <c r="H2540" t="s">
        <v>13</v>
      </c>
      <c r="I2540" t="str">
        <f t="shared" si="39"/>
        <v>Alta</v>
      </c>
    </row>
    <row r="2541" spans="1:9">
      <c r="A2541" t="s">
        <v>308</v>
      </c>
      <c r="B2541">
        <v>2025</v>
      </c>
      <c r="C2541">
        <v>1</v>
      </c>
      <c r="D2541" t="s">
        <v>75</v>
      </c>
      <c r="E2541" t="s">
        <v>78</v>
      </c>
      <c r="F2541">
        <v>13.8</v>
      </c>
      <c r="G2541">
        <v>49.6</v>
      </c>
      <c r="H2541" t="s">
        <v>13</v>
      </c>
      <c r="I2541" t="str">
        <f t="shared" si="39"/>
        <v>Baixa</v>
      </c>
    </row>
    <row r="2542" spans="1:9">
      <c r="A2542" t="s">
        <v>335</v>
      </c>
      <c r="B2542">
        <v>2025</v>
      </c>
      <c r="C2542">
        <v>1</v>
      </c>
      <c r="D2542" t="s">
        <v>139</v>
      </c>
      <c r="E2542" t="s">
        <v>140</v>
      </c>
      <c r="F2542">
        <v>13.8</v>
      </c>
      <c r="G2542">
        <v>81.400000000000006</v>
      </c>
      <c r="H2542" t="s">
        <v>13</v>
      </c>
      <c r="I2542" t="str">
        <f t="shared" si="39"/>
        <v>Alta</v>
      </c>
    </row>
    <row r="2543" spans="1:9">
      <c r="A2543" t="s">
        <v>371</v>
      </c>
      <c r="B2543">
        <v>2025</v>
      </c>
      <c r="C2543">
        <v>1</v>
      </c>
      <c r="D2543" t="s">
        <v>139</v>
      </c>
      <c r="E2543" t="s">
        <v>141</v>
      </c>
      <c r="F2543">
        <v>13.8</v>
      </c>
      <c r="G2543">
        <v>71.5</v>
      </c>
      <c r="H2543" t="s">
        <v>13</v>
      </c>
      <c r="I2543" t="str">
        <f t="shared" si="39"/>
        <v>Média</v>
      </c>
    </row>
    <row r="2544" spans="1:9">
      <c r="A2544" t="s">
        <v>287</v>
      </c>
      <c r="B2544">
        <v>2025</v>
      </c>
      <c r="C2544">
        <v>2</v>
      </c>
      <c r="D2544" t="s">
        <v>75</v>
      </c>
      <c r="E2544" t="s">
        <v>76</v>
      </c>
      <c r="F2544">
        <v>13.8</v>
      </c>
      <c r="G2544">
        <v>93.5</v>
      </c>
      <c r="H2544" t="s">
        <v>13</v>
      </c>
      <c r="I2544" t="str">
        <f t="shared" si="39"/>
        <v>Alta</v>
      </c>
    </row>
    <row r="2545" spans="1:9">
      <c r="A2545" t="s">
        <v>293</v>
      </c>
      <c r="B2545">
        <v>2025</v>
      </c>
      <c r="C2545">
        <v>2</v>
      </c>
      <c r="D2545" t="s">
        <v>75</v>
      </c>
      <c r="E2545" t="s">
        <v>78</v>
      </c>
      <c r="F2545">
        <v>13.8</v>
      </c>
      <c r="G2545">
        <v>68</v>
      </c>
      <c r="H2545" t="s">
        <v>13</v>
      </c>
      <c r="I2545" t="str">
        <f t="shared" si="39"/>
        <v>Média</v>
      </c>
    </row>
    <row r="2546" spans="1:9">
      <c r="A2546" t="s">
        <v>331</v>
      </c>
      <c r="B2546">
        <v>2025</v>
      </c>
      <c r="C2546">
        <v>2</v>
      </c>
      <c r="D2546" t="s">
        <v>139</v>
      </c>
      <c r="E2546" t="s">
        <v>140</v>
      </c>
      <c r="F2546">
        <v>13.8</v>
      </c>
      <c r="G2546">
        <v>80</v>
      </c>
      <c r="H2546" t="s">
        <v>13</v>
      </c>
      <c r="I2546" t="str">
        <f t="shared" si="39"/>
        <v>Alta</v>
      </c>
    </row>
    <row r="2547" spans="1:9">
      <c r="A2547" t="s">
        <v>456</v>
      </c>
      <c r="B2547">
        <v>2026</v>
      </c>
      <c r="C2547">
        <v>1</v>
      </c>
      <c r="D2547" t="s">
        <v>75</v>
      </c>
      <c r="E2547" t="s">
        <v>77</v>
      </c>
      <c r="F2547">
        <v>13.8</v>
      </c>
      <c r="G2547">
        <v>63.1</v>
      </c>
      <c r="H2547" t="s">
        <v>13</v>
      </c>
      <c r="I2547" t="str">
        <f t="shared" si="39"/>
        <v>Média</v>
      </c>
    </row>
    <row r="2548" spans="1:9">
      <c r="A2548" t="s">
        <v>481</v>
      </c>
      <c r="B2548">
        <v>2026</v>
      </c>
      <c r="C2548">
        <v>1</v>
      </c>
      <c r="D2548" t="s">
        <v>75</v>
      </c>
      <c r="E2548" t="s">
        <v>77</v>
      </c>
      <c r="F2548">
        <v>13.8</v>
      </c>
      <c r="G2548">
        <v>92</v>
      </c>
      <c r="H2548" t="s">
        <v>13</v>
      </c>
      <c r="I2548" t="str">
        <f t="shared" si="39"/>
        <v>Alta</v>
      </c>
    </row>
    <row r="2549" spans="1:9">
      <c r="A2549" t="s">
        <v>509</v>
      </c>
      <c r="B2549">
        <v>2026</v>
      </c>
      <c r="C2549">
        <v>1</v>
      </c>
      <c r="D2549" t="s">
        <v>139</v>
      </c>
      <c r="E2549" t="s">
        <v>10</v>
      </c>
      <c r="F2549">
        <v>13.8</v>
      </c>
      <c r="G2549">
        <v>84.7</v>
      </c>
      <c r="H2549" t="s">
        <v>13</v>
      </c>
      <c r="I2549" t="str">
        <f t="shared" si="39"/>
        <v>Alta</v>
      </c>
    </row>
    <row r="2550" spans="1:9">
      <c r="A2550" t="s">
        <v>519</v>
      </c>
      <c r="B2550">
        <v>2026</v>
      </c>
      <c r="C2550">
        <v>1</v>
      </c>
      <c r="D2550" t="s">
        <v>139</v>
      </c>
      <c r="E2550" t="s">
        <v>10</v>
      </c>
      <c r="F2550">
        <v>13.8</v>
      </c>
      <c r="G2550">
        <v>94.2</v>
      </c>
      <c r="H2550" t="s">
        <v>13</v>
      </c>
      <c r="I2550" t="str">
        <f t="shared" si="39"/>
        <v>Alta</v>
      </c>
    </row>
    <row r="2551" spans="1:9">
      <c r="A2551" t="s">
        <v>403</v>
      </c>
      <c r="B2551">
        <v>2026</v>
      </c>
      <c r="C2551">
        <v>2</v>
      </c>
      <c r="D2551" t="s">
        <v>9</v>
      </c>
      <c r="E2551" t="s">
        <v>12</v>
      </c>
      <c r="F2551">
        <v>13.8</v>
      </c>
      <c r="G2551">
        <v>91</v>
      </c>
      <c r="H2551" t="s">
        <v>13</v>
      </c>
      <c r="I2551" t="str">
        <f t="shared" si="39"/>
        <v>Alta</v>
      </c>
    </row>
    <row r="2552" spans="1:9">
      <c r="A2552" t="s">
        <v>423</v>
      </c>
      <c r="B2552">
        <v>2026</v>
      </c>
      <c r="C2552">
        <v>2</v>
      </c>
      <c r="D2552" t="s">
        <v>9</v>
      </c>
      <c r="E2552" t="s">
        <v>10</v>
      </c>
      <c r="F2552">
        <v>13.8</v>
      </c>
      <c r="G2552">
        <v>66.7</v>
      </c>
      <c r="H2552" t="s">
        <v>13</v>
      </c>
      <c r="I2552" t="str">
        <f t="shared" si="39"/>
        <v>Média</v>
      </c>
    </row>
    <row r="2553" spans="1:9">
      <c r="A2553" t="s">
        <v>451</v>
      </c>
      <c r="B2553">
        <v>2026</v>
      </c>
      <c r="C2553">
        <v>2</v>
      </c>
      <c r="D2553" t="s">
        <v>75</v>
      </c>
      <c r="E2553" t="s">
        <v>76</v>
      </c>
      <c r="F2553">
        <v>13.8</v>
      </c>
      <c r="G2553">
        <v>77.099999999999994</v>
      </c>
      <c r="H2553" t="s">
        <v>13</v>
      </c>
      <c r="I2553" t="str">
        <f t="shared" si="39"/>
        <v>Alta</v>
      </c>
    </row>
    <row r="2554" spans="1:9">
      <c r="A2554" t="s">
        <v>490</v>
      </c>
      <c r="B2554">
        <v>2026</v>
      </c>
      <c r="C2554">
        <v>2</v>
      </c>
      <c r="D2554" t="s">
        <v>75</v>
      </c>
      <c r="E2554" t="s">
        <v>77</v>
      </c>
      <c r="F2554">
        <v>13.8</v>
      </c>
      <c r="G2554">
        <v>83.4</v>
      </c>
      <c r="H2554" t="s">
        <v>13</v>
      </c>
      <c r="I2554" t="str">
        <f t="shared" si="39"/>
        <v>Alta</v>
      </c>
    </row>
    <row r="2555" spans="1:9">
      <c r="A2555" t="s">
        <v>500</v>
      </c>
      <c r="B2555">
        <v>2026</v>
      </c>
      <c r="C2555">
        <v>2</v>
      </c>
      <c r="D2555" t="s">
        <v>75</v>
      </c>
      <c r="E2555" t="s">
        <v>78</v>
      </c>
      <c r="F2555">
        <v>13.8</v>
      </c>
      <c r="G2555">
        <v>91.8</v>
      </c>
      <c r="H2555" t="s">
        <v>13</v>
      </c>
      <c r="I2555" t="str">
        <f t="shared" si="39"/>
        <v>Alta</v>
      </c>
    </row>
    <row r="2556" spans="1:9">
      <c r="A2556" t="s">
        <v>507</v>
      </c>
      <c r="B2556">
        <v>2026</v>
      </c>
      <c r="C2556">
        <v>2</v>
      </c>
      <c r="D2556" t="s">
        <v>139</v>
      </c>
      <c r="E2556" t="s">
        <v>10</v>
      </c>
      <c r="F2556">
        <v>13.8</v>
      </c>
      <c r="G2556">
        <v>57.9</v>
      </c>
      <c r="H2556" t="s">
        <v>13</v>
      </c>
      <c r="I2556" t="str">
        <f t="shared" si="39"/>
        <v>Média</v>
      </c>
    </row>
    <row r="2557" spans="1:9">
      <c r="A2557" t="s">
        <v>534</v>
      </c>
      <c r="B2557">
        <v>2026</v>
      </c>
      <c r="C2557">
        <v>2</v>
      </c>
      <c r="D2557" t="s">
        <v>139</v>
      </c>
      <c r="E2557" t="s">
        <v>10</v>
      </c>
      <c r="F2557">
        <v>13.8</v>
      </c>
      <c r="G2557">
        <v>85.2</v>
      </c>
      <c r="H2557" t="s">
        <v>13</v>
      </c>
      <c r="I2557" t="str">
        <f t="shared" si="39"/>
        <v>Alta</v>
      </c>
    </row>
    <row r="2558" spans="1:9">
      <c r="A2558" t="s">
        <v>552</v>
      </c>
      <c r="B2558">
        <v>2026</v>
      </c>
      <c r="C2558">
        <v>2</v>
      </c>
      <c r="D2558" t="s">
        <v>139</v>
      </c>
      <c r="E2558" t="s">
        <v>10</v>
      </c>
      <c r="F2558">
        <v>13.8</v>
      </c>
      <c r="G2558">
        <v>98.7</v>
      </c>
      <c r="H2558" t="s">
        <v>13</v>
      </c>
      <c r="I2558" t="str">
        <f t="shared" si="39"/>
        <v>Alta</v>
      </c>
    </row>
    <row r="2559" spans="1:9">
      <c r="A2559" t="s">
        <v>24</v>
      </c>
      <c r="B2559">
        <v>2024</v>
      </c>
      <c r="C2559">
        <v>1</v>
      </c>
      <c r="D2559" t="s">
        <v>9</v>
      </c>
      <c r="E2559" t="s">
        <v>10</v>
      </c>
      <c r="F2559">
        <v>13.9</v>
      </c>
      <c r="G2559">
        <v>46.2</v>
      </c>
      <c r="H2559" t="s">
        <v>13</v>
      </c>
      <c r="I2559" t="str">
        <f t="shared" si="39"/>
        <v>Baixa</v>
      </c>
    </row>
    <row r="2560" spans="1:9">
      <c r="A2560" t="s">
        <v>174</v>
      </c>
      <c r="B2560">
        <v>2024</v>
      </c>
      <c r="C2560">
        <v>1</v>
      </c>
      <c r="D2560" t="s">
        <v>139</v>
      </c>
      <c r="E2560" t="s">
        <v>10</v>
      </c>
      <c r="F2560">
        <v>13.9</v>
      </c>
      <c r="G2560">
        <v>96.5</v>
      </c>
      <c r="H2560" t="s">
        <v>13</v>
      </c>
      <c r="I2560" t="str">
        <f t="shared" si="39"/>
        <v>Alta</v>
      </c>
    </row>
    <row r="2561" spans="1:9">
      <c r="A2561" t="s">
        <v>19</v>
      </c>
      <c r="B2561">
        <v>2024</v>
      </c>
      <c r="C2561">
        <v>2</v>
      </c>
      <c r="D2561" t="s">
        <v>9</v>
      </c>
      <c r="E2561" t="s">
        <v>12</v>
      </c>
      <c r="F2561">
        <v>13.9</v>
      </c>
      <c r="G2561">
        <v>47.8</v>
      </c>
      <c r="H2561" t="s">
        <v>13</v>
      </c>
      <c r="I2561" t="str">
        <f t="shared" si="39"/>
        <v>Baixa</v>
      </c>
    </row>
    <row r="2562" spans="1:9">
      <c r="A2562" t="s">
        <v>46</v>
      </c>
      <c r="B2562">
        <v>2024</v>
      </c>
      <c r="C2562">
        <v>2</v>
      </c>
      <c r="D2562" t="s">
        <v>9</v>
      </c>
      <c r="E2562" t="s">
        <v>10</v>
      </c>
      <c r="F2562">
        <v>13.9</v>
      </c>
      <c r="G2562">
        <v>97.5</v>
      </c>
      <c r="H2562" t="s">
        <v>13</v>
      </c>
      <c r="I2562" t="str">
        <f t="shared" ref="I2562:I2625" si="40">IF(G2562&lt;50,"Baixa",IF(G2562&lt;75,"Média","Alta"))</f>
        <v>Alta</v>
      </c>
    </row>
    <row r="2563" spans="1:9">
      <c r="A2563" t="s">
        <v>85</v>
      </c>
      <c r="B2563">
        <v>2024</v>
      </c>
      <c r="C2563">
        <v>2</v>
      </c>
      <c r="D2563" t="s">
        <v>75</v>
      </c>
      <c r="E2563" t="s">
        <v>77</v>
      </c>
      <c r="F2563">
        <v>13.9</v>
      </c>
      <c r="G2563">
        <v>57.9</v>
      </c>
      <c r="H2563" t="s">
        <v>13</v>
      </c>
      <c r="I2563" t="str">
        <f t="shared" si="40"/>
        <v>Média</v>
      </c>
    </row>
    <row r="2564" spans="1:9">
      <c r="A2564" t="s">
        <v>90</v>
      </c>
      <c r="B2564">
        <v>2024</v>
      </c>
      <c r="C2564">
        <v>2</v>
      </c>
      <c r="D2564" t="s">
        <v>75</v>
      </c>
      <c r="E2564" t="s">
        <v>78</v>
      </c>
      <c r="F2564">
        <v>13.9</v>
      </c>
      <c r="G2564">
        <v>80</v>
      </c>
      <c r="H2564" t="s">
        <v>13</v>
      </c>
      <c r="I2564" t="str">
        <f t="shared" si="40"/>
        <v>Alta</v>
      </c>
    </row>
    <row r="2565" spans="1:9">
      <c r="A2565" t="s">
        <v>135</v>
      </c>
      <c r="B2565">
        <v>2024</v>
      </c>
      <c r="C2565">
        <v>2</v>
      </c>
      <c r="D2565" t="s">
        <v>75</v>
      </c>
      <c r="E2565" t="s">
        <v>77</v>
      </c>
      <c r="F2565">
        <v>13.9</v>
      </c>
      <c r="G2565">
        <v>81.5</v>
      </c>
      <c r="H2565" t="s">
        <v>13</v>
      </c>
      <c r="I2565" t="str">
        <f t="shared" si="40"/>
        <v>Alta</v>
      </c>
    </row>
    <row r="2566" spans="1:9">
      <c r="A2566" t="s">
        <v>157</v>
      </c>
      <c r="B2566">
        <v>2024</v>
      </c>
      <c r="C2566">
        <v>2</v>
      </c>
      <c r="D2566" t="s">
        <v>139</v>
      </c>
      <c r="E2566" t="s">
        <v>140</v>
      </c>
      <c r="F2566">
        <v>13.9</v>
      </c>
      <c r="G2566">
        <v>82.8</v>
      </c>
      <c r="H2566" t="s">
        <v>13</v>
      </c>
      <c r="I2566" t="str">
        <f t="shared" si="40"/>
        <v>Alta</v>
      </c>
    </row>
    <row r="2567" spans="1:9">
      <c r="A2567" t="s">
        <v>361</v>
      </c>
      <c r="B2567">
        <v>2025</v>
      </c>
      <c r="C2567">
        <v>1</v>
      </c>
      <c r="D2567" t="s">
        <v>139</v>
      </c>
      <c r="E2567" t="s">
        <v>141</v>
      </c>
      <c r="F2567">
        <v>13.9</v>
      </c>
      <c r="G2567">
        <v>93</v>
      </c>
      <c r="H2567" t="s">
        <v>13</v>
      </c>
      <c r="I2567" t="str">
        <f t="shared" si="40"/>
        <v>Alta</v>
      </c>
    </row>
    <row r="2568" spans="1:9">
      <c r="A2568" t="s">
        <v>216</v>
      </c>
      <c r="B2568">
        <v>2025</v>
      </c>
      <c r="C2568">
        <v>2</v>
      </c>
      <c r="D2568" t="s">
        <v>9</v>
      </c>
      <c r="E2568" t="s">
        <v>10</v>
      </c>
      <c r="F2568">
        <v>13.9</v>
      </c>
      <c r="G2568">
        <v>79</v>
      </c>
      <c r="H2568" t="s">
        <v>13</v>
      </c>
      <c r="I2568" t="str">
        <f t="shared" si="40"/>
        <v>Alta</v>
      </c>
    </row>
    <row r="2569" spans="1:9">
      <c r="A2569" t="s">
        <v>235</v>
      </c>
      <c r="B2569">
        <v>2025</v>
      </c>
      <c r="C2569">
        <v>2</v>
      </c>
      <c r="D2569" t="s">
        <v>9</v>
      </c>
      <c r="E2569" t="s">
        <v>14</v>
      </c>
      <c r="F2569">
        <v>13.9</v>
      </c>
      <c r="G2569">
        <v>63</v>
      </c>
      <c r="H2569" t="s">
        <v>13</v>
      </c>
      <c r="I2569" t="str">
        <f t="shared" si="40"/>
        <v>Média</v>
      </c>
    </row>
    <row r="2570" spans="1:9">
      <c r="A2570" t="s">
        <v>262</v>
      </c>
      <c r="B2570">
        <v>2025</v>
      </c>
      <c r="C2570">
        <v>2</v>
      </c>
      <c r="D2570" t="s">
        <v>75</v>
      </c>
      <c r="E2570" t="s">
        <v>77</v>
      </c>
      <c r="F2570">
        <v>13.9</v>
      </c>
      <c r="G2570">
        <v>80.599999999999994</v>
      </c>
      <c r="H2570" t="s">
        <v>13</v>
      </c>
      <c r="I2570" t="str">
        <f t="shared" si="40"/>
        <v>Alta</v>
      </c>
    </row>
    <row r="2571" spans="1:9">
      <c r="A2571" t="s">
        <v>269</v>
      </c>
      <c r="B2571">
        <v>2025</v>
      </c>
      <c r="C2571">
        <v>2</v>
      </c>
      <c r="D2571" t="s">
        <v>75</v>
      </c>
      <c r="E2571" t="s">
        <v>77</v>
      </c>
      <c r="F2571">
        <v>13.9</v>
      </c>
      <c r="G2571">
        <v>88</v>
      </c>
      <c r="H2571" t="s">
        <v>13</v>
      </c>
      <c r="I2571" t="str">
        <f t="shared" si="40"/>
        <v>Alta</v>
      </c>
    </row>
    <row r="2572" spans="1:9">
      <c r="A2572" t="s">
        <v>309</v>
      </c>
      <c r="B2572">
        <v>2025</v>
      </c>
      <c r="C2572">
        <v>2</v>
      </c>
      <c r="D2572" t="s">
        <v>75</v>
      </c>
      <c r="E2572" t="s">
        <v>77</v>
      </c>
      <c r="F2572">
        <v>13.9</v>
      </c>
      <c r="G2572">
        <v>49.1</v>
      </c>
      <c r="H2572" t="s">
        <v>13</v>
      </c>
      <c r="I2572" t="str">
        <f t="shared" si="40"/>
        <v>Baixa</v>
      </c>
    </row>
    <row r="2573" spans="1:9">
      <c r="A2573" t="s">
        <v>376</v>
      </c>
      <c r="B2573">
        <v>2025</v>
      </c>
      <c r="C2573">
        <v>2</v>
      </c>
      <c r="D2573" t="s">
        <v>139</v>
      </c>
      <c r="E2573" t="s">
        <v>140</v>
      </c>
      <c r="F2573">
        <v>13.9</v>
      </c>
      <c r="G2573">
        <v>91.7</v>
      </c>
      <c r="H2573" t="s">
        <v>13</v>
      </c>
      <c r="I2573" t="str">
        <f t="shared" si="40"/>
        <v>Alta</v>
      </c>
    </row>
    <row r="2574" spans="1:9">
      <c r="A2574" t="s">
        <v>419</v>
      </c>
      <c r="B2574">
        <v>2026</v>
      </c>
      <c r="C2574">
        <v>1</v>
      </c>
      <c r="D2574" t="s">
        <v>9</v>
      </c>
      <c r="E2574" t="s">
        <v>10</v>
      </c>
      <c r="F2574">
        <v>13.9</v>
      </c>
      <c r="G2574">
        <v>51</v>
      </c>
      <c r="H2574" t="s">
        <v>13</v>
      </c>
      <c r="I2574" t="str">
        <f t="shared" si="40"/>
        <v>Média</v>
      </c>
    </row>
    <row r="2575" spans="1:9">
      <c r="A2575" t="s">
        <v>441</v>
      </c>
      <c r="B2575">
        <v>2026</v>
      </c>
      <c r="C2575">
        <v>1</v>
      </c>
      <c r="D2575" t="s">
        <v>75</v>
      </c>
      <c r="E2575" t="s">
        <v>77</v>
      </c>
      <c r="F2575">
        <v>13.9</v>
      </c>
      <c r="G2575">
        <v>96.4</v>
      </c>
      <c r="H2575" t="s">
        <v>13</v>
      </c>
      <c r="I2575" t="str">
        <f t="shared" si="40"/>
        <v>Alta</v>
      </c>
    </row>
    <row r="2576" spans="1:9">
      <c r="A2576" t="s">
        <v>447</v>
      </c>
      <c r="B2576">
        <v>2026</v>
      </c>
      <c r="C2576">
        <v>1</v>
      </c>
      <c r="D2576" t="s">
        <v>75</v>
      </c>
      <c r="E2576" t="s">
        <v>77</v>
      </c>
      <c r="F2576">
        <v>13.9</v>
      </c>
      <c r="G2576">
        <v>75.7</v>
      </c>
      <c r="H2576" t="s">
        <v>13</v>
      </c>
      <c r="I2576" t="str">
        <f t="shared" si="40"/>
        <v>Alta</v>
      </c>
    </row>
    <row r="2577" spans="1:9">
      <c r="A2577" t="s">
        <v>489</v>
      </c>
      <c r="B2577">
        <v>2026</v>
      </c>
      <c r="C2577">
        <v>1</v>
      </c>
      <c r="D2577" t="s">
        <v>75</v>
      </c>
      <c r="E2577" t="s">
        <v>76</v>
      </c>
      <c r="F2577">
        <v>13.9</v>
      </c>
      <c r="G2577">
        <v>92.4</v>
      </c>
      <c r="H2577" t="s">
        <v>13</v>
      </c>
      <c r="I2577" t="str">
        <f t="shared" si="40"/>
        <v>Alta</v>
      </c>
    </row>
    <row r="2578" spans="1:9">
      <c r="A2578" t="s">
        <v>519</v>
      </c>
      <c r="B2578">
        <v>2026</v>
      </c>
      <c r="C2578">
        <v>1</v>
      </c>
      <c r="D2578" t="s">
        <v>139</v>
      </c>
      <c r="E2578" t="s">
        <v>140</v>
      </c>
      <c r="F2578">
        <v>13.9</v>
      </c>
      <c r="G2578">
        <v>85.8</v>
      </c>
      <c r="H2578" t="s">
        <v>13</v>
      </c>
      <c r="I2578" t="str">
        <f t="shared" si="40"/>
        <v>Alta</v>
      </c>
    </row>
    <row r="2579" spans="1:9">
      <c r="A2579" t="s">
        <v>547</v>
      </c>
      <c r="B2579">
        <v>2026</v>
      </c>
      <c r="C2579">
        <v>1</v>
      </c>
      <c r="D2579" t="s">
        <v>139</v>
      </c>
      <c r="E2579" t="s">
        <v>141</v>
      </c>
      <c r="F2579">
        <v>13.9</v>
      </c>
      <c r="G2579">
        <v>97.4</v>
      </c>
      <c r="H2579" t="s">
        <v>13</v>
      </c>
      <c r="I2579" t="str">
        <f t="shared" si="40"/>
        <v>Alta</v>
      </c>
    </row>
    <row r="2580" spans="1:9">
      <c r="A2580" t="s">
        <v>486</v>
      </c>
      <c r="B2580">
        <v>2026</v>
      </c>
      <c r="C2580">
        <v>2</v>
      </c>
      <c r="D2580" t="s">
        <v>75</v>
      </c>
      <c r="E2580" t="s">
        <v>76</v>
      </c>
      <c r="F2580">
        <v>13.9</v>
      </c>
      <c r="G2580">
        <v>73.599999999999994</v>
      </c>
      <c r="H2580" t="s">
        <v>13</v>
      </c>
      <c r="I2580" t="str">
        <f t="shared" si="40"/>
        <v>Média</v>
      </c>
    </row>
    <row r="2581" spans="1:9">
      <c r="A2581" t="s">
        <v>487</v>
      </c>
      <c r="B2581">
        <v>2026</v>
      </c>
      <c r="C2581">
        <v>2</v>
      </c>
      <c r="D2581" t="s">
        <v>75</v>
      </c>
      <c r="E2581" t="s">
        <v>77</v>
      </c>
      <c r="F2581">
        <v>13.9</v>
      </c>
      <c r="G2581">
        <v>86.1</v>
      </c>
      <c r="H2581" t="s">
        <v>13</v>
      </c>
      <c r="I2581" t="str">
        <f t="shared" si="40"/>
        <v>Alta</v>
      </c>
    </row>
    <row r="2582" spans="1:9">
      <c r="A2582" t="s">
        <v>559</v>
      </c>
      <c r="B2582">
        <v>2026</v>
      </c>
      <c r="C2582">
        <v>2</v>
      </c>
      <c r="D2582" t="s">
        <v>139</v>
      </c>
      <c r="E2582" t="s">
        <v>140</v>
      </c>
      <c r="F2582">
        <v>13.9</v>
      </c>
      <c r="G2582">
        <v>90</v>
      </c>
      <c r="H2582" t="s">
        <v>13</v>
      </c>
      <c r="I2582" t="str">
        <f t="shared" si="40"/>
        <v>Alta</v>
      </c>
    </row>
    <row r="2583" spans="1:9">
      <c r="A2583" t="s">
        <v>16</v>
      </c>
      <c r="B2583">
        <v>2024</v>
      </c>
      <c r="C2583">
        <v>1</v>
      </c>
      <c r="D2583" t="s">
        <v>9</v>
      </c>
      <c r="E2583" t="s">
        <v>12</v>
      </c>
      <c r="F2583">
        <v>14</v>
      </c>
      <c r="G2583">
        <v>68.099999999999994</v>
      </c>
      <c r="H2583" t="s">
        <v>13</v>
      </c>
      <c r="I2583" t="str">
        <f t="shared" si="40"/>
        <v>Média</v>
      </c>
    </row>
    <row r="2584" spans="1:9">
      <c r="A2584" t="s">
        <v>88</v>
      </c>
      <c r="B2584">
        <v>2024</v>
      </c>
      <c r="C2584">
        <v>1</v>
      </c>
      <c r="D2584" t="s">
        <v>75</v>
      </c>
      <c r="E2584" t="s">
        <v>78</v>
      </c>
      <c r="F2584">
        <v>14</v>
      </c>
      <c r="G2584">
        <v>62.8</v>
      </c>
      <c r="H2584" t="s">
        <v>13</v>
      </c>
      <c r="I2584" t="str">
        <f t="shared" si="40"/>
        <v>Média</v>
      </c>
    </row>
    <row r="2585" spans="1:9">
      <c r="A2585" t="s">
        <v>149</v>
      </c>
      <c r="B2585">
        <v>2024</v>
      </c>
      <c r="C2585">
        <v>1</v>
      </c>
      <c r="D2585" t="s">
        <v>139</v>
      </c>
      <c r="E2585" t="s">
        <v>141</v>
      </c>
      <c r="F2585">
        <v>14</v>
      </c>
      <c r="G2585">
        <v>98</v>
      </c>
      <c r="H2585" t="s">
        <v>13</v>
      </c>
      <c r="I2585" t="str">
        <f t="shared" si="40"/>
        <v>Alta</v>
      </c>
    </row>
    <row r="2586" spans="1:9">
      <c r="A2586" t="s">
        <v>169</v>
      </c>
      <c r="B2586">
        <v>2024</v>
      </c>
      <c r="C2586">
        <v>1</v>
      </c>
      <c r="D2586" t="s">
        <v>139</v>
      </c>
      <c r="E2586" t="s">
        <v>140</v>
      </c>
      <c r="F2586">
        <v>14</v>
      </c>
      <c r="G2586">
        <v>62.8</v>
      </c>
      <c r="H2586" t="s">
        <v>13</v>
      </c>
      <c r="I2586" t="str">
        <f t="shared" si="40"/>
        <v>Média</v>
      </c>
    </row>
    <row r="2587" spans="1:9">
      <c r="A2587" t="s">
        <v>174</v>
      </c>
      <c r="B2587">
        <v>2024</v>
      </c>
      <c r="C2587">
        <v>1</v>
      </c>
      <c r="D2587" t="s">
        <v>139</v>
      </c>
      <c r="E2587" t="s">
        <v>141</v>
      </c>
      <c r="F2587">
        <v>14</v>
      </c>
      <c r="G2587">
        <v>72.099999999999994</v>
      </c>
      <c r="H2587" t="s">
        <v>13</v>
      </c>
      <c r="I2587" t="str">
        <f t="shared" si="40"/>
        <v>Média</v>
      </c>
    </row>
    <row r="2588" spans="1:9">
      <c r="A2588" t="s">
        <v>198</v>
      </c>
      <c r="B2588">
        <v>2024</v>
      </c>
      <c r="C2588">
        <v>1</v>
      </c>
      <c r="D2588" t="s">
        <v>139</v>
      </c>
      <c r="E2588" t="s">
        <v>140</v>
      </c>
      <c r="F2588">
        <v>14</v>
      </c>
      <c r="G2588">
        <v>76.3</v>
      </c>
      <c r="H2588" t="s">
        <v>13</v>
      </c>
      <c r="I2588" t="str">
        <f t="shared" si="40"/>
        <v>Alta</v>
      </c>
    </row>
    <row r="2589" spans="1:9">
      <c r="A2589" t="s">
        <v>72</v>
      </c>
      <c r="B2589">
        <v>2024</v>
      </c>
      <c r="C2589">
        <v>2</v>
      </c>
      <c r="D2589" t="s">
        <v>9</v>
      </c>
      <c r="E2589" t="s">
        <v>10</v>
      </c>
      <c r="F2589">
        <v>14</v>
      </c>
      <c r="G2589">
        <v>87.7</v>
      </c>
      <c r="H2589" t="s">
        <v>13</v>
      </c>
      <c r="I2589" t="str">
        <f t="shared" si="40"/>
        <v>Alta</v>
      </c>
    </row>
    <row r="2590" spans="1:9">
      <c r="A2590" t="s">
        <v>80</v>
      </c>
      <c r="B2590">
        <v>2024</v>
      </c>
      <c r="C2590">
        <v>2</v>
      </c>
      <c r="D2590" t="s">
        <v>75</v>
      </c>
      <c r="E2590" t="s">
        <v>78</v>
      </c>
      <c r="F2590">
        <v>14</v>
      </c>
      <c r="G2590">
        <v>68.2</v>
      </c>
      <c r="H2590" t="s">
        <v>13</v>
      </c>
      <c r="I2590" t="str">
        <f t="shared" si="40"/>
        <v>Média</v>
      </c>
    </row>
    <row r="2591" spans="1:9">
      <c r="A2591" t="s">
        <v>162</v>
      </c>
      <c r="B2591">
        <v>2024</v>
      </c>
      <c r="C2591">
        <v>2</v>
      </c>
      <c r="D2591" t="s">
        <v>139</v>
      </c>
      <c r="E2591" t="s">
        <v>140</v>
      </c>
      <c r="F2591">
        <v>14</v>
      </c>
      <c r="G2591">
        <v>54.1</v>
      </c>
      <c r="H2591" t="s">
        <v>13</v>
      </c>
      <c r="I2591" t="str">
        <f t="shared" si="40"/>
        <v>Média</v>
      </c>
    </row>
    <row r="2592" spans="1:9">
      <c r="A2592" t="s">
        <v>174</v>
      </c>
      <c r="B2592">
        <v>2024</v>
      </c>
      <c r="C2592">
        <v>2</v>
      </c>
      <c r="D2592" t="s">
        <v>139</v>
      </c>
      <c r="E2592" t="s">
        <v>10</v>
      </c>
      <c r="F2592">
        <v>14</v>
      </c>
      <c r="G2592">
        <v>86.5</v>
      </c>
      <c r="H2592" t="s">
        <v>13</v>
      </c>
      <c r="I2592" t="str">
        <f t="shared" si="40"/>
        <v>Alta</v>
      </c>
    </row>
    <row r="2593" spans="1:9">
      <c r="A2593" t="s">
        <v>175</v>
      </c>
      <c r="B2593">
        <v>2024</v>
      </c>
      <c r="C2593">
        <v>2</v>
      </c>
      <c r="D2593" t="s">
        <v>139</v>
      </c>
      <c r="E2593" t="s">
        <v>140</v>
      </c>
      <c r="F2593">
        <v>14</v>
      </c>
      <c r="G2593">
        <v>68.400000000000006</v>
      </c>
      <c r="H2593" t="s">
        <v>13</v>
      </c>
      <c r="I2593" t="str">
        <f t="shared" si="40"/>
        <v>Média</v>
      </c>
    </row>
    <row r="2594" spans="1:9">
      <c r="A2594" t="s">
        <v>208</v>
      </c>
      <c r="B2594">
        <v>2025</v>
      </c>
      <c r="C2594">
        <v>1</v>
      </c>
      <c r="D2594" t="s">
        <v>9</v>
      </c>
      <c r="E2594" t="s">
        <v>12</v>
      </c>
      <c r="F2594">
        <v>14</v>
      </c>
      <c r="G2594">
        <v>88.3</v>
      </c>
      <c r="H2594" t="s">
        <v>13</v>
      </c>
      <c r="I2594" t="str">
        <f t="shared" si="40"/>
        <v>Alta</v>
      </c>
    </row>
    <row r="2595" spans="1:9">
      <c r="A2595" t="s">
        <v>264</v>
      </c>
      <c r="B2595">
        <v>2025</v>
      </c>
      <c r="C2595">
        <v>1</v>
      </c>
      <c r="D2595" t="s">
        <v>75</v>
      </c>
      <c r="E2595" t="s">
        <v>76</v>
      </c>
      <c r="F2595">
        <v>14</v>
      </c>
      <c r="G2595">
        <v>72.7</v>
      </c>
      <c r="H2595" t="s">
        <v>13</v>
      </c>
      <c r="I2595" t="str">
        <f t="shared" si="40"/>
        <v>Média</v>
      </c>
    </row>
    <row r="2596" spans="1:9">
      <c r="A2596" t="s">
        <v>282</v>
      </c>
      <c r="B2596">
        <v>2025</v>
      </c>
      <c r="C2596">
        <v>1</v>
      </c>
      <c r="D2596" t="s">
        <v>75</v>
      </c>
      <c r="E2596" t="s">
        <v>76</v>
      </c>
      <c r="F2596">
        <v>14</v>
      </c>
      <c r="G2596">
        <v>80.8</v>
      </c>
      <c r="H2596" t="s">
        <v>13</v>
      </c>
      <c r="I2596" t="str">
        <f t="shared" si="40"/>
        <v>Alta</v>
      </c>
    </row>
    <row r="2597" spans="1:9">
      <c r="A2597" t="s">
        <v>290</v>
      </c>
      <c r="B2597">
        <v>2025</v>
      </c>
      <c r="C2597">
        <v>1</v>
      </c>
      <c r="D2597" t="s">
        <v>75</v>
      </c>
      <c r="E2597" t="s">
        <v>78</v>
      </c>
      <c r="F2597">
        <v>14</v>
      </c>
      <c r="G2597">
        <v>99.7</v>
      </c>
      <c r="H2597" t="s">
        <v>13</v>
      </c>
      <c r="I2597" t="str">
        <f t="shared" si="40"/>
        <v>Alta</v>
      </c>
    </row>
    <row r="2598" spans="1:9">
      <c r="A2598" t="s">
        <v>309</v>
      </c>
      <c r="B2598">
        <v>2025</v>
      </c>
      <c r="C2598">
        <v>1</v>
      </c>
      <c r="D2598" t="s">
        <v>75</v>
      </c>
      <c r="E2598" t="s">
        <v>76</v>
      </c>
      <c r="F2598">
        <v>14</v>
      </c>
      <c r="G2598">
        <v>85.9</v>
      </c>
      <c r="H2598" t="s">
        <v>13</v>
      </c>
      <c r="I2598" t="str">
        <f t="shared" si="40"/>
        <v>Alta</v>
      </c>
    </row>
    <row r="2599" spans="1:9">
      <c r="A2599" t="s">
        <v>309</v>
      </c>
      <c r="B2599">
        <v>2025</v>
      </c>
      <c r="C2599">
        <v>1</v>
      </c>
      <c r="D2599" t="s">
        <v>75</v>
      </c>
      <c r="E2599" t="s">
        <v>77</v>
      </c>
      <c r="F2599">
        <v>14</v>
      </c>
      <c r="G2599">
        <v>66.2</v>
      </c>
      <c r="H2599" t="s">
        <v>13</v>
      </c>
      <c r="I2599" t="str">
        <f t="shared" si="40"/>
        <v>Média</v>
      </c>
    </row>
    <row r="2600" spans="1:9">
      <c r="A2600" t="s">
        <v>316</v>
      </c>
      <c r="B2600">
        <v>2025</v>
      </c>
      <c r="C2600">
        <v>1</v>
      </c>
      <c r="D2600" t="s">
        <v>75</v>
      </c>
      <c r="E2600" t="s">
        <v>76</v>
      </c>
      <c r="F2600">
        <v>14</v>
      </c>
      <c r="G2600">
        <v>72</v>
      </c>
      <c r="H2600" t="s">
        <v>13</v>
      </c>
      <c r="I2600" t="str">
        <f t="shared" si="40"/>
        <v>Média</v>
      </c>
    </row>
    <row r="2601" spans="1:9">
      <c r="A2601" t="s">
        <v>352</v>
      </c>
      <c r="B2601">
        <v>2025</v>
      </c>
      <c r="C2601">
        <v>1</v>
      </c>
      <c r="D2601" t="s">
        <v>139</v>
      </c>
      <c r="E2601" t="s">
        <v>140</v>
      </c>
      <c r="F2601">
        <v>14</v>
      </c>
      <c r="G2601">
        <v>96.2</v>
      </c>
      <c r="H2601" t="s">
        <v>13</v>
      </c>
      <c r="I2601" t="str">
        <f t="shared" si="40"/>
        <v>Alta</v>
      </c>
    </row>
    <row r="2602" spans="1:9">
      <c r="A2602" t="s">
        <v>221</v>
      </c>
      <c r="B2602">
        <v>2025</v>
      </c>
      <c r="C2602">
        <v>2</v>
      </c>
      <c r="D2602" t="s">
        <v>9</v>
      </c>
      <c r="E2602" t="s">
        <v>12</v>
      </c>
      <c r="F2602">
        <v>14</v>
      </c>
      <c r="G2602">
        <v>86.6</v>
      </c>
      <c r="H2602" t="s">
        <v>13</v>
      </c>
      <c r="I2602" t="str">
        <f t="shared" si="40"/>
        <v>Alta</v>
      </c>
    </row>
    <row r="2603" spans="1:9">
      <c r="A2603" t="s">
        <v>240</v>
      </c>
      <c r="B2603">
        <v>2025</v>
      </c>
      <c r="C2603">
        <v>2</v>
      </c>
      <c r="D2603" t="s">
        <v>9</v>
      </c>
      <c r="E2603" t="s">
        <v>14</v>
      </c>
      <c r="F2603">
        <v>14</v>
      </c>
      <c r="G2603">
        <v>83.8</v>
      </c>
      <c r="H2603" t="s">
        <v>13</v>
      </c>
      <c r="I2603" t="str">
        <f t="shared" si="40"/>
        <v>Alta</v>
      </c>
    </row>
    <row r="2604" spans="1:9">
      <c r="A2604" t="s">
        <v>301</v>
      </c>
      <c r="B2604">
        <v>2025</v>
      </c>
      <c r="C2604">
        <v>2</v>
      </c>
      <c r="D2604" t="s">
        <v>75</v>
      </c>
      <c r="E2604" t="s">
        <v>77</v>
      </c>
      <c r="F2604">
        <v>14</v>
      </c>
      <c r="G2604">
        <v>92.7</v>
      </c>
      <c r="H2604" t="s">
        <v>13</v>
      </c>
      <c r="I2604" t="str">
        <f t="shared" si="40"/>
        <v>Alta</v>
      </c>
    </row>
    <row r="2605" spans="1:9">
      <c r="A2605" t="s">
        <v>332</v>
      </c>
      <c r="B2605">
        <v>2025</v>
      </c>
      <c r="C2605">
        <v>2</v>
      </c>
      <c r="D2605" t="s">
        <v>139</v>
      </c>
      <c r="E2605" t="s">
        <v>10</v>
      </c>
      <c r="F2605">
        <v>14</v>
      </c>
      <c r="G2605">
        <v>66.099999999999994</v>
      </c>
      <c r="H2605" t="s">
        <v>13</v>
      </c>
      <c r="I2605" t="str">
        <f t="shared" si="40"/>
        <v>Média</v>
      </c>
    </row>
    <row r="2606" spans="1:9">
      <c r="A2606" t="s">
        <v>435</v>
      </c>
      <c r="B2606">
        <v>2026</v>
      </c>
      <c r="C2606">
        <v>1</v>
      </c>
      <c r="D2606" t="s">
        <v>9</v>
      </c>
      <c r="E2606" t="s">
        <v>14</v>
      </c>
      <c r="F2606">
        <v>14</v>
      </c>
      <c r="G2606">
        <v>87.7</v>
      </c>
      <c r="H2606" t="s">
        <v>13</v>
      </c>
      <c r="I2606" t="str">
        <f t="shared" si="40"/>
        <v>Alta</v>
      </c>
    </row>
    <row r="2607" spans="1:9">
      <c r="A2607" t="s">
        <v>469</v>
      </c>
      <c r="B2607">
        <v>2026</v>
      </c>
      <c r="C2607">
        <v>1</v>
      </c>
      <c r="D2607" t="s">
        <v>75</v>
      </c>
      <c r="E2607" t="s">
        <v>77</v>
      </c>
      <c r="F2607">
        <v>14</v>
      </c>
      <c r="G2607">
        <v>91.2</v>
      </c>
      <c r="H2607" t="s">
        <v>13</v>
      </c>
      <c r="I2607" t="str">
        <f t="shared" si="40"/>
        <v>Alta</v>
      </c>
    </row>
    <row r="2608" spans="1:9">
      <c r="A2608" t="s">
        <v>429</v>
      </c>
      <c r="B2608">
        <v>2026</v>
      </c>
      <c r="C2608">
        <v>2</v>
      </c>
      <c r="D2608" t="s">
        <v>9</v>
      </c>
      <c r="E2608" t="s">
        <v>14</v>
      </c>
      <c r="F2608">
        <v>14</v>
      </c>
      <c r="G2608">
        <v>83</v>
      </c>
      <c r="H2608" t="s">
        <v>13</v>
      </c>
      <c r="I2608" t="str">
        <f t="shared" si="40"/>
        <v>Alta</v>
      </c>
    </row>
    <row r="2609" spans="1:9">
      <c r="A2609" t="s">
        <v>447</v>
      </c>
      <c r="B2609">
        <v>2026</v>
      </c>
      <c r="C2609">
        <v>2</v>
      </c>
      <c r="D2609" t="s">
        <v>75</v>
      </c>
      <c r="E2609" t="s">
        <v>76</v>
      </c>
      <c r="F2609">
        <v>14</v>
      </c>
      <c r="G2609">
        <v>56.1</v>
      </c>
      <c r="H2609" t="s">
        <v>13</v>
      </c>
      <c r="I2609" t="str">
        <f t="shared" si="40"/>
        <v>Média</v>
      </c>
    </row>
    <row r="2610" spans="1:9">
      <c r="A2610" t="s">
        <v>46</v>
      </c>
      <c r="B2610">
        <v>2024</v>
      </c>
      <c r="C2610">
        <v>1</v>
      </c>
      <c r="D2610" t="s">
        <v>9</v>
      </c>
      <c r="E2610" t="s">
        <v>10</v>
      </c>
      <c r="F2610">
        <v>14.1</v>
      </c>
      <c r="G2610">
        <v>97.9</v>
      </c>
      <c r="H2610" t="s">
        <v>13</v>
      </c>
      <c r="I2610" t="str">
        <f t="shared" si="40"/>
        <v>Alta</v>
      </c>
    </row>
    <row r="2611" spans="1:9">
      <c r="A2611" t="s">
        <v>58</v>
      </c>
      <c r="B2611">
        <v>2024</v>
      </c>
      <c r="C2611">
        <v>1</v>
      </c>
      <c r="D2611" t="s">
        <v>9</v>
      </c>
      <c r="E2611" t="s">
        <v>10</v>
      </c>
      <c r="F2611">
        <v>14.1</v>
      </c>
      <c r="G2611">
        <v>74.400000000000006</v>
      </c>
      <c r="H2611" t="s">
        <v>13</v>
      </c>
      <c r="I2611" t="str">
        <f t="shared" si="40"/>
        <v>Média</v>
      </c>
    </row>
    <row r="2612" spans="1:9">
      <c r="A2612" t="s">
        <v>161</v>
      </c>
      <c r="B2612">
        <v>2024</v>
      </c>
      <c r="C2612">
        <v>1</v>
      </c>
      <c r="D2612" t="s">
        <v>139</v>
      </c>
      <c r="E2612" t="s">
        <v>10</v>
      </c>
      <c r="F2612">
        <v>14.1</v>
      </c>
      <c r="G2612">
        <v>93.4</v>
      </c>
      <c r="H2612" t="s">
        <v>13</v>
      </c>
      <c r="I2612" t="str">
        <f t="shared" si="40"/>
        <v>Alta</v>
      </c>
    </row>
    <row r="2613" spans="1:9">
      <c r="A2613" t="s">
        <v>30</v>
      </c>
      <c r="B2613">
        <v>2024</v>
      </c>
      <c r="C2613">
        <v>2</v>
      </c>
      <c r="D2613" t="s">
        <v>9</v>
      </c>
      <c r="E2613" t="s">
        <v>14</v>
      </c>
      <c r="F2613">
        <v>14.1</v>
      </c>
      <c r="G2613">
        <v>93.5</v>
      </c>
      <c r="H2613" t="s">
        <v>13</v>
      </c>
      <c r="I2613" t="str">
        <f t="shared" si="40"/>
        <v>Alta</v>
      </c>
    </row>
    <row r="2614" spans="1:9">
      <c r="A2614" t="s">
        <v>66</v>
      </c>
      <c r="B2614">
        <v>2024</v>
      </c>
      <c r="C2614">
        <v>2</v>
      </c>
      <c r="D2614" t="s">
        <v>9</v>
      </c>
      <c r="E2614" t="s">
        <v>14</v>
      </c>
      <c r="F2614">
        <v>14.1</v>
      </c>
      <c r="G2614">
        <v>64.400000000000006</v>
      </c>
      <c r="H2614" t="s">
        <v>13</v>
      </c>
      <c r="I2614" t="str">
        <f t="shared" si="40"/>
        <v>Média</v>
      </c>
    </row>
    <row r="2615" spans="1:9">
      <c r="A2615" t="s">
        <v>101</v>
      </c>
      <c r="B2615">
        <v>2024</v>
      </c>
      <c r="C2615">
        <v>2</v>
      </c>
      <c r="D2615" t="s">
        <v>75</v>
      </c>
      <c r="E2615" t="s">
        <v>78</v>
      </c>
      <c r="F2615">
        <v>14.1</v>
      </c>
      <c r="G2615">
        <v>88.3</v>
      </c>
      <c r="H2615" t="s">
        <v>13</v>
      </c>
      <c r="I2615" t="str">
        <f t="shared" si="40"/>
        <v>Alta</v>
      </c>
    </row>
    <row r="2616" spans="1:9">
      <c r="A2616" t="s">
        <v>103</v>
      </c>
      <c r="B2616">
        <v>2024</v>
      </c>
      <c r="C2616">
        <v>2</v>
      </c>
      <c r="D2616" t="s">
        <v>75</v>
      </c>
      <c r="E2616" t="s">
        <v>77</v>
      </c>
      <c r="F2616">
        <v>14.1</v>
      </c>
      <c r="G2616">
        <v>97.7</v>
      </c>
      <c r="H2616" t="s">
        <v>13</v>
      </c>
      <c r="I2616" t="str">
        <f t="shared" si="40"/>
        <v>Alta</v>
      </c>
    </row>
    <row r="2617" spans="1:9">
      <c r="A2617" t="s">
        <v>126</v>
      </c>
      <c r="B2617">
        <v>2024</v>
      </c>
      <c r="C2617">
        <v>2</v>
      </c>
      <c r="D2617" t="s">
        <v>75</v>
      </c>
      <c r="E2617" t="s">
        <v>77</v>
      </c>
      <c r="F2617">
        <v>14.1</v>
      </c>
      <c r="G2617">
        <v>87.6</v>
      </c>
      <c r="H2617" t="s">
        <v>13</v>
      </c>
      <c r="I2617" t="str">
        <f t="shared" si="40"/>
        <v>Alta</v>
      </c>
    </row>
    <row r="2618" spans="1:9">
      <c r="A2618" t="s">
        <v>167</v>
      </c>
      <c r="B2618">
        <v>2024</v>
      </c>
      <c r="C2618">
        <v>2</v>
      </c>
      <c r="D2618" t="s">
        <v>139</v>
      </c>
      <c r="E2618" t="s">
        <v>10</v>
      </c>
      <c r="F2618">
        <v>14.1</v>
      </c>
      <c r="G2618">
        <v>98.8</v>
      </c>
      <c r="H2618" t="s">
        <v>13</v>
      </c>
      <c r="I2618" t="str">
        <f t="shared" si="40"/>
        <v>Alta</v>
      </c>
    </row>
    <row r="2619" spans="1:9">
      <c r="A2619" t="s">
        <v>177</v>
      </c>
      <c r="B2619">
        <v>2024</v>
      </c>
      <c r="C2619">
        <v>2</v>
      </c>
      <c r="D2619" t="s">
        <v>139</v>
      </c>
      <c r="E2619" t="s">
        <v>141</v>
      </c>
      <c r="F2619">
        <v>14.1</v>
      </c>
      <c r="G2619">
        <v>53.6</v>
      </c>
      <c r="H2619" t="s">
        <v>13</v>
      </c>
      <c r="I2619" t="str">
        <f t="shared" si="40"/>
        <v>Média</v>
      </c>
    </row>
    <row r="2620" spans="1:9">
      <c r="A2620" t="s">
        <v>187</v>
      </c>
      <c r="B2620">
        <v>2024</v>
      </c>
      <c r="C2620">
        <v>2</v>
      </c>
      <c r="D2620" t="s">
        <v>139</v>
      </c>
      <c r="E2620" t="s">
        <v>140</v>
      </c>
      <c r="F2620">
        <v>14.1</v>
      </c>
      <c r="G2620">
        <v>68.2</v>
      </c>
      <c r="H2620" t="s">
        <v>13</v>
      </c>
      <c r="I2620" t="str">
        <f t="shared" si="40"/>
        <v>Média</v>
      </c>
    </row>
    <row r="2621" spans="1:9">
      <c r="A2621" t="s">
        <v>199</v>
      </c>
      <c r="B2621">
        <v>2024</v>
      </c>
      <c r="C2621">
        <v>2</v>
      </c>
      <c r="D2621" t="s">
        <v>139</v>
      </c>
      <c r="E2621" t="s">
        <v>140</v>
      </c>
      <c r="F2621">
        <v>14.1</v>
      </c>
      <c r="G2621">
        <v>84.7</v>
      </c>
      <c r="H2621" t="s">
        <v>13</v>
      </c>
      <c r="I2621" t="str">
        <f t="shared" si="40"/>
        <v>Alta</v>
      </c>
    </row>
    <row r="2622" spans="1:9">
      <c r="A2622" t="s">
        <v>213</v>
      </c>
      <c r="B2622">
        <v>2025</v>
      </c>
      <c r="C2622">
        <v>1</v>
      </c>
      <c r="D2622" t="s">
        <v>9</v>
      </c>
      <c r="E2622" t="s">
        <v>10</v>
      </c>
      <c r="F2622">
        <v>14.1</v>
      </c>
      <c r="G2622">
        <v>97.3</v>
      </c>
      <c r="H2622" t="s">
        <v>13</v>
      </c>
      <c r="I2622" t="str">
        <f t="shared" si="40"/>
        <v>Alta</v>
      </c>
    </row>
    <row r="2623" spans="1:9">
      <c r="A2623" t="s">
        <v>253</v>
      </c>
      <c r="B2623">
        <v>2025</v>
      </c>
      <c r="C2623">
        <v>1</v>
      </c>
      <c r="D2623" t="s">
        <v>9</v>
      </c>
      <c r="E2623" t="s">
        <v>12</v>
      </c>
      <c r="F2623">
        <v>14.1</v>
      </c>
      <c r="G2623">
        <v>90.5</v>
      </c>
      <c r="H2623" t="s">
        <v>13</v>
      </c>
      <c r="I2623" t="str">
        <f t="shared" si="40"/>
        <v>Alta</v>
      </c>
    </row>
    <row r="2624" spans="1:9">
      <c r="A2624" t="s">
        <v>234</v>
      </c>
      <c r="B2624">
        <v>2025</v>
      </c>
      <c r="C2624">
        <v>2</v>
      </c>
      <c r="D2624" t="s">
        <v>9</v>
      </c>
      <c r="E2624" t="s">
        <v>10</v>
      </c>
      <c r="F2624">
        <v>14.1</v>
      </c>
      <c r="G2624">
        <v>67.5</v>
      </c>
      <c r="H2624" t="s">
        <v>13</v>
      </c>
      <c r="I2624" t="str">
        <f t="shared" si="40"/>
        <v>Média</v>
      </c>
    </row>
    <row r="2625" spans="1:9">
      <c r="A2625" t="s">
        <v>346</v>
      </c>
      <c r="B2625">
        <v>2025</v>
      </c>
      <c r="C2625">
        <v>2</v>
      </c>
      <c r="D2625" t="s">
        <v>139</v>
      </c>
      <c r="E2625" t="s">
        <v>140</v>
      </c>
      <c r="F2625">
        <v>14.1</v>
      </c>
      <c r="G2625">
        <v>85.5</v>
      </c>
      <c r="H2625" t="s">
        <v>13</v>
      </c>
      <c r="I2625" t="str">
        <f t="shared" si="40"/>
        <v>Alta</v>
      </c>
    </row>
    <row r="2626" spans="1:9">
      <c r="A2626" t="s">
        <v>451</v>
      </c>
      <c r="B2626">
        <v>2026</v>
      </c>
      <c r="C2626">
        <v>1</v>
      </c>
      <c r="D2626" t="s">
        <v>75</v>
      </c>
      <c r="E2626" t="s">
        <v>78</v>
      </c>
      <c r="F2626">
        <v>14.1</v>
      </c>
      <c r="G2626">
        <v>89.8</v>
      </c>
      <c r="H2626" t="s">
        <v>13</v>
      </c>
      <c r="I2626" t="str">
        <f t="shared" ref="I2626:I2689" si="41">IF(G2626&lt;50,"Baixa",IF(G2626&lt;75,"Média","Alta"))</f>
        <v>Alta</v>
      </c>
    </row>
    <row r="2627" spans="1:9">
      <c r="A2627" t="s">
        <v>485</v>
      </c>
      <c r="B2627">
        <v>2026</v>
      </c>
      <c r="C2627">
        <v>1</v>
      </c>
      <c r="D2627" t="s">
        <v>75</v>
      </c>
      <c r="E2627" t="s">
        <v>78</v>
      </c>
      <c r="F2627">
        <v>14.1</v>
      </c>
      <c r="G2627">
        <v>98.2</v>
      </c>
      <c r="H2627" t="s">
        <v>13</v>
      </c>
      <c r="I2627" t="str">
        <f t="shared" si="41"/>
        <v>Alta</v>
      </c>
    </row>
    <row r="2628" spans="1:9">
      <c r="A2628" t="s">
        <v>502</v>
      </c>
      <c r="B2628">
        <v>2026</v>
      </c>
      <c r="C2628">
        <v>1</v>
      </c>
      <c r="D2628" t="s">
        <v>139</v>
      </c>
      <c r="E2628" t="s">
        <v>10</v>
      </c>
      <c r="F2628">
        <v>14.1</v>
      </c>
      <c r="G2628">
        <v>82.6</v>
      </c>
      <c r="H2628" t="s">
        <v>13</v>
      </c>
      <c r="I2628" t="str">
        <f t="shared" si="41"/>
        <v>Alta</v>
      </c>
    </row>
    <row r="2629" spans="1:9">
      <c r="A2629" t="s">
        <v>523</v>
      </c>
      <c r="B2629">
        <v>2026</v>
      </c>
      <c r="C2629">
        <v>1</v>
      </c>
      <c r="D2629" t="s">
        <v>139</v>
      </c>
      <c r="E2629" t="s">
        <v>141</v>
      </c>
      <c r="F2629">
        <v>14.1</v>
      </c>
      <c r="G2629">
        <v>61.1</v>
      </c>
      <c r="H2629" t="s">
        <v>13</v>
      </c>
      <c r="I2629" t="str">
        <f t="shared" si="41"/>
        <v>Média</v>
      </c>
    </row>
    <row r="2630" spans="1:9">
      <c r="A2630" t="s">
        <v>529</v>
      </c>
      <c r="B2630">
        <v>2026</v>
      </c>
      <c r="C2630">
        <v>1</v>
      </c>
      <c r="D2630" t="s">
        <v>139</v>
      </c>
      <c r="E2630" t="s">
        <v>140</v>
      </c>
      <c r="F2630">
        <v>14.1</v>
      </c>
      <c r="G2630">
        <v>98.5</v>
      </c>
      <c r="H2630" t="s">
        <v>13</v>
      </c>
      <c r="I2630" t="str">
        <f t="shared" si="41"/>
        <v>Alta</v>
      </c>
    </row>
    <row r="2631" spans="1:9">
      <c r="A2631" t="s">
        <v>425</v>
      </c>
      <c r="B2631">
        <v>2026</v>
      </c>
      <c r="C2631">
        <v>2</v>
      </c>
      <c r="D2631" t="s">
        <v>9</v>
      </c>
      <c r="E2631" t="s">
        <v>10</v>
      </c>
      <c r="F2631">
        <v>14.1</v>
      </c>
      <c r="G2631">
        <v>75.900000000000006</v>
      </c>
      <c r="H2631" t="s">
        <v>13</v>
      </c>
      <c r="I2631" t="str">
        <f t="shared" si="41"/>
        <v>Alta</v>
      </c>
    </row>
    <row r="2632" spans="1:9">
      <c r="A2632" t="s">
        <v>445</v>
      </c>
      <c r="B2632">
        <v>2026</v>
      </c>
      <c r="C2632">
        <v>2</v>
      </c>
      <c r="D2632" t="s">
        <v>75</v>
      </c>
      <c r="E2632" t="s">
        <v>78</v>
      </c>
      <c r="F2632">
        <v>14.1</v>
      </c>
      <c r="G2632">
        <v>76.3</v>
      </c>
      <c r="H2632" t="s">
        <v>13</v>
      </c>
      <c r="I2632" t="str">
        <f t="shared" si="41"/>
        <v>Alta</v>
      </c>
    </row>
    <row r="2633" spans="1:9">
      <c r="A2633" t="s">
        <v>520</v>
      </c>
      <c r="B2633">
        <v>2026</v>
      </c>
      <c r="C2633">
        <v>2</v>
      </c>
      <c r="D2633" t="s">
        <v>139</v>
      </c>
      <c r="E2633" t="s">
        <v>141</v>
      </c>
      <c r="F2633">
        <v>14.1</v>
      </c>
      <c r="G2633">
        <v>82.7</v>
      </c>
      <c r="H2633" t="s">
        <v>13</v>
      </c>
      <c r="I2633" t="str">
        <f t="shared" si="41"/>
        <v>Alta</v>
      </c>
    </row>
    <row r="2634" spans="1:9">
      <c r="A2634" t="s">
        <v>68</v>
      </c>
      <c r="B2634">
        <v>2024</v>
      </c>
      <c r="C2634">
        <v>1</v>
      </c>
      <c r="D2634" t="s">
        <v>9</v>
      </c>
      <c r="E2634" t="s">
        <v>12</v>
      </c>
      <c r="F2634">
        <v>14.2</v>
      </c>
      <c r="G2634">
        <v>80.7</v>
      </c>
      <c r="H2634" t="s">
        <v>13</v>
      </c>
      <c r="I2634" t="str">
        <f t="shared" si="41"/>
        <v>Alta</v>
      </c>
    </row>
    <row r="2635" spans="1:9">
      <c r="A2635" t="s">
        <v>86</v>
      </c>
      <c r="B2635">
        <v>2024</v>
      </c>
      <c r="C2635">
        <v>2</v>
      </c>
      <c r="D2635" t="s">
        <v>75</v>
      </c>
      <c r="E2635" t="s">
        <v>77</v>
      </c>
      <c r="F2635">
        <v>14.2</v>
      </c>
      <c r="G2635">
        <v>98.3</v>
      </c>
      <c r="H2635" t="s">
        <v>13</v>
      </c>
      <c r="I2635" t="str">
        <f t="shared" si="41"/>
        <v>Alta</v>
      </c>
    </row>
    <row r="2636" spans="1:9">
      <c r="A2636" t="s">
        <v>131</v>
      </c>
      <c r="B2636">
        <v>2024</v>
      </c>
      <c r="C2636">
        <v>2</v>
      </c>
      <c r="D2636" t="s">
        <v>75</v>
      </c>
      <c r="E2636" t="s">
        <v>77</v>
      </c>
      <c r="F2636">
        <v>14.2</v>
      </c>
      <c r="G2636">
        <v>84.8</v>
      </c>
      <c r="H2636" t="s">
        <v>13</v>
      </c>
      <c r="I2636" t="str">
        <f t="shared" si="41"/>
        <v>Alta</v>
      </c>
    </row>
    <row r="2637" spans="1:9">
      <c r="A2637" t="s">
        <v>172</v>
      </c>
      <c r="B2637">
        <v>2024</v>
      </c>
      <c r="C2637">
        <v>2</v>
      </c>
      <c r="D2637" t="s">
        <v>139</v>
      </c>
      <c r="E2637" t="s">
        <v>10</v>
      </c>
      <c r="F2637">
        <v>14.2</v>
      </c>
      <c r="G2637">
        <v>88.2</v>
      </c>
      <c r="H2637" t="s">
        <v>13</v>
      </c>
      <c r="I2637" t="str">
        <f t="shared" si="41"/>
        <v>Alta</v>
      </c>
    </row>
    <row r="2638" spans="1:9">
      <c r="A2638" t="s">
        <v>219</v>
      </c>
      <c r="B2638">
        <v>2025</v>
      </c>
      <c r="C2638">
        <v>1</v>
      </c>
      <c r="D2638" t="s">
        <v>9</v>
      </c>
      <c r="E2638" t="s">
        <v>10</v>
      </c>
      <c r="F2638">
        <v>14.2</v>
      </c>
      <c r="G2638">
        <v>58.7</v>
      </c>
      <c r="H2638" t="s">
        <v>13</v>
      </c>
      <c r="I2638" t="str">
        <f t="shared" si="41"/>
        <v>Média</v>
      </c>
    </row>
    <row r="2639" spans="1:9">
      <c r="A2639" t="s">
        <v>238</v>
      </c>
      <c r="B2639">
        <v>2025</v>
      </c>
      <c r="C2639">
        <v>1</v>
      </c>
      <c r="D2639" t="s">
        <v>9</v>
      </c>
      <c r="E2639" t="s">
        <v>10</v>
      </c>
      <c r="F2639">
        <v>14.2</v>
      </c>
      <c r="G2639">
        <v>77</v>
      </c>
      <c r="H2639" t="s">
        <v>13</v>
      </c>
      <c r="I2639" t="str">
        <f t="shared" si="41"/>
        <v>Alta</v>
      </c>
    </row>
    <row r="2640" spans="1:9">
      <c r="A2640" t="s">
        <v>346</v>
      </c>
      <c r="B2640">
        <v>2025</v>
      </c>
      <c r="C2640">
        <v>1</v>
      </c>
      <c r="D2640" t="s">
        <v>139</v>
      </c>
      <c r="E2640" t="s">
        <v>10</v>
      </c>
      <c r="F2640">
        <v>14.2</v>
      </c>
      <c r="G2640">
        <v>80.099999999999994</v>
      </c>
      <c r="H2640" t="s">
        <v>13</v>
      </c>
      <c r="I2640" t="str">
        <f t="shared" si="41"/>
        <v>Alta</v>
      </c>
    </row>
    <row r="2641" spans="1:9">
      <c r="A2641" t="s">
        <v>366</v>
      </c>
      <c r="B2641">
        <v>2025</v>
      </c>
      <c r="C2641">
        <v>1</v>
      </c>
      <c r="D2641" t="s">
        <v>139</v>
      </c>
      <c r="E2641" t="s">
        <v>10</v>
      </c>
      <c r="F2641">
        <v>14.2</v>
      </c>
      <c r="G2641">
        <v>80</v>
      </c>
      <c r="H2641" t="s">
        <v>13</v>
      </c>
      <c r="I2641" t="str">
        <f t="shared" si="41"/>
        <v>Alta</v>
      </c>
    </row>
    <row r="2642" spans="1:9">
      <c r="A2642" t="s">
        <v>226</v>
      </c>
      <c r="B2642">
        <v>2025</v>
      </c>
      <c r="C2642">
        <v>2</v>
      </c>
      <c r="D2642" t="s">
        <v>9</v>
      </c>
      <c r="E2642" t="s">
        <v>14</v>
      </c>
      <c r="F2642">
        <v>14.2</v>
      </c>
      <c r="G2642">
        <v>78.2</v>
      </c>
      <c r="H2642" t="s">
        <v>13</v>
      </c>
      <c r="I2642" t="str">
        <f t="shared" si="41"/>
        <v>Alta</v>
      </c>
    </row>
    <row r="2643" spans="1:9">
      <c r="A2643" t="s">
        <v>246</v>
      </c>
      <c r="B2643">
        <v>2025</v>
      </c>
      <c r="C2643">
        <v>2</v>
      </c>
      <c r="D2643" t="s">
        <v>9</v>
      </c>
      <c r="E2643" t="s">
        <v>10</v>
      </c>
      <c r="F2643">
        <v>14.2</v>
      </c>
      <c r="G2643">
        <v>85.6</v>
      </c>
      <c r="H2643" t="s">
        <v>13</v>
      </c>
      <c r="I2643" t="str">
        <f t="shared" si="41"/>
        <v>Alta</v>
      </c>
    </row>
    <row r="2644" spans="1:9">
      <c r="A2644" t="s">
        <v>276</v>
      </c>
      <c r="B2644">
        <v>2025</v>
      </c>
      <c r="C2644">
        <v>2</v>
      </c>
      <c r="D2644" t="s">
        <v>75</v>
      </c>
      <c r="E2644" t="s">
        <v>76</v>
      </c>
      <c r="F2644">
        <v>14.2</v>
      </c>
      <c r="G2644">
        <v>53.1</v>
      </c>
      <c r="H2644" t="s">
        <v>13</v>
      </c>
      <c r="I2644" t="str">
        <f t="shared" si="41"/>
        <v>Média</v>
      </c>
    </row>
    <row r="2645" spans="1:9">
      <c r="A2645" t="s">
        <v>299</v>
      </c>
      <c r="B2645">
        <v>2025</v>
      </c>
      <c r="C2645">
        <v>2</v>
      </c>
      <c r="D2645" t="s">
        <v>75</v>
      </c>
      <c r="E2645" t="s">
        <v>77</v>
      </c>
      <c r="F2645">
        <v>14.2</v>
      </c>
      <c r="G2645">
        <v>86.3</v>
      </c>
      <c r="H2645" t="s">
        <v>13</v>
      </c>
      <c r="I2645" t="str">
        <f t="shared" si="41"/>
        <v>Alta</v>
      </c>
    </row>
    <row r="2646" spans="1:9">
      <c r="A2646" t="s">
        <v>358</v>
      </c>
      <c r="B2646">
        <v>2025</v>
      </c>
      <c r="C2646">
        <v>2</v>
      </c>
      <c r="D2646" t="s">
        <v>139</v>
      </c>
      <c r="E2646" t="s">
        <v>10</v>
      </c>
      <c r="F2646">
        <v>14.2</v>
      </c>
      <c r="G2646">
        <v>55.7</v>
      </c>
      <c r="H2646" t="s">
        <v>13</v>
      </c>
      <c r="I2646" t="str">
        <f t="shared" si="41"/>
        <v>Média</v>
      </c>
    </row>
    <row r="2647" spans="1:9">
      <c r="A2647" t="s">
        <v>372</v>
      </c>
      <c r="B2647">
        <v>2025</v>
      </c>
      <c r="C2647">
        <v>2</v>
      </c>
      <c r="D2647" t="s">
        <v>139</v>
      </c>
      <c r="E2647" t="s">
        <v>10</v>
      </c>
      <c r="F2647">
        <v>14.2</v>
      </c>
      <c r="G2647">
        <v>94.7</v>
      </c>
      <c r="H2647" t="s">
        <v>13</v>
      </c>
      <c r="I2647" t="str">
        <f t="shared" si="41"/>
        <v>Alta</v>
      </c>
    </row>
    <row r="2648" spans="1:9">
      <c r="A2648" t="s">
        <v>381</v>
      </c>
      <c r="B2648">
        <v>2026</v>
      </c>
      <c r="C2648">
        <v>1</v>
      </c>
      <c r="D2648" t="s">
        <v>9</v>
      </c>
      <c r="E2648" t="s">
        <v>12</v>
      </c>
      <c r="F2648">
        <v>14.2</v>
      </c>
      <c r="G2648">
        <v>93.6</v>
      </c>
      <c r="H2648" t="s">
        <v>13</v>
      </c>
      <c r="I2648" t="str">
        <f t="shared" si="41"/>
        <v>Alta</v>
      </c>
    </row>
    <row r="2649" spans="1:9">
      <c r="A2649" t="s">
        <v>394</v>
      </c>
      <c r="B2649">
        <v>2026</v>
      </c>
      <c r="C2649">
        <v>1</v>
      </c>
      <c r="D2649" t="s">
        <v>9</v>
      </c>
      <c r="E2649" t="s">
        <v>14</v>
      </c>
      <c r="F2649">
        <v>14.2</v>
      </c>
      <c r="G2649">
        <v>63.3</v>
      </c>
      <c r="H2649" t="s">
        <v>13</v>
      </c>
      <c r="I2649" t="str">
        <f t="shared" si="41"/>
        <v>Média</v>
      </c>
    </row>
    <row r="2650" spans="1:9">
      <c r="A2650" t="s">
        <v>396</v>
      </c>
      <c r="B2650">
        <v>2026</v>
      </c>
      <c r="C2650">
        <v>1</v>
      </c>
      <c r="D2650" t="s">
        <v>9</v>
      </c>
      <c r="E2650" t="s">
        <v>10</v>
      </c>
      <c r="F2650">
        <v>14.2</v>
      </c>
      <c r="G2650">
        <v>74.3</v>
      </c>
      <c r="H2650" t="s">
        <v>13</v>
      </c>
      <c r="I2650" t="str">
        <f t="shared" si="41"/>
        <v>Média</v>
      </c>
    </row>
    <row r="2651" spans="1:9">
      <c r="A2651" t="s">
        <v>413</v>
      </c>
      <c r="B2651">
        <v>2026</v>
      </c>
      <c r="C2651">
        <v>1</v>
      </c>
      <c r="D2651" t="s">
        <v>9</v>
      </c>
      <c r="E2651" t="s">
        <v>12</v>
      </c>
      <c r="F2651">
        <v>14.2</v>
      </c>
      <c r="G2651">
        <v>81.3</v>
      </c>
      <c r="H2651" t="s">
        <v>13</v>
      </c>
      <c r="I2651" t="str">
        <f t="shared" si="41"/>
        <v>Alta</v>
      </c>
    </row>
    <row r="2652" spans="1:9">
      <c r="A2652" t="s">
        <v>428</v>
      </c>
      <c r="B2652">
        <v>2026</v>
      </c>
      <c r="C2652">
        <v>1</v>
      </c>
      <c r="D2652" t="s">
        <v>9</v>
      </c>
      <c r="E2652" t="s">
        <v>14</v>
      </c>
      <c r="F2652">
        <v>14.2</v>
      </c>
      <c r="G2652">
        <v>82.2</v>
      </c>
      <c r="H2652" t="s">
        <v>13</v>
      </c>
      <c r="I2652" t="str">
        <f t="shared" si="41"/>
        <v>Alta</v>
      </c>
    </row>
    <row r="2653" spans="1:9">
      <c r="A2653" t="s">
        <v>475</v>
      </c>
      <c r="B2653">
        <v>2026</v>
      </c>
      <c r="C2653">
        <v>1</v>
      </c>
      <c r="D2653" t="s">
        <v>75</v>
      </c>
      <c r="E2653" t="s">
        <v>78</v>
      </c>
      <c r="F2653">
        <v>14.2</v>
      </c>
      <c r="G2653">
        <v>88.1</v>
      </c>
      <c r="H2653" t="s">
        <v>13</v>
      </c>
      <c r="I2653" t="str">
        <f t="shared" si="41"/>
        <v>Alta</v>
      </c>
    </row>
    <row r="2654" spans="1:9">
      <c r="A2654" t="s">
        <v>518</v>
      </c>
      <c r="B2654">
        <v>2026</v>
      </c>
      <c r="C2654">
        <v>1</v>
      </c>
      <c r="D2654" t="s">
        <v>139</v>
      </c>
      <c r="E2654" t="s">
        <v>10</v>
      </c>
      <c r="F2654">
        <v>14.2</v>
      </c>
      <c r="G2654">
        <v>87.7</v>
      </c>
      <c r="H2654" t="s">
        <v>13</v>
      </c>
      <c r="I2654" t="str">
        <f t="shared" si="41"/>
        <v>Alta</v>
      </c>
    </row>
    <row r="2655" spans="1:9">
      <c r="A2655" t="s">
        <v>394</v>
      </c>
      <c r="B2655">
        <v>2026</v>
      </c>
      <c r="C2655">
        <v>2</v>
      </c>
      <c r="D2655" t="s">
        <v>9</v>
      </c>
      <c r="E2655" t="s">
        <v>10</v>
      </c>
      <c r="F2655">
        <v>14.2</v>
      </c>
      <c r="G2655">
        <v>95.6</v>
      </c>
      <c r="H2655" t="s">
        <v>13</v>
      </c>
      <c r="I2655" t="str">
        <f t="shared" si="41"/>
        <v>Alta</v>
      </c>
    </row>
    <row r="2656" spans="1:9">
      <c r="A2656" t="s">
        <v>501</v>
      </c>
      <c r="B2656">
        <v>2026</v>
      </c>
      <c r="C2656">
        <v>2</v>
      </c>
      <c r="D2656" t="s">
        <v>139</v>
      </c>
      <c r="E2656" t="s">
        <v>10</v>
      </c>
      <c r="F2656">
        <v>14.2</v>
      </c>
      <c r="G2656">
        <v>54.2</v>
      </c>
      <c r="H2656" t="s">
        <v>13</v>
      </c>
      <c r="I2656" t="str">
        <f t="shared" si="41"/>
        <v>Média</v>
      </c>
    </row>
    <row r="2657" spans="1:9">
      <c r="A2657" t="s">
        <v>23</v>
      </c>
      <c r="B2657">
        <v>2024</v>
      </c>
      <c r="C2657">
        <v>1</v>
      </c>
      <c r="D2657" t="s">
        <v>9</v>
      </c>
      <c r="E2657" t="s">
        <v>12</v>
      </c>
      <c r="F2657">
        <v>14.3</v>
      </c>
      <c r="G2657">
        <v>98.1</v>
      </c>
      <c r="H2657" t="s">
        <v>13</v>
      </c>
      <c r="I2657" t="str">
        <f t="shared" si="41"/>
        <v>Alta</v>
      </c>
    </row>
    <row r="2658" spans="1:9">
      <c r="A2658" t="s">
        <v>28</v>
      </c>
      <c r="B2658">
        <v>2024</v>
      </c>
      <c r="C2658">
        <v>1</v>
      </c>
      <c r="D2658" t="s">
        <v>9</v>
      </c>
      <c r="E2658" t="s">
        <v>14</v>
      </c>
      <c r="F2658">
        <v>14.3</v>
      </c>
      <c r="G2658">
        <v>92.6</v>
      </c>
      <c r="H2658" t="s">
        <v>13</v>
      </c>
      <c r="I2658" t="str">
        <f t="shared" si="41"/>
        <v>Alta</v>
      </c>
    </row>
    <row r="2659" spans="1:9">
      <c r="A2659" t="s">
        <v>64</v>
      </c>
      <c r="B2659">
        <v>2024</v>
      </c>
      <c r="C2659">
        <v>1</v>
      </c>
      <c r="D2659" t="s">
        <v>9</v>
      </c>
      <c r="E2659" t="s">
        <v>12</v>
      </c>
      <c r="F2659">
        <v>14.3</v>
      </c>
      <c r="G2659">
        <v>95.4</v>
      </c>
      <c r="H2659" t="s">
        <v>13</v>
      </c>
      <c r="I2659" t="str">
        <f t="shared" si="41"/>
        <v>Alta</v>
      </c>
    </row>
    <row r="2660" spans="1:9">
      <c r="A2660" t="s">
        <v>121</v>
      </c>
      <c r="B2660">
        <v>2024</v>
      </c>
      <c r="C2660">
        <v>1</v>
      </c>
      <c r="D2660" t="s">
        <v>75</v>
      </c>
      <c r="E2660" t="s">
        <v>78</v>
      </c>
      <c r="F2660">
        <v>14.3</v>
      </c>
      <c r="G2660">
        <v>99</v>
      </c>
      <c r="H2660" t="s">
        <v>13</v>
      </c>
      <c r="I2660" t="str">
        <f t="shared" si="41"/>
        <v>Alta</v>
      </c>
    </row>
    <row r="2661" spans="1:9">
      <c r="A2661" t="s">
        <v>138</v>
      </c>
      <c r="B2661">
        <v>2024</v>
      </c>
      <c r="C2661">
        <v>1</v>
      </c>
      <c r="D2661" t="s">
        <v>139</v>
      </c>
      <c r="E2661" t="s">
        <v>140</v>
      </c>
      <c r="F2661">
        <v>14.3</v>
      </c>
      <c r="G2661">
        <v>87.9</v>
      </c>
      <c r="H2661" t="s">
        <v>13</v>
      </c>
      <c r="I2661" t="str">
        <f t="shared" si="41"/>
        <v>Alta</v>
      </c>
    </row>
    <row r="2662" spans="1:9">
      <c r="A2662" t="s">
        <v>24</v>
      </c>
      <c r="B2662">
        <v>2024</v>
      </c>
      <c r="C2662">
        <v>2</v>
      </c>
      <c r="D2662" t="s">
        <v>9</v>
      </c>
      <c r="E2662" t="s">
        <v>12</v>
      </c>
      <c r="F2662">
        <v>14.3</v>
      </c>
      <c r="G2662">
        <v>95.9</v>
      </c>
      <c r="H2662" t="s">
        <v>13</v>
      </c>
      <c r="I2662" t="str">
        <f t="shared" si="41"/>
        <v>Alta</v>
      </c>
    </row>
    <row r="2663" spans="1:9">
      <c r="A2663" t="s">
        <v>108</v>
      </c>
      <c r="B2663">
        <v>2024</v>
      </c>
      <c r="C2663">
        <v>2</v>
      </c>
      <c r="D2663" t="s">
        <v>75</v>
      </c>
      <c r="E2663" t="s">
        <v>76</v>
      </c>
      <c r="F2663">
        <v>14.3</v>
      </c>
      <c r="G2663">
        <v>83.3</v>
      </c>
      <c r="H2663" t="s">
        <v>13</v>
      </c>
      <c r="I2663" t="str">
        <f t="shared" si="41"/>
        <v>Alta</v>
      </c>
    </row>
    <row r="2664" spans="1:9">
      <c r="A2664" t="s">
        <v>116</v>
      </c>
      <c r="B2664">
        <v>2024</v>
      </c>
      <c r="C2664">
        <v>2</v>
      </c>
      <c r="D2664" t="s">
        <v>75</v>
      </c>
      <c r="E2664" t="s">
        <v>77</v>
      </c>
      <c r="F2664">
        <v>14.3</v>
      </c>
      <c r="G2664">
        <v>80.900000000000006</v>
      </c>
      <c r="H2664" t="s">
        <v>13</v>
      </c>
      <c r="I2664" t="str">
        <f t="shared" si="41"/>
        <v>Alta</v>
      </c>
    </row>
    <row r="2665" spans="1:9">
      <c r="A2665" t="s">
        <v>148</v>
      </c>
      <c r="B2665">
        <v>2024</v>
      </c>
      <c r="C2665">
        <v>2</v>
      </c>
      <c r="D2665" t="s">
        <v>139</v>
      </c>
      <c r="E2665" t="s">
        <v>10</v>
      </c>
      <c r="F2665">
        <v>14.3</v>
      </c>
      <c r="G2665">
        <v>61.7</v>
      </c>
      <c r="H2665" t="s">
        <v>13</v>
      </c>
      <c r="I2665" t="str">
        <f t="shared" si="41"/>
        <v>Média</v>
      </c>
    </row>
    <row r="2666" spans="1:9">
      <c r="A2666" t="s">
        <v>188</v>
      </c>
      <c r="B2666">
        <v>2024</v>
      </c>
      <c r="C2666">
        <v>2</v>
      </c>
      <c r="D2666" t="s">
        <v>139</v>
      </c>
      <c r="E2666" t="s">
        <v>141</v>
      </c>
      <c r="F2666">
        <v>14.3</v>
      </c>
      <c r="G2666">
        <v>87.5</v>
      </c>
      <c r="H2666" t="s">
        <v>13</v>
      </c>
      <c r="I2666" t="str">
        <f t="shared" si="41"/>
        <v>Alta</v>
      </c>
    </row>
    <row r="2667" spans="1:9">
      <c r="A2667" t="s">
        <v>225</v>
      </c>
      <c r="B2667">
        <v>2025</v>
      </c>
      <c r="C2667">
        <v>1</v>
      </c>
      <c r="D2667" t="s">
        <v>9</v>
      </c>
      <c r="E2667" t="s">
        <v>10</v>
      </c>
      <c r="F2667">
        <v>14.3</v>
      </c>
      <c r="G2667">
        <v>95</v>
      </c>
      <c r="H2667" t="s">
        <v>13</v>
      </c>
      <c r="I2667" t="str">
        <f t="shared" si="41"/>
        <v>Alta</v>
      </c>
    </row>
    <row r="2668" spans="1:9">
      <c r="A2668" t="s">
        <v>261</v>
      </c>
      <c r="B2668">
        <v>2025</v>
      </c>
      <c r="C2668">
        <v>1</v>
      </c>
      <c r="D2668" t="s">
        <v>75</v>
      </c>
      <c r="E2668" t="s">
        <v>76</v>
      </c>
      <c r="F2668">
        <v>14.3</v>
      </c>
      <c r="G2668">
        <v>75.900000000000006</v>
      </c>
      <c r="H2668" t="s">
        <v>13</v>
      </c>
      <c r="I2668" t="str">
        <f t="shared" si="41"/>
        <v>Alta</v>
      </c>
    </row>
    <row r="2669" spans="1:9">
      <c r="A2669" t="s">
        <v>300</v>
      </c>
      <c r="B2669">
        <v>2025</v>
      </c>
      <c r="C2669">
        <v>1</v>
      </c>
      <c r="D2669" t="s">
        <v>75</v>
      </c>
      <c r="E2669" t="s">
        <v>78</v>
      </c>
      <c r="F2669">
        <v>14.3</v>
      </c>
      <c r="G2669">
        <v>84.3</v>
      </c>
      <c r="H2669" t="s">
        <v>13</v>
      </c>
      <c r="I2669" t="str">
        <f t="shared" si="41"/>
        <v>Alta</v>
      </c>
    </row>
    <row r="2670" spans="1:9">
      <c r="A2670" t="s">
        <v>365</v>
      </c>
      <c r="B2670">
        <v>2025</v>
      </c>
      <c r="C2670">
        <v>1</v>
      </c>
      <c r="D2670" t="s">
        <v>139</v>
      </c>
      <c r="E2670" t="s">
        <v>10</v>
      </c>
      <c r="F2670">
        <v>14.3</v>
      </c>
      <c r="G2670">
        <v>52.5</v>
      </c>
      <c r="H2670" t="s">
        <v>13</v>
      </c>
      <c r="I2670" t="str">
        <f t="shared" si="41"/>
        <v>Média</v>
      </c>
    </row>
    <row r="2671" spans="1:9">
      <c r="A2671" t="s">
        <v>285</v>
      </c>
      <c r="B2671">
        <v>2025</v>
      </c>
      <c r="C2671">
        <v>2</v>
      </c>
      <c r="D2671" t="s">
        <v>75</v>
      </c>
      <c r="E2671" t="s">
        <v>78</v>
      </c>
      <c r="F2671">
        <v>14.3</v>
      </c>
      <c r="G2671">
        <v>98.2</v>
      </c>
      <c r="H2671" t="s">
        <v>13</v>
      </c>
      <c r="I2671" t="str">
        <f t="shared" si="41"/>
        <v>Alta</v>
      </c>
    </row>
    <row r="2672" spans="1:9">
      <c r="A2672" t="s">
        <v>302</v>
      </c>
      <c r="B2672">
        <v>2025</v>
      </c>
      <c r="C2672">
        <v>2</v>
      </c>
      <c r="D2672" t="s">
        <v>75</v>
      </c>
      <c r="E2672" t="s">
        <v>78</v>
      </c>
      <c r="F2672">
        <v>14.3</v>
      </c>
      <c r="G2672">
        <v>58.5</v>
      </c>
      <c r="H2672" t="s">
        <v>13</v>
      </c>
      <c r="I2672" t="str">
        <f t="shared" si="41"/>
        <v>Média</v>
      </c>
    </row>
    <row r="2673" spans="1:9">
      <c r="A2673" t="s">
        <v>383</v>
      </c>
      <c r="B2673">
        <v>2026</v>
      </c>
      <c r="C2673">
        <v>1</v>
      </c>
      <c r="D2673" t="s">
        <v>9</v>
      </c>
      <c r="E2673" t="s">
        <v>12</v>
      </c>
      <c r="F2673">
        <v>14.3</v>
      </c>
      <c r="G2673">
        <v>98.5</v>
      </c>
      <c r="H2673" t="s">
        <v>13</v>
      </c>
      <c r="I2673" t="str">
        <f t="shared" si="41"/>
        <v>Alta</v>
      </c>
    </row>
    <row r="2674" spans="1:9">
      <c r="A2674" t="s">
        <v>421</v>
      </c>
      <c r="B2674">
        <v>2026</v>
      </c>
      <c r="C2674">
        <v>1</v>
      </c>
      <c r="D2674" t="s">
        <v>9</v>
      </c>
      <c r="E2674" t="s">
        <v>14</v>
      </c>
      <c r="F2674">
        <v>14.3</v>
      </c>
      <c r="G2674">
        <v>96.3</v>
      </c>
      <c r="H2674" t="s">
        <v>13</v>
      </c>
      <c r="I2674" t="str">
        <f t="shared" si="41"/>
        <v>Alta</v>
      </c>
    </row>
    <row r="2675" spans="1:9">
      <c r="A2675" t="s">
        <v>461</v>
      </c>
      <c r="B2675">
        <v>2026</v>
      </c>
      <c r="C2675">
        <v>1</v>
      </c>
      <c r="D2675" t="s">
        <v>75</v>
      </c>
      <c r="E2675" t="s">
        <v>77</v>
      </c>
      <c r="F2675">
        <v>14.3</v>
      </c>
      <c r="G2675">
        <v>85.5</v>
      </c>
      <c r="H2675" t="s">
        <v>13</v>
      </c>
      <c r="I2675" t="str">
        <f t="shared" si="41"/>
        <v>Alta</v>
      </c>
    </row>
    <row r="2676" spans="1:9">
      <c r="A2676" t="s">
        <v>490</v>
      </c>
      <c r="B2676">
        <v>2026</v>
      </c>
      <c r="C2676">
        <v>1</v>
      </c>
      <c r="D2676" t="s">
        <v>75</v>
      </c>
      <c r="E2676" t="s">
        <v>78</v>
      </c>
      <c r="F2676">
        <v>14.3</v>
      </c>
      <c r="G2676">
        <v>97</v>
      </c>
      <c r="H2676" t="s">
        <v>13</v>
      </c>
      <c r="I2676" t="str">
        <f t="shared" si="41"/>
        <v>Alta</v>
      </c>
    </row>
    <row r="2677" spans="1:9">
      <c r="A2677" t="s">
        <v>493</v>
      </c>
      <c r="B2677">
        <v>2026</v>
      </c>
      <c r="C2677">
        <v>1</v>
      </c>
      <c r="D2677" t="s">
        <v>75</v>
      </c>
      <c r="E2677" t="s">
        <v>77</v>
      </c>
      <c r="F2677">
        <v>14.3</v>
      </c>
      <c r="G2677">
        <v>98</v>
      </c>
      <c r="H2677" t="s">
        <v>13</v>
      </c>
      <c r="I2677" t="str">
        <f t="shared" si="41"/>
        <v>Alta</v>
      </c>
    </row>
    <row r="2678" spans="1:9">
      <c r="A2678" t="s">
        <v>441</v>
      </c>
      <c r="B2678">
        <v>2026</v>
      </c>
      <c r="C2678">
        <v>2</v>
      </c>
      <c r="D2678" t="s">
        <v>75</v>
      </c>
      <c r="E2678" t="s">
        <v>76</v>
      </c>
      <c r="F2678">
        <v>14.3</v>
      </c>
      <c r="G2678">
        <v>96.5</v>
      </c>
      <c r="H2678" t="s">
        <v>13</v>
      </c>
      <c r="I2678" t="str">
        <f t="shared" si="41"/>
        <v>Alta</v>
      </c>
    </row>
    <row r="2679" spans="1:9">
      <c r="A2679" t="s">
        <v>495</v>
      </c>
      <c r="B2679">
        <v>2026</v>
      </c>
      <c r="C2679">
        <v>2</v>
      </c>
      <c r="D2679" t="s">
        <v>75</v>
      </c>
      <c r="E2679" t="s">
        <v>76</v>
      </c>
      <c r="F2679">
        <v>14.3</v>
      </c>
      <c r="G2679">
        <v>88.3</v>
      </c>
      <c r="H2679" t="s">
        <v>13</v>
      </c>
      <c r="I2679" t="str">
        <f t="shared" si="41"/>
        <v>Alta</v>
      </c>
    </row>
    <row r="2680" spans="1:9">
      <c r="A2680" t="s">
        <v>8</v>
      </c>
      <c r="B2680">
        <v>2024</v>
      </c>
      <c r="C2680">
        <v>1</v>
      </c>
      <c r="D2680" t="s">
        <v>9</v>
      </c>
      <c r="E2680" t="s">
        <v>12</v>
      </c>
      <c r="F2680">
        <v>14.4</v>
      </c>
      <c r="G2680">
        <v>60.9</v>
      </c>
      <c r="H2680" t="s">
        <v>13</v>
      </c>
      <c r="I2680" t="str">
        <f t="shared" si="41"/>
        <v>Média</v>
      </c>
    </row>
    <row r="2681" spans="1:9">
      <c r="A2681" t="s">
        <v>130</v>
      </c>
      <c r="B2681">
        <v>2024</v>
      </c>
      <c r="C2681">
        <v>1</v>
      </c>
      <c r="D2681" t="s">
        <v>75</v>
      </c>
      <c r="E2681" t="s">
        <v>76</v>
      </c>
      <c r="F2681">
        <v>14.4</v>
      </c>
      <c r="G2681">
        <v>97.2</v>
      </c>
      <c r="H2681" t="s">
        <v>13</v>
      </c>
      <c r="I2681" t="str">
        <f t="shared" si="41"/>
        <v>Alta</v>
      </c>
    </row>
    <row r="2682" spans="1:9">
      <c r="A2682" t="s">
        <v>168</v>
      </c>
      <c r="B2682">
        <v>2024</v>
      </c>
      <c r="C2682">
        <v>1</v>
      </c>
      <c r="D2682" t="s">
        <v>139</v>
      </c>
      <c r="E2682" t="s">
        <v>141</v>
      </c>
      <c r="F2682">
        <v>14.4</v>
      </c>
      <c r="G2682">
        <v>89.9</v>
      </c>
      <c r="H2682" t="s">
        <v>13</v>
      </c>
      <c r="I2682" t="str">
        <f t="shared" si="41"/>
        <v>Alta</v>
      </c>
    </row>
    <row r="2683" spans="1:9">
      <c r="A2683" t="s">
        <v>173</v>
      </c>
      <c r="B2683">
        <v>2024</v>
      </c>
      <c r="C2683">
        <v>1</v>
      </c>
      <c r="D2683" t="s">
        <v>139</v>
      </c>
      <c r="E2683" t="s">
        <v>141</v>
      </c>
      <c r="F2683">
        <v>14.4</v>
      </c>
      <c r="G2683">
        <v>82.5</v>
      </c>
      <c r="H2683" t="s">
        <v>13</v>
      </c>
      <c r="I2683" t="str">
        <f t="shared" si="41"/>
        <v>Alta</v>
      </c>
    </row>
    <row r="2684" spans="1:9">
      <c r="A2684" t="s">
        <v>199</v>
      </c>
      <c r="B2684">
        <v>2024</v>
      </c>
      <c r="C2684">
        <v>1</v>
      </c>
      <c r="D2684" t="s">
        <v>139</v>
      </c>
      <c r="E2684" t="s">
        <v>140</v>
      </c>
      <c r="F2684">
        <v>14.4</v>
      </c>
      <c r="G2684">
        <v>87.7</v>
      </c>
      <c r="H2684" t="s">
        <v>13</v>
      </c>
      <c r="I2684" t="str">
        <f t="shared" si="41"/>
        <v>Alta</v>
      </c>
    </row>
    <row r="2685" spans="1:9">
      <c r="A2685" t="s">
        <v>8</v>
      </c>
      <c r="B2685">
        <v>2024</v>
      </c>
      <c r="C2685">
        <v>2</v>
      </c>
      <c r="D2685" t="s">
        <v>9</v>
      </c>
      <c r="E2685" t="s">
        <v>10</v>
      </c>
      <c r="F2685">
        <v>14.4</v>
      </c>
      <c r="G2685">
        <v>81.900000000000006</v>
      </c>
      <c r="H2685" t="s">
        <v>13</v>
      </c>
      <c r="I2685" t="str">
        <f t="shared" si="41"/>
        <v>Alta</v>
      </c>
    </row>
    <row r="2686" spans="1:9">
      <c r="A2686" t="s">
        <v>58</v>
      </c>
      <c r="B2686">
        <v>2024</v>
      </c>
      <c r="C2686">
        <v>2</v>
      </c>
      <c r="D2686" t="s">
        <v>9</v>
      </c>
      <c r="E2686" t="s">
        <v>12</v>
      </c>
      <c r="F2686">
        <v>14.4</v>
      </c>
      <c r="G2686">
        <v>92.2</v>
      </c>
      <c r="H2686" t="s">
        <v>13</v>
      </c>
      <c r="I2686" t="str">
        <f t="shared" si="41"/>
        <v>Alta</v>
      </c>
    </row>
    <row r="2687" spans="1:9">
      <c r="A2687" t="s">
        <v>72</v>
      </c>
      <c r="B2687">
        <v>2024</v>
      </c>
      <c r="C2687">
        <v>2</v>
      </c>
      <c r="D2687" t="s">
        <v>9</v>
      </c>
      <c r="E2687" t="s">
        <v>12</v>
      </c>
      <c r="F2687">
        <v>14.4</v>
      </c>
      <c r="G2687">
        <v>66.900000000000006</v>
      </c>
      <c r="H2687" t="s">
        <v>13</v>
      </c>
      <c r="I2687" t="str">
        <f t="shared" si="41"/>
        <v>Média</v>
      </c>
    </row>
    <row r="2688" spans="1:9">
      <c r="A2688" t="s">
        <v>91</v>
      </c>
      <c r="B2688">
        <v>2024</v>
      </c>
      <c r="C2688">
        <v>2</v>
      </c>
      <c r="D2688" t="s">
        <v>75</v>
      </c>
      <c r="E2688" t="s">
        <v>77</v>
      </c>
      <c r="F2688">
        <v>14.4</v>
      </c>
      <c r="G2688">
        <v>62.7</v>
      </c>
      <c r="H2688" t="s">
        <v>13</v>
      </c>
      <c r="I2688" t="str">
        <f t="shared" si="41"/>
        <v>Média</v>
      </c>
    </row>
    <row r="2689" spans="1:9">
      <c r="A2689" t="s">
        <v>106</v>
      </c>
      <c r="B2689">
        <v>2024</v>
      </c>
      <c r="C2689">
        <v>2</v>
      </c>
      <c r="D2689" t="s">
        <v>75</v>
      </c>
      <c r="E2689" t="s">
        <v>78</v>
      </c>
      <c r="F2689">
        <v>14.4</v>
      </c>
      <c r="G2689">
        <v>73.099999999999994</v>
      </c>
      <c r="H2689" t="s">
        <v>13</v>
      </c>
      <c r="I2689" t="str">
        <f t="shared" si="41"/>
        <v>Média</v>
      </c>
    </row>
    <row r="2690" spans="1:9">
      <c r="A2690" t="s">
        <v>143</v>
      </c>
      <c r="B2690">
        <v>2024</v>
      </c>
      <c r="C2690">
        <v>2</v>
      </c>
      <c r="D2690" t="s">
        <v>139</v>
      </c>
      <c r="E2690" t="s">
        <v>140</v>
      </c>
      <c r="F2690">
        <v>14.4</v>
      </c>
      <c r="G2690">
        <v>59.9</v>
      </c>
      <c r="H2690" t="s">
        <v>13</v>
      </c>
      <c r="I2690" t="str">
        <f t="shared" ref="I2690:I2753" si="42">IF(G2690&lt;50,"Baixa",IF(G2690&lt;75,"Média","Alta"))</f>
        <v>Média</v>
      </c>
    </row>
    <row r="2691" spans="1:9">
      <c r="A2691" t="s">
        <v>254</v>
      </c>
      <c r="B2691">
        <v>2025</v>
      </c>
      <c r="C2691">
        <v>1</v>
      </c>
      <c r="D2691" t="s">
        <v>9</v>
      </c>
      <c r="E2691" t="s">
        <v>12</v>
      </c>
      <c r="F2691">
        <v>14.4</v>
      </c>
      <c r="G2691">
        <v>82.2</v>
      </c>
      <c r="H2691" t="s">
        <v>13</v>
      </c>
      <c r="I2691" t="str">
        <f t="shared" si="42"/>
        <v>Alta</v>
      </c>
    </row>
    <row r="2692" spans="1:9">
      <c r="A2692" t="s">
        <v>295</v>
      </c>
      <c r="B2692">
        <v>2025</v>
      </c>
      <c r="C2692">
        <v>1</v>
      </c>
      <c r="D2692" t="s">
        <v>75</v>
      </c>
      <c r="E2692" t="s">
        <v>78</v>
      </c>
      <c r="F2692">
        <v>14.4</v>
      </c>
      <c r="G2692">
        <v>98.3</v>
      </c>
      <c r="H2692" t="s">
        <v>13</v>
      </c>
      <c r="I2692" t="str">
        <f t="shared" si="42"/>
        <v>Alta</v>
      </c>
    </row>
    <row r="2693" spans="1:9">
      <c r="A2693" t="s">
        <v>209</v>
      </c>
      <c r="B2693">
        <v>2025</v>
      </c>
      <c r="C2693">
        <v>2</v>
      </c>
      <c r="D2693" t="s">
        <v>9</v>
      </c>
      <c r="E2693" t="s">
        <v>12</v>
      </c>
      <c r="F2693">
        <v>14.4</v>
      </c>
      <c r="G2693">
        <v>84.3</v>
      </c>
      <c r="H2693" t="s">
        <v>13</v>
      </c>
      <c r="I2693" t="str">
        <f t="shared" si="42"/>
        <v>Alta</v>
      </c>
    </row>
    <row r="2694" spans="1:9">
      <c r="A2694" t="s">
        <v>215</v>
      </c>
      <c r="B2694">
        <v>2025</v>
      </c>
      <c r="C2694">
        <v>2</v>
      </c>
      <c r="D2694" t="s">
        <v>9</v>
      </c>
      <c r="E2694" t="s">
        <v>10</v>
      </c>
      <c r="F2694">
        <v>14.4</v>
      </c>
      <c r="G2694">
        <v>77.8</v>
      </c>
      <c r="H2694" t="s">
        <v>13</v>
      </c>
      <c r="I2694" t="str">
        <f t="shared" si="42"/>
        <v>Alta</v>
      </c>
    </row>
    <row r="2695" spans="1:9">
      <c r="A2695" t="s">
        <v>300</v>
      </c>
      <c r="B2695">
        <v>2025</v>
      </c>
      <c r="C2695">
        <v>2</v>
      </c>
      <c r="D2695" t="s">
        <v>75</v>
      </c>
      <c r="E2695" t="s">
        <v>77</v>
      </c>
      <c r="F2695">
        <v>14.4</v>
      </c>
      <c r="G2695">
        <v>82.5</v>
      </c>
      <c r="H2695" t="s">
        <v>13</v>
      </c>
      <c r="I2695" t="str">
        <f t="shared" si="42"/>
        <v>Alta</v>
      </c>
    </row>
    <row r="2696" spans="1:9">
      <c r="A2696" t="s">
        <v>305</v>
      </c>
      <c r="B2696">
        <v>2025</v>
      </c>
      <c r="C2696">
        <v>2</v>
      </c>
      <c r="D2696" t="s">
        <v>75</v>
      </c>
      <c r="E2696" t="s">
        <v>76</v>
      </c>
      <c r="F2696">
        <v>14.4</v>
      </c>
      <c r="G2696">
        <v>64</v>
      </c>
      <c r="H2696" t="s">
        <v>13</v>
      </c>
      <c r="I2696" t="str">
        <f t="shared" si="42"/>
        <v>Média</v>
      </c>
    </row>
    <row r="2697" spans="1:9">
      <c r="A2697" t="s">
        <v>398</v>
      </c>
      <c r="B2697">
        <v>2026</v>
      </c>
      <c r="C2697">
        <v>1</v>
      </c>
      <c r="D2697" t="s">
        <v>9</v>
      </c>
      <c r="E2697" t="s">
        <v>12</v>
      </c>
      <c r="F2697">
        <v>14.4</v>
      </c>
      <c r="G2697">
        <v>96.2</v>
      </c>
      <c r="H2697" t="s">
        <v>13</v>
      </c>
      <c r="I2697" t="str">
        <f t="shared" si="42"/>
        <v>Alta</v>
      </c>
    </row>
    <row r="2698" spans="1:9">
      <c r="A2698" t="s">
        <v>430</v>
      </c>
      <c r="B2698">
        <v>2026</v>
      </c>
      <c r="C2698">
        <v>1</v>
      </c>
      <c r="D2698" t="s">
        <v>9</v>
      </c>
      <c r="E2698" t="s">
        <v>12</v>
      </c>
      <c r="F2698">
        <v>14.4</v>
      </c>
      <c r="G2698">
        <v>96.9</v>
      </c>
      <c r="H2698" t="s">
        <v>13</v>
      </c>
      <c r="I2698" t="str">
        <f t="shared" si="42"/>
        <v>Alta</v>
      </c>
    </row>
    <row r="2699" spans="1:9">
      <c r="A2699" t="s">
        <v>473</v>
      </c>
      <c r="B2699">
        <v>2026</v>
      </c>
      <c r="C2699">
        <v>1</v>
      </c>
      <c r="D2699" t="s">
        <v>75</v>
      </c>
      <c r="E2699" t="s">
        <v>76</v>
      </c>
      <c r="F2699">
        <v>14.4</v>
      </c>
      <c r="G2699">
        <v>61.7</v>
      </c>
      <c r="H2699" t="s">
        <v>13</v>
      </c>
      <c r="I2699" t="str">
        <f t="shared" si="42"/>
        <v>Média</v>
      </c>
    </row>
    <row r="2700" spans="1:9">
      <c r="A2700" t="s">
        <v>513</v>
      </c>
      <c r="B2700">
        <v>2026</v>
      </c>
      <c r="C2700">
        <v>1</v>
      </c>
      <c r="D2700" t="s">
        <v>139</v>
      </c>
      <c r="E2700" t="s">
        <v>140</v>
      </c>
      <c r="F2700">
        <v>14.4</v>
      </c>
      <c r="G2700">
        <v>98.6</v>
      </c>
      <c r="H2700" t="s">
        <v>13</v>
      </c>
      <c r="I2700" t="str">
        <f t="shared" si="42"/>
        <v>Alta</v>
      </c>
    </row>
    <row r="2701" spans="1:9">
      <c r="A2701" t="s">
        <v>513</v>
      </c>
      <c r="B2701">
        <v>2026</v>
      </c>
      <c r="C2701">
        <v>1</v>
      </c>
      <c r="D2701" t="s">
        <v>139</v>
      </c>
      <c r="E2701" t="s">
        <v>10</v>
      </c>
      <c r="F2701">
        <v>14.4</v>
      </c>
      <c r="G2701">
        <v>75</v>
      </c>
      <c r="H2701" t="s">
        <v>13</v>
      </c>
      <c r="I2701" t="str">
        <f t="shared" si="42"/>
        <v>Alta</v>
      </c>
    </row>
    <row r="2702" spans="1:9">
      <c r="A2702" t="s">
        <v>519</v>
      </c>
      <c r="B2702">
        <v>2026</v>
      </c>
      <c r="C2702">
        <v>1</v>
      </c>
      <c r="D2702" t="s">
        <v>139</v>
      </c>
      <c r="E2702" t="s">
        <v>141</v>
      </c>
      <c r="F2702">
        <v>14.4</v>
      </c>
      <c r="G2702">
        <v>88.5</v>
      </c>
      <c r="H2702" t="s">
        <v>13</v>
      </c>
      <c r="I2702" t="str">
        <f t="shared" si="42"/>
        <v>Alta</v>
      </c>
    </row>
    <row r="2703" spans="1:9">
      <c r="A2703" t="s">
        <v>525</v>
      </c>
      <c r="B2703">
        <v>2026</v>
      </c>
      <c r="C2703">
        <v>1</v>
      </c>
      <c r="D2703" t="s">
        <v>139</v>
      </c>
      <c r="E2703" t="s">
        <v>10</v>
      </c>
      <c r="F2703">
        <v>14.4</v>
      </c>
      <c r="G2703">
        <v>58.9</v>
      </c>
      <c r="H2703" t="s">
        <v>13</v>
      </c>
      <c r="I2703" t="str">
        <f t="shared" si="42"/>
        <v>Média</v>
      </c>
    </row>
    <row r="2704" spans="1:9">
      <c r="A2704" t="s">
        <v>550</v>
      </c>
      <c r="B2704">
        <v>2026</v>
      </c>
      <c r="C2704">
        <v>1</v>
      </c>
      <c r="D2704" t="s">
        <v>139</v>
      </c>
      <c r="E2704" t="s">
        <v>140</v>
      </c>
      <c r="F2704">
        <v>14.4</v>
      </c>
      <c r="G2704">
        <v>73.5</v>
      </c>
      <c r="H2704" t="s">
        <v>13</v>
      </c>
      <c r="I2704" t="str">
        <f t="shared" si="42"/>
        <v>Média</v>
      </c>
    </row>
    <row r="2705" spans="1:9">
      <c r="A2705" t="s">
        <v>409</v>
      </c>
      <c r="B2705">
        <v>2026</v>
      </c>
      <c r="C2705">
        <v>2</v>
      </c>
      <c r="D2705" t="s">
        <v>9</v>
      </c>
      <c r="E2705" t="s">
        <v>10</v>
      </c>
      <c r="F2705">
        <v>14.4</v>
      </c>
      <c r="G2705">
        <v>92.1</v>
      </c>
      <c r="H2705" t="s">
        <v>13</v>
      </c>
      <c r="I2705" t="str">
        <f t="shared" si="42"/>
        <v>Alta</v>
      </c>
    </row>
    <row r="2706" spans="1:9">
      <c r="A2706" t="s">
        <v>460</v>
      </c>
      <c r="B2706">
        <v>2026</v>
      </c>
      <c r="C2706">
        <v>2</v>
      </c>
      <c r="D2706" t="s">
        <v>75</v>
      </c>
      <c r="E2706" t="s">
        <v>77</v>
      </c>
      <c r="F2706">
        <v>14.4</v>
      </c>
      <c r="G2706">
        <v>80.7</v>
      </c>
      <c r="H2706" t="s">
        <v>13</v>
      </c>
      <c r="I2706" t="str">
        <f t="shared" si="42"/>
        <v>Alta</v>
      </c>
    </row>
    <row r="2707" spans="1:9">
      <c r="A2707" t="s">
        <v>500</v>
      </c>
      <c r="B2707">
        <v>2026</v>
      </c>
      <c r="C2707">
        <v>2</v>
      </c>
      <c r="D2707" t="s">
        <v>75</v>
      </c>
      <c r="E2707" t="s">
        <v>76</v>
      </c>
      <c r="F2707">
        <v>14.4</v>
      </c>
      <c r="G2707">
        <v>96.3</v>
      </c>
      <c r="H2707" t="s">
        <v>13</v>
      </c>
      <c r="I2707" t="str">
        <f t="shared" si="42"/>
        <v>Alta</v>
      </c>
    </row>
    <row r="2708" spans="1:9">
      <c r="A2708" t="s">
        <v>536</v>
      </c>
      <c r="B2708">
        <v>2026</v>
      </c>
      <c r="C2708">
        <v>2</v>
      </c>
      <c r="D2708" t="s">
        <v>139</v>
      </c>
      <c r="E2708" t="s">
        <v>141</v>
      </c>
      <c r="F2708">
        <v>14.4</v>
      </c>
      <c r="G2708">
        <v>90.2</v>
      </c>
      <c r="H2708" t="s">
        <v>13</v>
      </c>
      <c r="I2708" t="str">
        <f t="shared" si="42"/>
        <v>Alta</v>
      </c>
    </row>
    <row r="2709" spans="1:9">
      <c r="A2709" t="s">
        <v>101</v>
      </c>
      <c r="B2709">
        <v>2024</v>
      </c>
      <c r="C2709">
        <v>1</v>
      </c>
      <c r="D2709" t="s">
        <v>75</v>
      </c>
      <c r="E2709" t="s">
        <v>76</v>
      </c>
      <c r="F2709">
        <v>14.5</v>
      </c>
      <c r="G2709">
        <v>93.1</v>
      </c>
      <c r="H2709" t="s">
        <v>13</v>
      </c>
      <c r="I2709" t="str">
        <f t="shared" si="42"/>
        <v>Alta</v>
      </c>
    </row>
    <row r="2710" spans="1:9">
      <c r="A2710" t="s">
        <v>119</v>
      </c>
      <c r="B2710">
        <v>2024</v>
      </c>
      <c r="C2710">
        <v>1</v>
      </c>
      <c r="D2710" t="s">
        <v>75</v>
      </c>
      <c r="E2710" t="s">
        <v>76</v>
      </c>
      <c r="F2710">
        <v>14.5</v>
      </c>
      <c r="G2710">
        <v>87.2</v>
      </c>
      <c r="H2710" t="s">
        <v>13</v>
      </c>
      <c r="I2710" t="str">
        <f t="shared" si="42"/>
        <v>Alta</v>
      </c>
    </row>
    <row r="2711" spans="1:9">
      <c r="A2711" t="s">
        <v>123</v>
      </c>
      <c r="B2711">
        <v>2024</v>
      </c>
      <c r="C2711">
        <v>1</v>
      </c>
      <c r="D2711" t="s">
        <v>75</v>
      </c>
      <c r="E2711" t="s">
        <v>78</v>
      </c>
      <c r="F2711">
        <v>14.5</v>
      </c>
      <c r="G2711">
        <v>79.8</v>
      </c>
      <c r="H2711" t="s">
        <v>13</v>
      </c>
      <c r="I2711" t="str">
        <f t="shared" si="42"/>
        <v>Alta</v>
      </c>
    </row>
    <row r="2712" spans="1:9">
      <c r="A2712" t="s">
        <v>173</v>
      </c>
      <c r="B2712">
        <v>2024</v>
      </c>
      <c r="C2712">
        <v>1</v>
      </c>
      <c r="D2712" t="s">
        <v>139</v>
      </c>
      <c r="E2712" t="s">
        <v>140</v>
      </c>
      <c r="F2712">
        <v>14.5</v>
      </c>
      <c r="G2712">
        <v>91</v>
      </c>
      <c r="H2712" t="s">
        <v>13</v>
      </c>
      <c r="I2712" t="str">
        <f t="shared" si="42"/>
        <v>Alta</v>
      </c>
    </row>
    <row r="2713" spans="1:9">
      <c r="A2713" t="s">
        <v>53</v>
      </c>
      <c r="B2713">
        <v>2024</v>
      </c>
      <c r="C2713">
        <v>2</v>
      </c>
      <c r="D2713" t="s">
        <v>9</v>
      </c>
      <c r="E2713" t="s">
        <v>14</v>
      </c>
      <c r="F2713">
        <v>14.5</v>
      </c>
      <c r="G2713">
        <v>60.2</v>
      </c>
      <c r="H2713" t="s">
        <v>13</v>
      </c>
      <c r="I2713" t="str">
        <f t="shared" si="42"/>
        <v>Média</v>
      </c>
    </row>
    <row r="2714" spans="1:9">
      <c r="A2714" t="s">
        <v>79</v>
      </c>
      <c r="B2714">
        <v>2024</v>
      </c>
      <c r="C2714">
        <v>2</v>
      </c>
      <c r="D2714" t="s">
        <v>75</v>
      </c>
      <c r="E2714" t="s">
        <v>76</v>
      </c>
      <c r="F2714">
        <v>14.5</v>
      </c>
      <c r="G2714">
        <v>82</v>
      </c>
      <c r="H2714" t="s">
        <v>13</v>
      </c>
      <c r="I2714" t="str">
        <f t="shared" si="42"/>
        <v>Alta</v>
      </c>
    </row>
    <row r="2715" spans="1:9">
      <c r="A2715" t="s">
        <v>101</v>
      </c>
      <c r="B2715">
        <v>2024</v>
      </c>
      <c r="C2715">
        <v>2</v>
      </c>
      <c r="D2715" t="s">
        <v>75</v>
      </c>
      <c r="E2715" t="s">
        <v>77</v>
      </c>
      <c r="F2715">
        <v>14.5</v>
      </c>
      <c r="G2715">
        <v>91.8</v>
      </c>
      <c r="H2715" t="s">
        <v>13</v>
      </c>
      <c r="I2715" t="str">
        <f t="shared" si="42"/>
        <v>Alta</v>
      </c>
    </row>
    <row r="2716" spans="1:9">
      <c r="A2716" t="s">
        <v>200</v>
      </c>
      <c r="B2716">
        <v>2024</v>
      </c>
      <c r="C2716">
        <v>2</v>
      </c>
      <c r="D2716" t="s">
        <v>139</v>
      </c>
      <c r="E2716" t="s">
        <v>140</v>
      </c>
      <c r="F2716">
        <v>14.5</v>
      </c>
      <c r="G2716">
        <v>59.9</v>
      </c>
      <c r="H2716" t="s">
        <v>13</v>
      </c>
      <c r="I2716" t="str">
        <f t="shared" si="42"/>
        <v>Média</v>
      </c>
    </row>
    <row r="2717" spans="1:9">
      <c r="A2717" t="s">
        <v>353</v>
      </c>
      <c r="B2717">
        <v>2025</v>
      </c>
      <c r="C2717">
        <v>1</v>
      </c>
      <c r="D2717" t="s">
        <v>139</v>
      </c>
      <c r="E2717" t="s">
        <v>140</v>
      </c>
      <c r="F2717">
        <v>14.5</v>
      </c>
      <c r="G2717">
        <v>91.2</v>
      </c>
      <c r="H2717" t="s">
        <v>13</v>
      </c>
      <c r="I2717" t="str">
        <f t="shared" si="42"/>
        <v>Alta</v>
      </c>
    </row>
    <row r="2718" spans="1:9">
      <c r="A2718" t="s">
        <v>206</v>
      </c>
      <c r="B2718">
        <v>2025</v>
      </c>
      <c r="C2718">
        <v>2</v>
      </c>
      <c r="D2718" t="s">
        <v>9</v>
      </c>
      <c r="E2718" t="s">
        <v>14</v>
      </c>
      <c r="F2718">
        <v>14.5</v>
      </c>
      <c r="G2718">
        <v>74.3</v>
      </c>
      <c r="H2718" t="s">
        <v>13</v>
      </c>
      <c r="I2718" t="str">
        <f t="shared" si="42"/>
        <v>Média</v>
      </c>
    </row>
    <row r="2719" spans="1:9">
      <c r="A2719" t="s">
        <v>220</v>
      </c>
      <c r="B2719">
        <v>2025</v>
      </c>
      <c r="C2719">
        <v>2</v>
      </c>
      <c r="D2719" t="s">
        <v>9</v>
      </c>
      <c r="E2719" t="s">
        <v>10</v>
      </c>
      <c r="F2719">
        <v>14.5</v>
      </c>
      <c r="G2719">
        <v>74.8</v>
      </c>
      <c r="H2719" t="s">
        <v>13</v>
      </c>
      <c r="I2719" t="str">
        <f t="shared" si="42"/>
        <v>Média</v>
      </c>
    </row>
    <row r="2720" spans="1:9">
      <c r="A2720" t="s">
        <v>331</v>
      </c>
      <c r="B2720">
        <v>2025</v>
      </c>
      <c r="C2720">
        <v>2</v>
      </c>
      <c r="D2720" t="s">
        <v>139</v>
      </c>
      <c r="E2720" t="s">
        <v>10</v>
      </c>
      <c r="F2720">
        <v>14.5</v>
      </c>
      <c r="G2720">
        <v>80.7</v>
      </c>
      <c r="H2720" t="s">
        <v>13</v>
      </c>
      <c r="I2720" t="str">
        <f t="shared" si="42"/>
        <v>Alta</v>
      </c>
    </row>
    <row r="2721" spans="1:9">
      <c r="A2721" t="s">
        <v>362</v>
      </c>
      <c r="B2721">
        <v>2025</v>
      </c>
      <c r="C2721">
        <v>2</v>
      </c>
      <c r="D2721" t="s">
        <v>139</v>
      </c>
      <c r="E2721" t="s">
        <v>10</v>
      </c>
      <c r="F2721">
        <v>14.5</v>
      </c>
      <c r="G2721">
        <v>85.8</v>
      </c>
      <c r="H2721" t="s">
        <v>13</v>
      </c>
      <c r="I2721" t="str">
        <f t="shared" si="42"/>
        <v>Alta</v>
      </c>
    </row>
    <row r="2722" spans="1:9">
      <c r="A2722" t="s">
        <v>369</v>
      </c>
      <c r="B2722">
        <v>2025</v>
      </c>
      <c r="C2722">
        <v>2</v>
      </c>
      <c r="D2722" t="s">
        <v>139</v>
      </c>
      <c r="E2722" t="s">
        <v>140</v>
      </c>
      <c r="F2722">
        <v>14.5</v>
      </c>
      <c r="G2722">
        <v>95.8</v>
      </c>
      <c r="H2722" t="s">
        <v>13</v>
      </c>
      <c r="I2722" t="str">
        <f t="shared" si="42"/>
        <v>Alta</v>
      </c>
    </row>
    <row r="2723" spans="1:9">
      <c r="A2723" t="s">
        <v>385</v>
      </c>
      <c r="B2723">
        <v>2026</v>
      </c>
      <c r="C2723">
        <v>1</v>
      </c>
      <c r="D2723" t="s">
        <v>9</v>
      </c>
      <c r="E2723" t="s">
        <v>10</v>
      </c>
      <c r="F2723">
        <v>14.5</v>
      </c>
      <c r="G2723">
        <v>84</v>
      </c>
      <c r="H2723" t="s">
        <v>13</v>
      </c>
      <c r="I2723" t="str">
        <f t="shared" si="42"/>
        <v>Alta</v>
      </c>
    </row>
    <row r="2724" spans="1:9">
      <c r="A2724" t="s">
        <v>466</v>
      </c>
      <c r="B2724">
        <v>2026</v>
      </c>
      <c r="C2724">
        <v>1</v>
      </c>
      <c r="D2724" t="s">
        <v>75</v>
      </c>
      <c r="E2724" t="s">
        <v>77</v>
      </c>
      <c r="F2724">
        <v>14.5</v>
      </c>
      <c r="G2724">
        <v>84.3</v>
      </c>
      <c r="H2724" t="s">
        <v>13</v>
      </c>
      <c r="I2724" t="str">
        <f t="shared" si="42"/>
        <v>Alta</v>
      </c>
    </row>
    <row r="2725" spans="1:9">
      <c r="A2725" t="s">
        <v>526</v>
      </c>
      <c r="B2725">
        <v>2026</v>
      </c>
      <c r="C2725">
        <v>1</v>
      </c>
      <c r="D2725" t="s">
        <v>139</v>
      </c>
      <c r="E2725" t="s">
        <v>141</v>
      </c>
      <c r="F2725">
        <v>14.5</v>
      </c>
      <c r="G2725">
        <v>77.8</v>
      </c>
      <c r="H2725" t="s">
        <v>13</v>
      </c>
      <c r="I2725" t="str">
        <f t="shared" si="42"/>
        <v>Alta</v>
      </c>
    </row>
    <row r="2726" spans="1:9">
      <c r="A2726" t="s">
        <v>425</v>
      </c>
      <c r="B2726">
        <v>2026</v>
      </c>
      <c r="C2726">
        <v>2</v>
      </c>
      <c r="D2726" t="s">
        <v>9</v>
      </c>
      <c r="E2726" t="s">
        <v>14</v>
      </c>
      <c r="F2726">
        <v>14.5</v>
      </c>
      <c r="G2726">
        <v>99.6</v>
      </c>
      <c r="H2726" t="s">
        <v>13</v>
      </c>
      <c r="I2726" t="str">
        <f t="shared" si="42"/>
        <v>Alta</v>
      </c>
    </row>
    <row r="2727" spans="1:9">
      <c r="A2727" t="s">
        <v>461</v>
      </c>
      <c r="B2727">
        <v>2026</v>
      </c>
      <c r="C2727">
        <v>2</v>
      </c>
      <c r="D2727" t="s">
        <v>75</v>
      </c>
      <c r="E2727" t="s">
        <v>78</v>
      </c>
      <c r="F2727">
        <v>14.5</v>
      </c>
      <c r="G2727">
        <v>96.2</v>
      </c>
      <c r="H2727" t="s">
        <v>13</v>
      </c>
      <c r="I2727" t="str">
        <f t="shared" si="42"/>
        <v>Alta</v>
      </c>
    </row>
    <row r="2728" spans="1:9">
      <c r="A2728" t="s">
        <v>468</v>
      </c>
      <c r="B2728">
        <v>2026</v>
      </c>
      <c r="C2728">
        <v>2</v>
      </c>
      <c r="D2728" t="s">
        <v>75</v>
      </c>
      <c r="E2728" t="s">
        <v>76</v>
      </c>
      <c r="F2728">
        <v>14.5</v>
      </c>
      <c r="G2728">
        <v>47.3</v>
      </c>
      <c r="H2728" t="s">
        <v>13</v>
      </c>
      <c r="I2728" t="str">
        <f t="shared" si="42"/>
        <v>Baixa</v>
      </c>
    </row>
    <row r="2729" spans="1:9">
      <c r="A2729" t="s">
        <v>516</v>
      </c>
      <c r="B2729">
        <v>2026</v>
      </c>
      <c r="C2729">
        <v>2</v>
      </c>
      <c r="D2729" t="s">
        <v>139</v>
      </c>
      <c r="E2729" t="s">
        <v>140</v>
      </c>
      <c r="F2729">
        <v>14.5</v>
      </c>
      <c r="G2729">
        <v>94.4</v>
      </c>
      <c r="H2729" t="s">
        <v>13</v>
      </c>
      <c r="I2729" t="str">
        <f t="shared" si="42"/>
        <v>Alta</v>
      </c>
    </row>
    <row r="2730" spans="1:9">
      <c r="A2730" t="s">
        <v>79</v>
      </c>
      <c r="B2730">
        <v>2024</v>
      </c>
      <c r="C2730">
        <v>1</v>
      </c>
      <c r="D2730" t="s">
        <v>75</v>
      </c>
      <c r="E2730" t="s">
        <v>78</v>
      </c>
      <c r="F2730">
        <v>14.6</v>
      </c>
      <c r="G2730">
        <v>82.2</v>
      </c>
      <c r="H2730" t="s">
        <v>13</v>
      </c>
      <c r="I2730" t="str">
        <f t="shared" si="42"/>
        <v>Alta</v>
      </c>
    </row>
    <row r="2731" spans="1:9">
      <c r="A2731" t="s">
        <v>99</v>
      </c>
      <c r="B2731">
        <v>2024</v>
      </c>
      <c r="C2731">
        <v>1</v>
      </c>
      <c r="D2731" t="s">
        <v>75</v>
      </c>
      <c r="E2731" t="s">
        <v>77</v>
      </c>
      <c r="F2731">
        <v>14.6</v>
      </c>
      <c r="G2731">
        <v>88.8</v>
      </c>
      <c r="H2731" t="s">
        <v>13</v>
      </c>
      <c r="I2731" t="str">
        <f t="shared" si="42"/>
        <v>Alta</v>
      </c>
    </row>
    <row r="2732" spans="1:9">
      <c r="A2732" t="s">
        <v>64</v>
      </c>
      <c r="B2732">
        <v>2024</v>
      </c>
      <c r="C2732">
        <v>2</v>
      </c>
      <c r="D2732" t="s">
        <v>9</v>
      </c>
      <c r="E2732" t="s">
        <v>12</v>
      </c>
      <c r="F2732">
        <v>14.6</v>
      </c>
      <c r="G2732">
        <v>49</v>
      </c>
      <c r="H2732" t="s">
        <v>13</v>
      </c>
      <c r="I2732" t="str">
        <f t="shared" si="42"/>
        <v>Baixa</v>
      </c>
    </row>
    <row r="2733" spans="1:9">
      <c r="A2733" t="s">
        <v>152</v>
      </c>
      <c r="B2733">
        <v>2024</v>
      </c>
      <c r="C2733">
        <v>2</v>
      </c>
      <c r="D2733" t="s">
        <v>139</v>
      </c>
      <c r="E2733" t="s">
        <v>140</v>
      </c>
      <c r="F2733">
        <v>14.6</v>
      </c>
      <c r="G2733">
        <v>79.400000000000006</v>
      </c>
      <c r="H2733" t="s">
        <v>13</v>
      </c>
      <c r="I2733" t="str">
        <f t="shared" si="42"/>
        <v>Alta</v>
      </c>
    </row>
    <row r="2734" spans="1:9">
      <c r="A2734" t="s">
        <v>183</v>
      </c>
      <c r="B2734">
        <v>2024</v>
      </c>
      <c r="C2734">
        <v>2</v>
      </c>
      <c r="D2734" t="s">
        <v>139</v>
      </c>
      <c r="E2734" t="s">
        <v>10</v>
      </c>
      <c r="F2734">
        <v>14.6</v>
      </c>
      <c r="G2734">
        <v>99</v>
      </c>
      <c r="H2734" t="s">
        <v>13</v>
      </c>
      <c r="I2734" t="str">
        <f t="shared" si="42"/>
        <v>Alta</v>
      </c>
    </row>
    <row r="2735" spans="1:9">
      <c r="A2735" t="s">
        <v>230</v>
      </c>
      <c r="B2735">
        <v>2025</v>
      </c>
      <c r="C2735">
        <v>1</v>
      </c>
      <c r="D2735" t="s">
        <v>9</v>
      </c>
      <c r="E2735" t="s">
        <v>12</v>
      </c>
      <c r="F2735">
        <v>14.6</v>
      </c>
      <c r="G2735">
        <v>87.3</v>
      </c>
      <c r="H2735" t="s">
        <v>13</v>
      </c>
      <c r="I2735" t="str">
        <f t="shared" si="42"/>
        <v>Alta</v>
      </c>
    </row>
    <row r="2736" spans="1:9">
      <c r="A2736" t="s">
        <v>286</v>
      </c>
      <c r="B2736">
        <v>2025</v>
      </c>
      <c r="C2736">
        <v>1</v>
      </c>
      <c r="D2736" t="s">
        <v>75</v>
      </c>
      <c r="E2736" t="s">
        <v>77</v>
      </c>
      <c r="F2736">
        <v>14.6</v>
      </c>
      <c r="G2736">
        <v>45</v>
      </c>
      <c r="H2736" t="s">
        <v>13</v>
      </c>
      <c r="I2736" t="str">
        <f t="shared" si="42"/>
        <v>Baixa</v>
      </c>
    </row>
    <row r="2737" spans="1:9">
      <c r="A2737" t="s">
        <v>312</v>
      </c>
      <c r="B2737">
        <v>2025</v>
      </c>
      <c r="C2737">
        <v>1</v>
      </c>
      <c r="D2737" t="s">
        <v>75</v>
      </c>
      <c r="E2737" t="s">
        <v>76</v>
      </c>
      <c r="F2737">
        <v>14.6</v>
      </c>
      <c r="G2737">
        <v>89.2</v>
      </c>
      <c r="H2737" t="s">
        <v>13</v>
      </c>
      <c r="I2737" t="str">
        <f t="shared" si="42"/>
        <v>Alta</v>
      </c>
    </row>
    <row r="2738" spans="1:9">
      <c r="A2738" t="s">
        <v>264</v>
      </c>
      <c r="B2738">
        <v>2025</v>
      </c>
      <c r="C2738">
        <v>2</v>
      </c>
      <c r="D2738" t="s">
        <v>75</v>
      </c>
      <c r="E2738" t="s">
        <v>78</v>
      </c>
      <c r="F2738">
        <v>14.6</v>
      </c>
      <c r="G2738">
        <v>94.7</v>
      </c>
      <c r="H2738" t="s">
        <v>13</v>
      </c>
      <c r="I2738" t="str">
        <f t="shared" si="42"/>
        <v>Alta</v>
      </c>
    </row>
    <row r="2739" spans="1:9">
      <c r="A2739" t="s">
        <v>267</v>
      </c>
      <c r="B2739">
        <v>2025</v>
      </c>
      <c r="C2739">
        <v>2</v>
      </c>
      <c r="D2739" t="s">
        <v>75</v>
      </c>
      <c r="E2739" t="s">
        <v>77</v>
      </c>
      <c r="F2739">
        <v>14.6</v>
      </c>
      <c r="G2739">
        <v>70.900000000000006</v>
      </c>
      <c r="H2739" t="s">
        <v>13</v>
      </c>
      <c r="I2739" t="str">
        <f t="shared" si="42"/>
        <v>Média</v>
      </c>
    </row>
    <row r="2740" spans="1:9">
      <c r="A2740" t="s">
        <v>272</v>
      </c>
      <c r="B2740">
        <v>2025</v>
      </c>
      <c r="C2740">
        <v>2</v>
      </c>
      <c r="D2740" t="s">
        <v>75</v>
      </c>
      <c r="E2740" t="s">
        <v>76</v>
      </c>
      <c r="F2740">
        <v>14.6</v>
      </c>
      <c r="G2740">
        <v>73.599999999999994</v>
      </c>
      <c r="H2740" t="s">
        <v>13</v>
      </c>
      <c r="I2740" t="str">
        <f t="shared" si="42"/>
        <v>Média</v>
      </c>
    </row>
    <row r="2741" spans="1:9">
      <c r="A2741" t="s">
        <v>347</v>
      </c>
      <c r="B2741">
        <v>2025</v>
      </c>
      <c r="C2741">
        <v>2</v>
      </c>
      <c r="D2741" t="s">
        <v>139</v>
      </c>
      <c r="E2741" t="s">
        <v>141</v>
      </c>
      <c r="F2741">
        <v>14.6</v>
      </c>
      <c r="G2741">
        <v>91.8</v>
      </c>
      <c r="H2741" t="s">
        <v>13</v>
      </c>
      <c r="I2741" t="str">
        <f t="shared" si="42"/>
        <v>Alta</v>
      </c>
    </row>
    <row r="2742" spans="1:9">
      <c r="A2742" t="s">
        <v>373</v>
      </c>
      <c r="B2742">
        <v>2025</v>
      </c>
      <c r="C2742">
        <v>2</v>
      </c>
      <c r="D2742" t="s">
        <v>139</v>
      </c>
      <c r="E2742" t="s">
        <v>141</v>
      </c>
      <c r="F2742">
        <v>14.6</v>
      </c>
      <c r="G2742">
        <v>88</v>
      </c>
      <c r="H2742" t="s">
        <v>13</v>
      </c>
      <c r="I2742" t="str">
        <f t="shared" si="42"/>
        <v>Alta</v>
      </c>
    </row>
    <row r="2743" spans="1:9">
      <c r="A2743" t="s">
        <v>401</v>
      </c>
      <c r="B2743">
        <v>2026</v>
      </c>
      <c r="C2743">
        <v>1</v>
      </c>
      <c r="D2743" t="s">
        <v>9</v>
      </c>
      <c r="E2743" t="s">
        <v>12</v>
      </c>
      <c r="F2743">
        <v>14.6</v>
      </c>
      <c r="G2743">
        <v>72.900000000000006</v>
      </c>
      <c r="H2743" t="s">
        <v>13</v>
      </c>
      <c r="I2743" t="str">
        <f t="shared" si="42"/>
        <v>Média</v>
      </c>
    </row>
    <row r="2744" spans="1:9">
      <c r="A2744" t="s">
        <v>454</v>
      </c>
      <c r="B2744">
        <v>2026</v>
      </c>
      <c r="C2744">
        <v>1</v>
      </c>
      <c r="D2744" t="s">
        <v>75</v>
      </c>
      <c r="E2744" t="s">
        <v>78</v>
      </c>
      <c r="F2744">
        <v>14.6</v>
      </c>
      <c r="G2744">
        <v>78.599999999999994</v>
      </c>
      <c r="H2744" t="s">
        <v>13</v>
      </c>
      <c r="I2744" t="str">
        <f t="shared" si="42"/>
        <v>Alta</v>
      </c>
    </row>
    <row r="2745" spans="1:9">
      <c r="A2745" t="s">
        <v>496</v>
      </c>
      <c r="B2745">
        <v>2026</v>
      </c>
      <c r="C2745">
        <v>1</v>
      </c>
      <c r="D2745" t="s">
        <v>75</v>
      </c>
      <c r="E2745" t="s">
        <v>77</v>
      </c>
      <c r="F2745">
        <v>14.6</v>
      </c>
      <c r="G2745">
        <v>64.5</v>
      </c>
      <c r="H2745" t="s">
        <v>13</v>
      </c>
      <c r="I2745" t="str">
        <f t="shared" si="42"/>
        <v>Média</v>
      </c>
    </row>
    <row r="2746" spans="1:9">
      <c r="A2746" t="s">
        <v>527</v>
      </c>
      <c r="B2746">
        <v>2026</v>
      </c>
      <c r="C2746">
        <v>1</v>
      </c>
      <c r="D2746" t="s">
        <v>139</v>
      </c>
      <c r="E2746" t="s">
        <v>140</v>
      </c>
      <c r="F2746">
        <v>14.6</v>
      </c>
      <c r="G2746">
        <v>99.4</v>
      </c>
      <c r="H2746" t="s">
        <v>13</v>
      </c>
      <c r="I2746" t="str">
        <f t="shared" si="42"/>
        <v>Alta</v>
      </c>
    </row>
    <row r="2747" spans="1:9">
      <c r="A2747" t="s">
        <v>537</v>
      </c>
      <c r="B2747">
        <v>2026</v>
      </c>
      <c r="C2747">
        <v>1</v>
      </c>
      <c r="D2747" t="s">
        <v>139</v>
      </c>
      <c r="E2747" t="s">
        <v>10</v>
      </c>
      <c r="F2747">
        <v>14.6</v>
      </c>
      <c r="G2747">
        <v>64.099999999999994</v>
      </c>
      <c r="H2747" t="s">
        <v>13</v>
      </c>
      <c r="I2747" t="str">
        <f t="shared" si="42"/>
        <v>Média</v>
      </c>
    </row>
    <row r="2748" spans="1:9">
      <c r="A2748" t="s">
        <v>557</v>
      </c>
      <c r="B2748">
        <v>2026</v>
      </c>
      <c r="C2748">
        <v>1</v>
      </c>
      <c r="D2748" t="s">
        <v>139</v>
      </c>
      <c r="E2748" t="s">
        <v>141</v>
      </c>
      <c r="F2748">
        <v>14.6</v>
      </c>
      <c r="G2748">
        <v>95.2</v>
      </c>
      <c r="H2748" t="s">
        <v>13</v>
      </c>
      <c r="I2748" t="str">
        <f t="shared" si="42"/>
        <v>Alta</v>
      </c>
    </row>
    <row r="2749" spans="1:9">
      <c r="A2749" t="s">
        <v>455</v>
      </c>
      <c r="B2749">
        <v>2026</v>
      </c>
      <c r="C2749">
        <v>2</v>
      </c>
      <c r="D2749" t="s">
        <v>75</v>
      </c>
      <c r="E2749" t="s">
        <v>77</v>
      </c>
      <c r="F2749">
        <v>14.6</v>
      </c>
      <c r="G2749">
        <v>90.3</v>
      </c>
      <c r="H2749" t="s">
        <v>13</v>
      </c>
      <c r="I2749" t="str">
        <f t="shared" si="42"/>
        <v>Alta</v>
      </c>
    </row>
    <row r="2750" spans="1:9">
      <c r="A2750" t="s">
        <v>475</v>
      </c>
      <c r="B2750">
        <v>2026</v>
      </c>
      <c r="C2750">
        <v>2</v>
      </c>
      <c r="D2750" t="s">
        <v>75</v>
      </c>
      <c r="E2750" t="s">
        <v>77</v>
      </c>
      <c r="F2750">
        <v>14.6</v>
      </c>
      <c r="G2750">
        <v>88.8</v>
      </c>
      <c r="H2750" t="s">
        <v>13</v>
      </c>
      <c r="I2750" t="str">
        <f t="shared" si="42"/>
        <v>Alta</v>
      </c>
    </row>
    <row r="2751" spans="1:9">
      <c r="A2751" t="s">
        <v>504</v>
      </c>
      <c r="B2751">
        <v>2026</v>
      </c>
      <c r="C2751">
        <v>2</v>
      </c>
      <c r="D2751" t="s">
        <v>139</v>
      </c>
      <c r="E2751" t="s">
        <v>141</v>
      </c>
      <c r="F2751">
        <v>14.6</v>
      </c>
      <c r="G2751">
        <v>96.1</v>
      </c>
      <c r="H2751" t="s">
        <v>13</v>
      </c>
      <c r="I2751" t="str">
        <f t="shared" si="42"/>
        <v>Alta</v>
      </c>
    </row>
    <row r="2752" spans="1:9">
      <c r="A2752" t="s">
        <v>519</v>
      </c>
      <c r="B2752">
        <v>2026</v>
      </c>
      <c r="C2752">
        <v>2</v>
      </c>
      <c r="D2752" t="s">
        <v>139</v>
      </c>
      <c r="E2752" t="s">
        <v>140</v>
      </c>
      <c r="F2752">
        <v>14.6</v>
      </c>
      <c r="G2752">
        <v>94.9</v>
      </c>
      <c r="H2752" t="s">
        <v>13</v>
      </c>
      <c r="I2752" t="str">
        <f t="shared" si="42"/>
        <v>Alta</v>
      </c>
    </row>
    <row r="2753" spans="1:9">
      <c r="A2753" t="s">
        <v>526</v>
      </c>
      <c r="B2753">
        <v>2026</v>
      </c>
      <c r="C2753">
        <v>2</v>
      </c>
      <c r="D2753" t="s">
        <v>139</v>
      </c>
      <c r="E2753" t="s">
        <v>10</v>
      </c>
      <c r="F2753">
        <v>14.6</v>
      </c>
      <c r="G2753">
        <v>89.5</v>
      </c>
      <c r="H2753" t="s">
        <v>13</v>
      </c>
      <c r="I2753" t="str">
        <f t="shared" si="42"/>
        <v>Alta</v>
      </c>
    </row>
    <row r="2754" spans="1:9">
      <c r="A2754" t="s">
        <v>531</v>
      </c>
      <c r="B2754">
        <v>2026</v>
      </c>
      <c r="C2754">
        <v>2</v>
      </c>
      <c r="D2754" t="s">
        <v>139</v>
      </c>
      <c r="E2754" t="s">
        <v>10</v>
      </c>
      <c r="F2754">
        <v>14.6</v>
      </c>
      <c r="G2754">
        <v>92</v>
      </c>
      <c r="H2754" t="s">
        <v>13</v>
      </c>
      <c r="I2754" t="str">
        <f t="shared" ref="I2754:I2817" si="43">IF(G2754&lt;50,"Baixa",IF(G2754&lt;75,"Média","Alta"))</f>
        <v>Alta</v>
      </c>
    </row>
    <row r="2755" spans="1:9">
      <c r="A2755" t="s">
        <v>158</v>
      </c>
      <c r="B2755">
        <v>2024</v>
      </c>
      <c r="C2755">
        <v>1</v>
      </c>
      <c r="D2755" t="s">
        <v>139</v>
      </c>
      <c r="E2755" t="s">
        <v>140</v>
      </c>
      <c r="F2755">
        <v>14.7</v>
      </c>
      <c r="G2755">
        <v>51.8</v>
      </c>
      <c r="H2755" t="s">
        <v>13</v>
      </c>
      <c r="I2755" t="str">
        <f t="shared" si="43"/>
        <v>Média</v>
      </c>
    </row>
    <row r="2756" spans="1:9">
      <c r="A2756" t="s">
        <v>183</v>
      </c>
      <c r="B2756">
        <v>2024</v>
      </c>
      <c r="C2756">
        <v>1</v>
      </c>
      <c r="D2756" t="s">
        <v>139</v>
      </c>
      <c r="E2756" t="s">
        <v>10</v>
      </c>
      <c r="F2756">
        <v>14.7</v>
      </c>
      <c r="G2756">
        <v>90.9</v>
      </c>
      <c r="H2756" t="s">
        <v>13</v>
      </c>
      <c r="I2756" t="str">
        <f t="shared" si="43"/>
        <v>Alta</v>
      </c>
    </row>
    <row r="2757" spans="1:9">
      <c r="A2757" t="s">
        <v>32</v>
      </c>
      <c r="B2757">
        <v>2024</v>
      </c>
      <c r="C2757">
        <v>2</v>
      </c>
      <c r="D2757" t="s">
        <v>9</v>
      </c>
      <c r="E2757" t="s">
        <v>10</v>
      </c>
      <c r="F2757">
        <v>14.7</v>
      </c>
      <c r="G2757">
        <v>92.7</v>
      </c>
      <c r="H2757" t="s">
        <v>13</v>
      </c>
      <c r="I2757" t="str">
        <f t="shared" si="43"/>
        <v>Alta</v>
      </c>
    </row>
    <row r="2758" spans="1:9">
      <c r="A2758" t="s">
        <v>161</v>
      </c>
      <c r="B2758">
        <v>2024</v>
      </c>
      <c r="C2758">
        <v>2</v>
      </c>
      <c r="D2758" t="s">
        <v>139</v>
      </c>
      <c r="E2758" t="s">
        <v>141</v>
      </c>
      <c r="F2758">
        <v>14.7</v>
      </c>
      <c r="G2758">
        <v>81.099999999999994</v>
      </c>
      <c r="H2758" t="s">
        <v>13</v>
      </c>
      <c r="I2758" t="str">
        <f t="shared" si="43"/>
        <v>Alta</v>
      </c>
    </row>
    <row r="2759" spans="1:9">
      <c r="A2759" t="s">
        <v>191</v>
      </c>
      <c r="B2759">
        <v>2024</v>
      </c>
      <c r="C2759">
        <v>2</v>
      </c>
      <c r="D2759" t="s">
        <v>139</v>
      </c>
      <c r="E2759" t="s">
        <v>140</v>
      </c>
      <c r="F2759">
        <v>14.7</v>
      </c>
      <c r="G2759">
        <v>73.3</v>
      </c>
      <c r="H2759" t="s">
        <v>13</v>
      </c>
      <c r="I2759" t="str">
        <f t="shared" si="43"/>
        <v>Média</v>
      </c>
    </row>
    <row r="2760" spans="1:9">
      <c r="A2760" t="s">
        <v>378</v>
      </c>
      <c r="B2760">
        <v>2025</v>
      </c>
      <c r="C2760">
        <v>1</v>
      </c>
      <c r="D2760" t="s">
        <v>139</v>
      </c>
      <c r="E2760" t="s">
        <v>10</v>
      </c>
      <c r="F2760">
        <v>14.7</v>
      </c>
      <c r="G2760">
        <v>96.3</v>
      </c>
      <c r="H2760" t="s">
        <v>13</v>
      </c>
      <c r="I2760" t="str">
        <f t="shared" si="43"/>
        <v>Alta</v>
      </c>
    </row>
    <row r="2761" spans="1:9">
      <c r="A2761" t="s">
        <v>266</v>
      </c>
      <c r="B2761">
        <v>2025</v>
      </c>
      <c r="C2761">
        <v>2</v>
      </c>
      <c r="D2761" t="s">
        <v>75</v>
      </c>
      <c r="E2761" t="s">
        <v>76</v>
      </c>
      <c r="F2761">
        <v>14.7</v>
      </c>
      <c r="G2761">
        <v>85</v>
      </c>
      <c r="H2761" t="s">
        <v>13</v>
      </c>
      <c r="I2761" t="str">
        <f t="shared" si="43"/>
        <v>Alta</v>
      </c>
    </row>
    <row r="2762" spans="1:9">
      <c r="A2762" t="s">
        <v>324</v>
      </c>
      <c r="B2762">
        <v>2025</v>
      </c>
      <c r="C2762">
        <v>2</v>
      </c>
      <c r="D2762" t="s">
        <v>139</v>
      </c>
      <c r="E2762" t="s">
        <v>140</v>
      </c>
      <c r="F2762">
        <v>14.7</v>
      </c>
      <c r="G2762">
        <v>84.9</v>
      </c>
      <c r="H2762" t="s">
        <v>13</v>
      </c>
      <c r="I2762" t="str">
        <f t="shared" si="43"/>
        <v>Alta</v>
      </c>
    </row>
    <row r="2763" spans="1:9">
      <c r="A2763" t="s">
        <v>335</v>
      </c>
      <c r="B2763">
        <v>2025</v>
      </c>
      <c r="C2763">
        <v>2</v>
      </c>
      <c r="D2763" t="s">
        <v>139</v>
      </c>
      <c r="E2763" t="s">
        <v>141</v>
      </c>
      <c r="F2763">
        <v>14.7</v>
      </c>
      <c r="G2763">
        <v>54.6</v>
      </c>
      <c r="H2763" t="s">
        <v>13</v>
      </c>
      <c r="I2763" t="str">
        <f t="shared" si="43"/>
        <v>Média</v>
      </c>
    </row>
    <row r="2764" spans="1:9">
      <c r="A2764" t="s">
        <v>364</v>
      </c>
      <c r="B2764">
        <v>2025</v>
      </c>
      <c r="C2764">
        <v>2</v>
      </c>
      <c r="D2764" t="s">
        <v>139</v>
      </c>
      <c r="E2764" t="s">
        <v>140</v>
      </c>
      <c r="F2764">
        <v>14.7</v>
      </c>
      <c r="G2764">
        <v>55.6</v>
      </c>
      <c r="H2764" t="s">
        <v>13</v>
      </c>
      <c r="I2764" t="str">
        <f t="shared" si="43"/>
        <v>Média</v>
      </c>
    </row>
    <row r="2765" spans="1:9">
      <c r="A2765" t="s">
        <v>365</v>
      </c>
      <c r="B2765">
        <v>2025</v>
      </c>
      <c r="C2765">
        <v>2</v>
      </c>
      <c r="D2765" t="s">
        <v>139</v>
      </c>
      <c r="E2765" t="s">
        <v>10</v>
      </c>
      <c r="F2765">
        <v>14.7</v>
      </c>
      <c r="G2765">
        <v>70.5</v>
      </c>
      <c r="H2765" t="s">
        <v>13</v>
      </c>
      <c r="I2765" t="str">
        <f t="shared" si="43"/>
        <v>Média</v>
      </c>
    </row>
    <row r="2766" spans="1:9">
      <c r="A2766" t="s">
        <v>375</v>
      </c>
      <c r="B2766">
        <v>2025</v>
      </c>
      <c r="C2766">
        <v>2</v>
      </c>
      <c r="D2766" t="s">
        <v>139</v>
      </c>
      <c r="E2766" t="s">
        <v>140</v>
      </c>
      <c r="F2766">
        <v>14.7</v>
      </c>
      <c r="G2766">
        <v>96.6</v>
      </c>
      <c r="H2766" t="s">
        <v>13</v>
      </c>
      <c r="I2766" t="str">
        <f t="shared" si="43"/>
        <v>Alta</v>
      </c>
    </row>
    <row r="2767" spans="1:9">
      <c r="A2767" t="s">
        <v>384</v>
      </c>
      <c r="B2767">
        <v>2026</v>
      </c>
      <c r="C2767">
        <v>1</v>
      </c>
      <c r="D2767" t="s">
        <v>9</v>
      </c>
      <c r="E2767" t="s">
        <v>14</v>
      </c>
      <c r="F2767">
        <v>14.7</v>
      </c>
      <c r="G2767">
        <v>98</v>
      </c>
      <c r="H2767" t="s">
        <v>13</v>
      </c>
      <c r="I2767" t="str">
        <f t="shared" si="43"/>
        <v>Alta</v>
      </c>
    </row>
    <row r="2768" spans="1:9">
      <c r="A2768" t="s">
        <v>390</v>
      </c>
      <c r="B2768">
        <v>2026</v>
      </c>
      <c r="C2768">
        <v>1</v>
      </c>
      <c r="D2768" t="s">
        <v>9</v>
      </c>
      <c r="E2768" t="s">
        <v>14</v>
      </c>
      <c r="F2768">
        <v>14.7</v>
      </c>
      <c r="G2768">
        <v>87.1</v>
      </c>
      <c r="H2768" t="s">
        <v>13</v>
      </c>
      <c r="I2768" t="str">
        <f t="shared" si="43"/>
        <v>Alta</v>
      </c>
    </row>
    <row r="2769" spans="1:9">
      <c r="A2769" t="s">
        <v>402</v>
      </c>
      <c r="B2769">
        <v>2026</v>
      </c>
      <c r="C2769">
        <v>1</v>
      </c>
      <c r="D2769" t="s">
        <v>9</v>
      </c>
      <c r="E2769" t="s">
        <v>14</v>
      </c>
      <c r="F2769">
        <v>14.7</v>
      </c>
      <c r="G2769">
        <v>98.2</v>
      </c>
      <c r="H2769" t="s">
        <v>13</v>
      </c>
      <c r="I2769" t="str">
        <f t="shared" si="43"/>
        <v>Alta</v>
      </c>
    </row>
    <row r="2770" spans="1:9">
      <c r="A2770" t="s">
        <v>429</v>
      </c>
      <c r="B2770">
        <v>2026</v>
      </c>
      <c r="C2770">
        <v>1</v>
      </c>
      <c r="D2770" t="s">
        <v>9</v>
      </c>
      <c r="E2770" t="s">
        <v>12</v>
      </c>
      <c r="F2770">
        <v>14.7</v>
      </c>
      <c r="G2770">
        <v>94.9</v>
      </c>
      <c r="H2770" t="s">
        <v>13</v>
      </c>
      <c r="I2770" t="str">
        <f t="shared" si="43"/>
        <v>Alta</v>
      </c>
    </row>
    <row r="2771" spans="1:9">
      <c r="A2771" t="s">
        <v>434</v>
      </c>
      <c r="B2771">
        <v>2026</v>
      </c>
      <c r="C2771">
        <v>1</v>
      </c>
      <c r="D2771" t="s">
        <v>9</v>
      </c>
      <c r="E2771" t="s">
        <v>10</v>
      </c>
      <c r="F2771">
        <v>14.7</v>
      </c>
      <c r="G2771">
        <v>81.099999999999994</v>
      </c>
      <c r="H2771" t="s">
        <v>13</v>
      </c>
      <c r="I2771" t="str">
        <f t="shared" si="43"/>
        <v>Alta</v>
      </c>
    </row>
    <row r="2772" spans="1:9">
      <c r="A2772" t="s">
        <v>487</v>
      </c>
      <c r="B2772">
        <v>2026</v>
      </c>
      <c r="C2772">
        <v>1</v>
      </c>
      <c r="D2772" t="s">
        <v>75</v>
      </c>
      <c r="E2772" t="s">
        <v>76</v>
      </c>
      <c r="F2772">
        <v>14.7</v>
      </c>
      <c r="G2772">
        <v>84.9</v>
      </c>
      <c r="H2772" t="s">
        <v>13</v>
      </c>
      <c r="I2772" t="str">
        <f t="shared" si="43"/>
        <v>Alta</v>
      </c>
    </row>
    <row r="2773" spans="1:9">
      <c r="A2773" t="s">
        <v>498</v>
      </c>
      <c r="B2773">
        <v>2026</v>
      </c>
      <c r="C2773">
        <v>1</v>
      </c>
      <c r="D2773" t="s">
        <v>75</v>
      </c>
      <c r="E2773" t="s">
        <v>76</v>
      </c>
      <c r="F2773">
        <v>14.7</v>
      </c>
      <c r="G2773">
        <v>70.2</v>
      </c>
      <c r="H2773" t="s">
        <v>13</v>
      </c>
      <c r="I2773" t="str">
        <f t="shared" si="43"/>
        <v>Média</v>
      </c>
    </row>
    <row r="2774" spans="1:9">
      <c r="A2774" t="s">
        <v>558</v>
      </c>
      <c r="B2774">
        <v>2026</v>
      </c>
      <c r="C2774">
        <v>1</v>
      </c>
      <c r="D2774" t="s">
        <v>139</v>
      </c>
      <c r="E2774" t="s">
        <v>140</v>
      </c>
      <c r="F2774">
        <v>14.7</v>
      </c>
      <c r="G2774">
        <v>80.900000000000006</v>
      </c>
      <c r="H2774" t="s">
        <v>13</v>
      </c>
      <c r="I2774" t="str">
        <f t="shared" si="43"/>
        <v>Alta</v>
      </c>
    </row>
    <row r="2775" spans="1:9">
      <c r="A2775" t="s">
        <v>396</v>
      </c>
      <c r="B2775">
        <v>2026</v>
      </c>
      <c r="C2775">
        <v>2</v>
      </c>
      <c r="D2775" t="s">
        <v>9</v>
      </c>
      <c r="E2775" t="s">
        <v>14</v>
      </c>
      <c r="F2775">
        <v>14.7</v>
      </c>
      <c r="G2775">
        <v>82.7</v>
      </c>
      <c r="H2775" t="s">
        <v>13</v>
      </c>
      <c r="I2775" t="str">
        <f t="shared" si="43"/>
        <v>Alta</v>
      </c>
    </row>
    <row r="2776" spans="1:9">
      <c r="A2776" t="s">
        <v>430</v>
      </c>
      <c r="B2776">
        <v>2026</v>
      </c>
      <c r="C2776">
        <v>2</v>
      </c>
      <c r="D2776" t="s">
        <v>9</v>
      </c>
      <c r="E2776" t="s">
        <v>10</v>
      </c>
      <c r="F2776">
        <v>14.7</v>
      </c>
      <c r="G2776">
        <v>99.8</v>
      </c>
      <c r="H2776" t="s">
        <v>13</v>
      </c>
      <c r="I2776" t="str">
        <f t="shared" si="43"/>
        <v>Alta</v>
      </c>
    </row>
    <row r="2777" spans="1:9">
      <c r="A2777" t="s">
        <v>508</v>
      </c>
      <c r="B2777">
        <v>2026</v>
      </c>
      <c r="C2777">
        <v>2</v>
      </c>
      <c r="D2777" t="s">
        <v>139</v>
      </c>
      <c r="E2777" t="s">
        <v>10</v>
      </c>
      <c r="F2777">
        <v>14.7</v>
      </c>
      <c r="G2777">
        <v>82.8</v>
      </c>
      <c r="H2777" t="s">
        <v>13</v>
      </c>
      <c r="I2777" t="str">
        <f t="shared" si="43"/>
        <v>Alta</v>
      </c>
    </row>
    <row r="2778" spans="1:9">
      <c r="A2778" t="s">
        <v>513</v>
      </c>
      <c r="B2778">
        <v>2026</v>
      </c>
      <c r="C2778">
        <v>2</v>
      </c>
      <c r="D2778" t="s">
        <v>139</v>
      </c>
      <c r="E2778" t="s">
        <v>10</v>
      </c>
      <c r="F2778">
        <v>14.7</v>
      </c>
      <c r="G2778">
        <v>48.5</v>
      </c>
      <c r="H2778" t="s">
        <v>13</v>
      </c>
      <c r="I2778" t="str">
        <f t="shared" si="43"/>
        <v>Baixa</v>
      </c>
    </row>
    <row r="2779" spans="1:9">
      <c r="A2779" t="s">
        <v>519</v>
      </c>
      <c r="B2779">
        <v>2026</v>
      </c>
      <c r="C2779">
        <v>2</v>
      </c>
      <c r="D2779" t="s">
        <v>139</v>
      </c>
      <c r="E2779" t="s">
        <v>10</v>
      </c>
      <c r="F2779">
        <v>14.7</v>
      </c>
      <c r="G2779">
        <v>49.5</v>
      </c>
      <c r="H2779" t="s">
        <v>13</v>
      </c>
      <c r="I2779" t="str">
        <f t="shared" si="43"/>
        <v>Baixa</v>
      </c>
    </row>
    <row r="2780" spans="1:9">
      <c r="A2780" t="s">
        <v>527</v>
      </c>
      <c r="B2780">
        <v>2026</v>
      </c>
      <c r="C2780">
        <v>2</v>
      </c>
      <c r="D2780" t="s">
        <v>139</v>
      </c>
      <c r="E2780" t="s">
        <v>141</v>
      </c>
      <c r="F2780">
        <v>14.7</v>
      </c>
      <c r="G2780">
        <v>63.2</v>
      </c>
      <c r="H2780" t="s">
        <v>13</v>
      </c>
      <c r="I2780" t="str">
        <f t="shared" si="43"/>
        <v>Média</v>
      </c>
    </row>
    <row r="2781" spans="1:9">
      <c r="A2781" t="s">
        <v>556</v>
      </c>
      <c r="B2781">
        <v>2026</v>
      </c>
      <c r="C2781">
        <v>2</v>
      </c>
      <c r="D2781" t="s">
        <v>139</v>
      </c>
      <c r="E2781" t="s">
        <v>141</v>
      </c>
      <c r="F2781">
        <v>14.7</v>
      </c>
      <c r="G2781">
        <v>76.8</v>
      </c>
      <c r="H2781" t="s">
        <v>13</v>
      </c>
      <c r="I2781" t="str">
        <f t="shared" si="43"/>
        <v>Alta</v>
      </c>
    </row>
    <row r="2782" spans="1:9">
      <c r="A2782" t="s">
        <v>22</v>
      </c>
      <c r="B2782">
        <v>2024</v>
      </c>
      <c r="C2782">
        <v>1</v>
      </c>
      <c r="D2782" t="s">
        <v>9</v>
      </c>
      <c r="E2782" t="s">
        <v>10</v>
      </c>
      <c r="F2782">
        <v>14.8</v>
      </c>
      <c r="G2782">
        <v>70.7</v>
      </c>
      <c r="H2782" t="s">
        <v>13</v>
      </c>
      <c r="I2782" t="str">
        <f t="shared" si="43"/>
        <v>Média</v>
      </c>
    </row>
    <row r="2783" spans="1:9">
      <c r="A2783" t="s">
        <v>41</v>
      </c>
      <c r="B2783">
        <v>2024</v>
      </c>
      <c r="C2783">
        <v>1</v>
      </c>
      <c r="D2783" t="s">
        <v>9</v>
      </c>
      <c r="E2783" t="s">
        <v>10</v>
      </c>
      <c r="F2783">
        <v>14.8</v>
      </c>
      <c r="G2783">
        <v>99.3</v>
      </c>
      <c r="H2783" t="s">
        <v>13</v>
      </c>
      <c r="I2783" t="str">
        <f t="shared" si="43"/>
        <v>Alta</v>
      </c>
    </row>
    <row r="2784" spans="1:9">
      <c r="A2784" t="s">
        <v>61</v>
      </c>
      <c r="B2784">
        <v>2024</v>
      </c>
      <c r="C2784">
        <v>1</v>
      </c>
      <c r="D2784" t="s">
        <v>9</v>
      </c>
      <c r="E2784" t="s">
        <v>10</v>
      </c>
      <c r="F2784">
        <v>14.8</v>
      </c>
      <c r="G2784">
        <v>83.3</v>
      </c>
      <c r="H2784" t="s">
        <v>13</v>
      </c>
      <c r="I2784" t="str">
        <f t="shared" si="43"/>
        <v>Alta</v>
      </c>
    </row>
    <row r="2785" spans="1:9">
      <c r="A2785" t="s">
        <v>135</v>
      </c>
      <c r="B2785">
        <v>2024</v>
      </c>
      <c r="C2785">
        <v>1</v>
      </c>
      <c r="D2785" t="s">
        <v>75</v>
      </c>
      <c r="E2785" t="s">
        <v>76</v>
      </c>
      <c r="F2785">
        <v>14.8</v>
      </c>
      <c r="G2785">
        <v>98.6</v>
      </c>
      <c r="H2785" t="s">
        <v>13</v>
      </c>
      <c r="I2785" t="str">
        <f t="shared" si="43"/>
        <v>Alta</v>
      </c>
    </row>
    <row r="2786" spans="1:9">
      <c r="A2786" t="s">
        <v>61</v>
      </c>
      <c r="B2786">
        <v>2024</v>
      </c>
      <c r="C2786">
        <v>2</v>
      </c>
      <c r="D2786" t="s">
        <v>9</v>
      </c>
      <c r="E2786" t="s">
        <v>10</v>
      </c>
      <c r="F2786">
        <v>14.8</v>
      </c>
      <c r="G2786">
        <v>83.9</v>
      </c>
      <c r="H2786" t="s">
        <v>13</v>
      </c>
      <c r="I2786" t="str">
        <f t="shared" si="43"/>
        <v>Alta</v>
      </c>
    </row>
    <row r="2787" spans="1:9">
      <c r="A2787" t="s">
        <v>61</v>
      </c>
      <c r="B2787">
        <v>2024</v>
      </c>
      <c r="C2787">
        <v>2</v>
      </c>
      <c r="D2787" t="s">
        <v>9</v>
      </c>
      <c r="E2787" t="s">
        <v>14</v>
      </c>
      <c r="F2787">
        <v>14.8</v>
      </c>
      <c r="G2787">
        <v>98.4</v>
      </c>
      <c r="H2787" t="s">
        <v>13</v>
      </c>
      <c r="I2787" t="str">
        <f t="shared" si="43"/>
        <v>Alta</v>
      </c>
    </row>
    <row r="2788" spans="1:9">
      <c r="A2788" t="s">
        <v>147</v>
      </c>
      <c r="B2788">
        <v>2024</v>
      </c>
      <c r="C2788">
        <v>2</v>
      </c>
      <c r="D2788" t="s">
        <v>139</v>
      </c>
      <c r="E2788" t="s">
        <v>10</v>
      </c>
      <c r="F2788">
        <v>14.8</v>
      </c>
      <c r="G2788">
        <v>95.2</v>
      </c>
      <c r="H2788" t="s">
        <v>13</v>
      </c>
      <c r="I2788" t="str">
        <f t="shared" si="43"/>
        <v>Alta</v>
      </c>
    </row>
    <row r="2789" spans="1:9">
      <c r="A2789" t="s">
        <v>171</v>
      </c>
      <c r="B2789">
        <v>2024</v>
      </c>
      <c r="C2789">
        <v>2</v>
      </c>
      <c r="D2789" t="s">
        <v>139</v>
      </c>
      <c r="E2789" t="s">
        <v>10</v>
      </c>
      <c r="F2789">
        <v>14.8</v>
      </c>
      <c r="G2789">
        <v>78.3</v>
      </c>
      <c r="H2789" t="s">
        <v>13</v>
      </c>
      <c r="I2789" t="str">
        <f t="shared" si="43"/>
        <v>Alta</v>
      </c>
    </row>
    <row r="2790" spans="1:9">
      <c r="A2790" t="s">
        <v>257</v>
      </c>
      <c r="B2790">
        <v>2025</v>
      </c>
      <c r="C2790">
        <v>1</v>
      </c>
      <c r="D2790" t="s">
        <v>9</v>
      </c>
      <c r="E2790" t="s">
        <v>10</v>
      </c>
      <c r="F2790">
        <v>14.8</v>
      </c>
      <c r="G2790">
        <v>88.3</v>
      </c>
      <c r="H2790" t="s">
        <v>13</v>
      </c>
      <c r="I2790" t="str">
        <f t="shared" si="43"/>
        <v>Alta</v>
      </c>
    </row>
    <row r="2791" spans="1:9">
      <c r="A2791" t="s">
        <v>266</v>
      </c>
      <c r="B2791">
        <v>2025</v>
      </c>
      <c r="C2791">
        <v>1</v>
      </c>
      <c r="D2791" t="s">
        <v>75</v>
      </c>
      <c r="E2791" t="s">
        <v>78</v>
      </c>
      <c r="F2791">
        <v>14.8</v>
      </c>
      <c r="G2791">
        <v>93.2</v>
      </c>
      <c r="H2791" t="s">
        <v>13</v>
      </c>
      <c r="I2791" t="str">
        <f t="shared" si="43"/>
        <v>Alta</v>
      </c>
    </row>
    <row r="2792" spans="1:9">
      <c r="A2792" t="s">
        <v>219</v>
      </c>
      <c r="B2792">
        <v>2025</v>
      </c>
      <c r="C2792">
        <v>2</v>
      </c>
      <c r="D2792" t="s">
        <v>9</v>
      </c>
      <c r="E2792" t="s">
        <v>14</v>
      </c>
      <c r="F2792">
        <v>14.8</v>
      </c>
      <c r="G2792">
        <v>95.9</v>
      </c>
      <c r="H2792" t="s">
        <v>13</v>
      </c>
      <c r="I2792" t="str">
        <f t="shared" si="43"/>
        <v>Alta</v>
      </c>
    </row>
    <row r="2793" spans="1:9">
      <c r="A2793" t="s">
        <v>233</v>
      </c>
      <c r="B2793">
        <v>2025</v>
      </c>
      <c r="C2793">
        <v>2</v>
      </c>
      <c r="D2793" t="s">
        <v>9</v>
      </c>
      <c r="E2793" t="s">
        <v>14</v>
      </c>
      <c r="F2793">
        <v>14.8</v>
      </c>
      <c r="G2793">
        <v>95.6</v>
      </c>
      <c r="H2793" t="s">
        <v>13</v>
      </c>
      <c r="I2793" t="str">
        <f t="shared" si="43"/>
        <v>Alta</v>
      </c>
    </row>
    <row r="2794" spans="1:9">
      <c r="A2794" t="s">
        <v>281</v>
      </c>
      <c r="B2794">
        <v>2025</v>
      </c>
      <c r="C2794">
        <v>2</v>
      </c>
      <c r="D2794" t="s">
        <v>75</v>
      </c>
      <c r="E2794" t="s">
        <v>76</v>
      </c>
      <c r="F2794">
        <v>14.8</v>
      </c>
      <c r="G2794">
        <v>84.3</v>
      </c>
      <c r="H2794" t="s">
        <v>13</v>
      </c>
      <c r="I2794" t="str">
        <f t="shared" si="43"/>
        <v>Alta</v>
      </c>
    </row>
    <row r="2795" spans="1:9">
      <c r="A2795" t="s">
        <v>336</v>
      </c>
      <c r="B2795">
        <v>2025</v>
      </c>
      <c r="C2795">
        <v>2</v>
      </c>
      <c r="D2795" t="s">
        <v>139</v>
      </c>
      <c r="E2795" t="s">
        <v>140</v>
      </c>
      <c r="F2795">
        <v>14.8</v>
      </c>
      <c r="G2795">
        <v>80.599999999999994</v>
      </c>
      <c r="H2795" t="s">
        <v>13</v>
      </c>
      <c r="I2795" t="str">
        <f t="shared" si="43"/>
        <v>Alta</v>
      </c>
    </row>
    <row r="2796" spans="1:9">
      <c r="A2796" t="s">
        <v>344</v>
      </c>
      <c r="B2796">
        <v>2025</v>
      </c>
      <c r="C2796">
        <v>2</v>
      </c>
      <c r="D2796" t="s">
        <v>139</v>
      </c>
      <c r="E2796" t="s">
        <v>140</v>
      </c>
      <c r="F2796">
        <v>14.8</v>
      </c>
      <c r="G2796">
        <v>99.6</v>
      </c>
      <c r="H2796" t="s">
        <v>13</v>
      </c>
      <c r="I2796" t="str">
        <f t="shared" si="43"/>
        <v>Alta</v>
      </c>
    </row>
    <row r="2797" spans="1:9">
      <c r="A2797" t="s">
        <v>349</v>
      </c>
      <c r="B2797">
        <v>2025</v>
      </c>
      <c r="C2797">
        <v>2</v>
      </c>
      <c r="D2797" t="s">
        <v>139</v>
      </c>
      <c r="E2797" t="s">
        <v>10</v>
      </c>
      <c r="F2797">
        <v>14.8</v>
      </c>
      <c r="G2797">
        <v>72.599999999999994</v>
      </c>
      <c r="H2797" t="s">
        <v>13</v>
      </c>
      <c r="I2797" t="str">
        <f t="shared" si="43"/>
        <v>Média</v>
      </c>
    </row>
    <row r="2798" spans="1:9">
      <c r="A2798" t="s">
        <v>395</v>
      </c>
      <c r="B2798">
        <v>2026</v>
      </c>
      <c r="C2798">
        <v>1</v>
      </c>
      <c r="D2798" t="s">
        <v>9</v>
      </c>
      <c r="E2798" t="s">
        <v>12</v>
      </c>
      <c r="F2798">
        <v>14.8</v>
      </c>
      <c r="G2798">
        <v>98.5</v>
      </c>
      <c r="H2798" t="s">
        <v>13</v>
      </c>
      <c r="I2798" t="str">
        <f t="shared" si="43"/>
        <v>Alta</v>
      </c>
    </row>
    <row r="2799" spans="1:9">
      <c r="A2799" t="s">
        <v>421</v>
      </c>
      <c r="B2799">
        <v>2026</v>
      </c>
      <c r="C2799">
        <v>1</v>
      </c>
      <c r="D2799" t="s">
        <v>9</v>
      </c>
      <c r="E2799" t="s">
        <v>12</v>
      </c>
      <c r="F2799">
        <v>14.8</v>
      </c>
      <c r="G2799">
        <v>75.3</v>
      </c>
      <c r="H2799" t="s">
        <v>13</v>
      </c>
      <c r="I2799" t="str">
        <f t="shared" si="43"/>
        <v>Alta</v>
      </c>
    </row>
    <row r="2800" spans="1:9">
      <c r="A2800" t="s">
        <v>485</v>
      </c>
      <c r="B2800">
        <v>2026</v>
      </c>
      <c r="C2800">
        <v>1</v>
      </c>
      <c r="D2800" t="s">
        <v>75</v>
      </c>
      <c r="E2800" t="s">
        <v>77</v>
      </c>
      <c r="F2800">
        <v>14.8</v>
      </c>
      <c r="G2800">
        <v>87.7</v>
      </c>
      <c r="H2800" t="s">
        <v>13</v>
      </c>
      <c r="I2800" t="str">
        <f t="shared" si="43"/>
        <v>Alta</v>
      </c>
    </row>
    <row r="2801" spans="1:9">
      <c r="A2801" t="s">
        <v>495</v>
      </c>
      <c r="B2801">
        <v>2026</v>
      </c>
      <c r="C2801">
        <v>1</v>
      </c>
      <c r="D2801" t="s">
        <v>75</v>
      </c>
      <c r="E2801" t="s">
        <v>77</v>
      </c>
      <c r="F2801">
        <v>14.8</v>
      </c>
      <c r="G2801">
        <v>78.2</v>
      </c>
      <c r="H2801" t="s">
        <v>13</v>
      </c>
      <c r="I2801" t="str">
        <f t="shared" si="43"/>
        <v>Alta</v>
      </c>
    </row>
    <row r="2802" spans="1:9">
      <c r="A2802" t="s">
        <v>481</v>
      </c>
      <c r="B2802">
        <v>2026</v>
      </c>
      <c r="C2802">
        <v>2</v>
      </c>
      <c r="D2802" t="s">
        <v>75</v>
      </c>
      <c r="E2802" t="s">
        <v>78</v>
      </c>
      <c r="F2802">
        <v>14.8</v>
      </c>
      <c r="G2802">
        <v>85.9</v>
      </c>
      <c r="H2802" t="s">
        <v>13</v>
      </c>
      <c r="I2802" t="str">
        <f t="shared" si="43"/>
        <v>Alta</v>
      </c>
    </row>
    <row r="2803" spans="1:9">
      <c r="A2803" t="s">
        <v>38</v>
      </c>
      <c r="B2803">
        <v>2024</v>
      </c>
      <c r="C2803">
        <v>1</v>
      </c>
      <c r="D2803" t="s">
        <v>9</v>
      </c>
      <c r="E2803" t="s">
        <v>12</v>
      </c>
      <c r="F2803">
        <v>14.9</v>
      </c>
      <c r="G2803">
        <v>45.5</v>
      </c>
      <c r="H2803" t="s">
        <v>13</v>
      </c>
      <c r="I2803" t="str">
        <f t="shared" si="43"/>
        <v>Baixa</v>
      </c>
    </row>
    <row r="2804" spans="1:9">
      <c r="A2804" t="s">
        <v>48</v>
      </c>
      <c r="B2804">
        <v>2024</v>
      </c>
      <c r="C2804">
        <v>1</v>
      </c>
      <c r="D2804" t="s">
        <v>9</v>
      </c>
      <c r="E2804" t="s">
        <v>14</v>
      </c>
      <c r="F2804">
        <v>14.9</v>
      </c>
      <c r="G2804">
        <v>72.7</v>
      </c>
      <c r="H2804" t="s">
        <v>13</v>
      </c>
      <c r="I2804" t="str">
        <f t="shared" si="43"/>
        <v>Média</v>
      </c>
    </row>
    <row r="2805" spans="1:9">
      <c r="A2805" t="s">
        <v>70</v>
      </c>
      <c r="B2805">
        <v>2024</v>
      </c>
      <c r="C2805">
        <v>1</v>
      </c>
      <c r="D2805" t="s">
        <v>9</v>
      </c>
      <c r="E2805" t="s">
        <v>10</v>
      </c>
      <c r="F2805">
        <v>14.9</v>
      </c>
      <c r="G2805">
        <v>72.3</v>
      </c>
      <c r="H2805" t="s">
        <v>13</v>
      </c>
      <c r="I2805" t="str">
        <f t="shared" si="43"/>
        <v>Média</v>
      </c>
    </row>
    <row r="2806" spans="1:9">
      <c r="A2806" t="s">
        <v>80</v>
      </c>
      <c r="B2806">
        <v>2024</v>
      </c>
      <c r="C2806">
        <v>1</v>
      </c>
      <c r="D2806" t="s">
        <v>75</v>
      </c>
      <c r="E2806" t="s">
        <v>78</v>
      </c>
      <c r="F2806">
        <v>14.9</v>
      </c>
      <c r="G2806">
        <v>82.9</v>
      </c>
      <c r="H2806" t="s">
        <v>13</v>
      </c>
      <c r="I2806" t="str">
        <f t="shared" si="43"/>
        <v>Alta</v>
      </c>
    </row>
    <row r="2807" spans="1:9">
      <c r="A2807" t="s">
        <v>82</v>
      </c>
      <c r="B2807">
        <v>2024</v>
      </c>
      <c r="C2807">
        <v>1</v>
      </c>
      <c r="D2807" t="s">
        <v>75</v>
      </c>
      <c r="E2807" t="s">
        <v>77</v>
      </c>
      <c r="F2807">
        <v>14.9</v>
      </c>
      <c r="G2807">
        <v>84.9</v>
      </c>
      <c r="H2807" t="s">
        <v>13</v>
      </c>
      <c r="I2807" t="str">
        <f t="shared" si="43"/>
        <v>Alta</v>
      </c>
    </row>
    <row r="2808" spans="1:9">
      <c r="A2808" t="s">
        <v>103</v>
      </c>
      <c r="B2808">
        <v>2024</v>
      </c>
      <c r="C2808">
        <v>1</v>
      </c>
      <c r="D2808" t="s">
        <v>75</v>
      </c>
      <c r="E2808" t="s">
        <v>78</v>
      </c>
      <c r="F2808">
        <v>14.9</v>
      </c>
      <c r="G2808">
        <v>73.400000000000006</v>
      </c>
      <c r="H2808" t="s">
        <v>13</v>
      </c>
      <c r="I2808" t="str">
        <f t="shared" si="43"/>
        <v>Média</v>
      </c>
    </row>
    <row r="2809" spans="1:9">
      <c r="A2809" t="s">
        <v>135</v>
      </c>
      <c r="B2809">
        <v>2024</v>
      </c>
      <c r="C2809">
        <v>1</v>
      </c>
      <c r="D2809" t="s">
        <v>75</v>
      </c>
      <c r="E2809" t="s">
        <v>77</v>
      </c>
      <c r="F2809">
        <v>14.9</v>
      </c>
      <c r="G2809">
        <v>73</v>
      </c>
      <c r="H2809" t="s">
        <v>13</v>
      </c>
      <c r="I2809" t="str">
        <f t="shared" si="43"/>
        <v>Média</v>
      </c>
    </row>
    <row r="2810" spans="1:9">
      <c r="A2810" t="s">
        <v>149</v>
      </c>
      <c r="B2810">
        <v>2024</v>
      </c>
      <c r="C2810">
        <v>1</v>
      </c>
      <c r="D2810" t="s">
        <v>139</v>
      </c>
      <c r="E2810" t="s">
        <v>140</v>
      </c>
      <c r="F2810">
        <v>14.9</v>
      </c>
      <c r="G2810">
        <v>84.8</v>
      </c>
      <c r="H2810" t="s">
        <v>13</v>
      </c>
      <c r="I2810" t="str">
        <f t="shared" si="43"/>
        <v>Alta</v>
      </c>
    </row>
    <row r="2811" spans="1:9">
      <c r="A2811" t="s">
        <v>20</v>
      </c>
      <c r="B2811">
        <v>2024</v>
      </c>
      <c r="C2811">
        <v>2</v>
      </c>
      <c r="D2811" t="s">
        <v>9</v>
      </c>
      <c r="E2811" t="s">
        <v>14</v>
      </c>
      <c r="F2811">
        <v>14.9</v>
      </c>
      <c r="G2811">
        <v>93.6</v>
      </c>
      <c r="H2811" t="s">
        <v>13</v>
      </c>
      <c r="I2811" t="str">
        <f t="shared" si="43"/>
        <v>Alta</v>
      </c>
    </row>
    <row r="2812" spans="1:9">
      <c r="A2812" t="s">
        <v>28</v>
      </c>
      <c r="B2812">
        <v>2024</v>
      </c>
      <c r="C2812">
        <v>2</v>
      </c>
      <c r="D2812" t="s">
        <v>9</v>
      </c>
      <c r="E2812" t="s">
        <v>14</v>
      </c>
      <c r="F2812">
        <v>14.9</v>
      </c>
      <c r="G2812">
        <v>88.5</v>
      </c>
      <c r="H2812" t="s">
        <v>13</v>
      </c>
      <c r="I2812" t="str">
        <f t="shared" si="43"/>
        <v>Alta</v>
      </c>
    </row>
    <row r="2813" spans="1:9">
      <c r="A2813" t="s">
        <v>30</v>
      </c>
      <c r="B2813">
        <v>2024</v>
      </c>
      <c r="C2813">
        <v>2</v>
      </c>
      <c r="D2813" t="s">
        <v>9</v>
      </c>
      <c r="E2813" t="s">
        <v>10</v>
      </c>
      <c r="F2813">
        <v>14.9</v>
      </c>
      <c r="G2813">
        <v>56.5</v>
      </c>
      <c r="H2813" t="s">
        <v>13</v>
      </c>
      <c r="I2813" t="str">
        <f t="shared" si="43"/>
        <v>Média</v>
      </c>
    </row>
    <row r="2814" spans="1:9">
      <c r="A2814" t="s">
        <v>95</v>
      </c>
      <c r="B2814">
        <v>2024</v>
      </c>
      <c r="C2814">
        <v>2</v>
      </c>
      <c r="D2814" t="s">
        <v>75</v>
      </c>
      <c r="E2814" t="s">
        <v>76</v>
      </c>
      <c r="F2814">
        <v>14.9</v>
      </c>
      <c r="G2814">
        <v>84.3</v>
      </c>
      <c r="H2814" t="s">
        <v>13</v>
      </c>
      <c r="I2814" t="str">
        <f t="shared" si="43"/>
        <v>Alta</v>
      </c>
    </row>
    <row r="2815" spans="1:9">
      <c r="A2815" t="s">
        <v>244</v>
      </c>
      <c r="B2815">
        <v>2025</v>
      </c>
      <c r="C2815">
        <v>1</v>
      </c>
      <c r="D2815" t="s">
        <v>9</v>
      </c>
      <c r="E2815" t="s">
        <v>12</v>
      </c>
      <c r="F2815">
        <v>14.9</v>
      </c>
      <c r="G2815">
        <v>99.6</v>
      </c>
      <c r="H2815" t="s">
        <v>13</v>
      </c>
      <c r="I2815" t="str">
        <f t="shared" si="43"/>
        <v>Alta</v>
      </c>
    </row>
    <row r="2816" spans="1:9">
      <c r="A2816" t="s">
        <v>287</v>
      </c>
      <c r="B2816">
        <v>2025</v>
      </c>
      <c r="C2816">
        <v>1</v>
      </c>
      <c r="D2816" t="s">
        <v>75</v>
      </c>
      <c r="E2816" t="s">
        <v>76</v>
      </c>
      <c r="F2816">
        <v>14.9</v>
      </c>
      <c r="G2816">
        <v>49.6</v>
      </c>
      <c r="H2816" t="s">
        <v>13</v>
      </c>
      <c r="I2816" t="str">
        <f t="shared" si="43"/>
        <v>Baixa</v>
      </c>
    </row>
    <row r="2817" spans="1:9">
      <c r="A2817" t="s">
        <v>343</v>
      </c>
      <c r="B2817">
        <v>2025</v>
      </c>
      <c r="C2817">
        <v>2</v>
      </c>
      <c r="D2817" t="s">
        <v>139</v>
      </c>
      <c r="E2817" t="s">
        <v>141</v>
      </c>
      <c r="F2817">
        <v>14.9</v>
      </c>
      <c r="G2817">
        <v>74.3</v>
      </c>
      <c r="H2817" t="s">
        <v>13</v>
      </c>
      <c r="I2817" t="str">
        <f t="shared" si="43"/>
        <v>Média</v>
      </c>
    </row>
    <row r="2818" spans="1:9">
      <c r="A2818" t="s">
        <v>397</v>
      </c>
      <c r="B2818">
        <v>2026</v>
      </c>
      <c r="C2818">
        <v>1</v>
      </c>
      <c r="D2818" t="s">
        <v>9</v>
      </c>
      <c r="E2818" t="s">
        <v>10</v>
      </c>
      <c r="F2818">
        <v>14.9</v>
      </c>
      <c r="G2818">
        <v>94</v>
      </c>
      <c r="H2818" t="s">
        <v>13</v>
      </c>
      <c r="I2818" t="str">
        <f t="shared" ref="I2818:I2881" si="44">IF(G2818&lt;50,"Baixa",IF(G2818&lt;75,"Média","Alta"))</f>
        <v>Alta</v>
      </c>
    </row>
    <row r="2819" spans="1:9">
      <c r="A2819" t="s">
        <v>420</v>
      </c>
      <c r="B2819">
        <v>2026</v>
      </c>
      <c r="C2819">
        <v>1</v>
      </c>
      <c r="D2819" t="s">
        <v>9</v>
      </c>
      <c r="E2819" t="s">
        <v>10</v>
      </c>
      <c r="F2819">
        <v>14.9</v>
      </c>
      <c r="G2819">
        <v>93.6</v>
      </c>
      <c r="H2819" t="s">
        <v>13</v>
      </c>
      <c r="I2819" t="str">
        <f t="shared" si="44"/>
        <v>Alta</v>
      </c>
    </row>
    <row r="2820" spans="1:9">
      <c r="A2820" t="s">
        <v>491</v>
      </c>
      <c r="B2820">
        <v>2026</v>
      </c>
      <c r="C2820">
        <v>1</v>
      </c>
      <c r="D2820" t="s">
        <v>75</v>
      </c>
      <c r="E2820" t="s">
        <v>76</v>
      </c>
      <c r="F2820">
        <v>14.9</v>
      </c>
      <c r="G2820">
        <v>85.8</v>
      </c>
      <c r="H2820" t="s">
        <v>13</v>
      </c>
      <c r="I2820" t="str">
        <f t="shared" si="44"/>
        <v>Alta</v>
      </c>
    </row>
    <row r="2821" spans="1:9">
      <c r="A2821" t="s">
        <v>493</v>
      </c>
      <c r="B2821">
        <v>2026</v>
      </c>
      <c r="C2821">
        <v>1</v>
      </c>
      <c r="D2821" t="s">
        <v>75</v>
      </c>
      <c r="E2821" t="s">
        <v>76</v>
      </c>
      <c r="F2821">
        <v>14.9</v>
      </c>
      <c r="G2821">
        <v>99.8</v>
      </c>
      <c r="H2821" t="s">
        <v>13</v>
      </c>
      <c r="I2821" t="str">
        <f t="shared" si="44"/>
        <v>Alta</v>
      </c>
    </row>
    <row r="2822" spans="1:9">
      <c r="A2822" t="s">
        <v>552</v>
      </c>
      <c r="B2822">
        <v>2026</v>
      </c>
      <c r="C2822">
        <v>1</v>
      </c>
      <c r="D2822" t="s">
        <v>139</v>
      </c>
      <c r="E2822" t="s">
        <v>140</v>
      </c>
      <c r="F2822">
        <v>14.9</v>
      </c>
      <c r="G2822">
        <v>99.9</v>
      </c>
      <c r="H2822" t="s">
        <v>13</v>
      </c>
      <c r="I2822" t="str">
        <f t="shared" si="44"/>
        <v>Alta</v>
      </c>
    </row>
    <row r="2823" spans="1:9">
      <c r="A2823" t="s">
        <v>431</v>
      </c>
      <c r="B2823">
        <v>2026</v>
      </c>
      <c r="C2823">
        <v>2</v>
      </c>
      <c r="D2823" t="s">
        <v>9</v>
      </c>
      <c r="E2823" t="s">
        <v>12</v>
      </c>
      <c r="F2823">
        <v>14.9</v>
      </c>
      <c r="G2823">
        <v>97.6</v>
      </c>
      <c r="H2823" t="s">
        <v>13</v>
      </c>
      <c r="I2823" t="str">
        <f t="shared" si="44"/>
        <v>Alta</v>
      </c>
    </row>
    <row r="2824" spans="1:9">
      <c r="A2824" t="s">
        <v>489</v>
      </c>
      <c r="B2824">
        <v>2026</v>
      </c>
      <c r="C2824">
        <v>2</v>
      </c>
      <c r="D2824" t="s">
        <v>75</v>
      </c>
      <c r="E2824" t="s">
        <v>76</v>
      </c>
      <c r="F2824">
        <v>14.9</v>
      </c>
      <c r="G2824">
        <v>89.8</v>
      </c>
      <c r="H2824" t="s">
        <v>13</v>
      </c>
      <c r="I2824" t="str">
        <f t="shared" si="44"/>
        <v>Alta</v>
      </c>
    </row>
    <row r="2825" spans="1:9">
      <c r="A2825" t="s">
        <v>512</v>
      </c>
      <c r="B2825">
        <v>2026</v>
      </c>
      <c r="C2825">
        <v>2</v>
      </c>
      <c r="D2825" t="s">
        <v>139</v>
      </c>
      <c r="E2825" t="s">
        <v>141</v>
      </c>
      <c r="F2825">
        <v>14.9</v>
      </c>
      <c r="G2825">
        <v>90.5</v>
      </c>
      <c r="H2825" t="s">
        <v>13</v>
      </c>
      <c r="I2825" t="str">
        <f t="shared" si="44"/>
        <v>Alta</v>
      </c>
    </row>
    <row r="2826" spans="1:9">
      <c r="A2826" t="s">
        <v>61</v>
      </c>
      <c r="B2826">
        <v>2024</v>
      </c>
      <c r="C2826">
        <v>1</v>
      </c>
      <c r="D2826" t="s">
        <v>9</v>
      </c>
      <c r="E2826" t="s">
        <v>14</v>
      </c>
      <c r="F2826">
        <v>15</v>
      </c>
      <c r="G2826">
        <v>98.8</v>
      </c>
      <c r="H2826" t="s">
        <v>13</v>
      </c>
      <c r="I2826" t="str">
        <f t="shared" si="44"/>
        <v>Alta</v>
      </c>
    </row>
    <row r="2827" spans="1:9">
      <c r="A2827" t="s">
        <v>52</v>
      </c>
      <c r="B2827">
        <v>2024</v>
      </c>
      <c r="C2827">
        <v>2</v>
      </c>
      <c r="D2827" t="s">
        <v>9</v>
      </c>
      <c r="E2827" t="s">
        <v>14</v>
      </c>
      <c r="F2827">
        <v>15</v>
      </c>
      <c r="G2827">
        <v>97.4</v>
      </c>
      <c r="H2827" t="s">
        <v>13</v>
      </c>
      <c r="I2827" t="str">
        <f t="shared" si="44"/>
        <v>Alta</v>
      </c>
    </row>
    <row r="2828" spans="1:9">
      <c r="A2828" t="s">
        <v>176</v>
      </c>
      <c r="B2828">
        <v>2024</v>
      </c>
      <c r="C2828">
        <v>2</v>
      </c>
      <c r="D2828" t="s">
        <v>139</v>
      </c>
      <c r="E2828" t="s">
        <v>141</v>
      </c>
      <c r="F2828">
        <v>15</v>
      </c>
      <c r="G2828">
        <v>94.9</v>
      </c>
      <c r="H2828" t="s">
        <v>13</v>
      </c>
      <c r="I2828" t="str">
        <f t="shared" si="44"/>
        <v>Alta</v>
      </c>
    </row>
    <row r="2829" spans="1:9">
      <c r="A2829" t="s">
        <v>187</v>
      </c>
      <c r="B2829">
        <v>2024</v>
      </c>
      <c r="C2829">
        <v>2</v>
      </c>
      <c r="D2829" t="s">
        <v>139</v>
      </c>
      <c r="E2829" t="s">
        <v>141</v>
      </c>
      <c r="F2829">
        <v>15</v>
      </c>
      <c r="G2829">
        <v>83.2</v>
      </c>
      <c r="H2829" t="s">
        <v>13</v>
      </c>
      <c r="I2829" t="str">
        <f t="shared" si="44"/>
        <v>Alta</v>
      </c>
    </row>
    <row r="2830" spans="1:9">
      <c r="A2830" t="s">
        <v>221</v>
      </c>
      <c r="B2830">
        <v>2025</v>
      </c>
      <c r="C2830">
        <v>1</v>
      </c>
      <c r="D2830" t="s">
        <v>9</v>
      </c>
      <c r="E2830" t="s">
        <v>14</v>
      </c>
      <c r="F2830">
        <v>15</v>
      </c>
      <c r="G2830">
        <v>98.8</v>
      </c>
      <c r="H2830" t="s">
        <v>13</v>
      </c>
      <c r="I2830" t="str">
        <f t="shared" si="44"/>
        <v>Alta</v>
      </c>
    </row>
    <row r="2831" spans="1:9">
      <c r="A2831" t="s">
        <v>234</v>
      </c>
      <c r="B2831">
        <v>2025</v>
      </c>
      <c r="C2831">
        <v>1</v>
      </c>
      <c r="D2831" t="s">
        <v>9</v>
      </c>
      <c r="E2831" t="s">
        <v>10</v>
      </c>
      <c r="F2831">
        <v>15</v>
      </c>
      <c r="G2831">
        <v>85.9</v>
      </c>
      <c r="H2831" t="s">
        <v>13</v>
      </c>
      <c r="I2831" t="str">
        <f t="shared" si="44"/>
        <v>Alta</v>
      </c>
    </row>
    <row r="2832" spans="1:9">
      <c r="A2832" t="s">
        <v>241</v>
      </c>
      <c r="B2832">
        <v>2025</v>
      </c>
      <c r="C2832">
        <v>1</v>
      </c>
      <c r="D2832" t="s">
        <v>9</v>
      </c>
      <c r="E2832" t="s">
        <v>12</v>
      </c>
      <c r="F2832">
        <v>15</v>
      </c>
      <c r="G2832">
        <v>94.8</v>
      </c>
      <c r="H2832" t="s">
        <v>13</v>
      </c>
      <c r="I2832" t="str">
        <f t="shared" si="44"/>
        <v>Alta</v>
      </c>
    </row>
    <row r="2833" spans="1:9">
      <c r="A2833" t="s">
        <v>246</v>
      </c>
      <c r="B2833">
        <v>2025</v>
      </c>
      <c r="C2833">
        <v>1</v>
      </c>
      <c r="D2833" t="s">
        <v>9</v>
      </c>
      <c r="E2833" t="s">
        <v>12</v>
      </c>
      <c r="F2833">
        <v>15</v>
      </c>
      <c r="G2833">
        <v>66.5</v>
      </c>
      <c r="H2833" t="s">
        <v>13</v>
      </c>
      <c r="I2833" t="str">
        <f t="shared" si="44"/>
        <v>Média</v>
      </c>
    </row>
    <row r="2834" spans="1:9">
      <c r="A2834" t="s">
        <v>263</v>
      </c>
      <c r="B2834">
        <v>2025</v>
      </c>
      <c r="C2834">
        <v>1</v>
      </c>
      <c r="D2834" t="s">
        <v>75</v>
      </c>
      <c r="E2834" t="s">
        <v>78</v>
      </c>
      <c r="F2834">
        <v>15</v>
      </c>
      <c r="G2834">
        <v>92.3</v>
      </c>
      <c r="H2834" t="s">
        <v>13</v>
      </c>
      <c r="I2834" t="str">
        <f t="shared" si="44"/>
        <v>Alta</v>
      </c>
    </row>
    <row r="2835" spans="1:9">
      <c r="A2835" t="s">
        <v>297</v>
      </c>
      <c r="B2835">
        <v>2025</v>
      </c>
      <c r="C2835">
        <v>1</v>
      </c>
      <c r="D2835" t="s">
        <v>75</v>
      </c>
      <c r="E2835" t="s">
        <v>78</v>
      </c>
      <c r="F2835">
        <v>15</v>
      </c>
      <c r="G2835">
        <v>55.7</v>
      </c>
      <c r="H2835" t="s">
        <v>13</v>
      </c>
      <c r="I2835" t="str">
        <f t="shared" si="44"/>
        <v>Média</v>
      </c>
    </row>
    <row r="2836" spans="1:9">
      <c r="A2836" t="s">
        <v>303</v>
      </c>
      <c r="B2836">
        <v>2025</v>
      </c>
      <c r="C2836">
        <v>1</v>
      </c>
      <c r="D2836" t="s">
        <v>75</v>
      </c>
      <c r="E2836" t="s">
        <v>77</v>
      </c>
      <c r="F2836">
        <v>15</v>
      </c>
      <c r="G2836">
        <v>89.4</v>
      </c>
      <c r="H2836" t="s">
        <v>13</v>
      </c>
      <c r="I2836" t="str">
        <f t="shared" si="44"/>
        <v>Alta</v>
      </c>
    </row>
    <row r="2837" spans="1:9">
      <c r="A2837" t="s">
        <v>314</v>
      </c>
      <c r="B2837">
        <v>2025</v>
      </c>
      <c r="C2837">
        <v>1</v>
      </c>
      <c r="D2837" t="s">
        <v>75</v>
      </c>
      <c r="E2837" t="s">
        <v>77</v>
      </c>
      <c r="F2837">
        <v>15</v>
      </c>
      <c r="G2837">
        <v>83.7</v>
      </c>
      <c r="H2837" t="s">
        <v>13</v>
      </c>
      <c r="I2837" t="str">
        <f t="shared" si="44"/>
        <v>Alta</v>
      </c>
    </row>
    <row r="2838" spans="1:9">
      <c r="A2838" t="s">
        <v>376</v>
      </c>
      <c r="B2838">
        <v>2025</v>
      </c>
      <c r="C2838">
        <v>1</v>
      </c>
      <c r="D2838" t="s">
        <v>139</v>
      </c>
      <c r="E2838" t="s">
        <v>141</v>
      </c>
      <c r="F2838">
        <v>15</v>
      </c>
      <c r="G2838">
        <v>71.2</v>
      </c>
      <c r="H2838" t="s">
        <v>13</v>
      </c>
      <c r="I2838" t="str">
        <f t="shared" si="44"/>
        <v>Média</v>
      </c>
    </row>
    <row r="2839" spans="1:9">
      <c r="A2839" t="s">
        <v>237</v>
      </c>
      <c r="B2839">
        <v>2025</v>
      </c>
      <c r="C2839">
        <v>2</v>
      </c>
      <c r="D2839" t="s">
        <v>9</v>
      </c>
      <c r="E2839" t="s">
        <v>14</v>
      </c>
      <c r="F2839">
        <v>15</v>
      </c>
      <c r="G2839">
        <v>53.7</v>
      </c>
      <c r="H2839" t="s">
        <v>13</v>
      </c>
      <c r="I2839" t="str">
        <f t="shared" si="44"/>
        <v>Média</v>
      </c>
    </row>
    <row r="2840" spans="1:9">
      <c r="A2840" t="s">
        <v>343</v>
      </c>
      <c r="B2840">
        <v>2025</v>
      </c>
      <c r="C2840">
        <v>2</v>
      </c>
      <c r="D2840" t="s">
        <v>139</v>
      </c>
      <c r="E2840" t="s">
        <v>140</v>
      </c>
      <c r="F2840">
        <v>15</v>
      </c>
      <c r="G2840">
        <v>91.9</v>
      </c>
      <c r="H2840" t="s">
        <v>13</v>
      </c>
      <c r="I2840" t="str">
        <f t="shared" si="44"/>
        <v>Alta</v>
      </c>
    </row>
    <row r="2841" spans="1:9">
      <c r="A2841" t="s">
        <v>389</v>
      </c>
      <c r="B2841">
        <v>2026</v>
      </c>
      <c r="C2841">
        <v>1</v>
      </c>
      <c r="D2841" t="s">
        <v>9</v>
      </c>
      <c r="E2841" t="s">
        <v>12</v>
      </c>
      <c r="F2841">
        <v>15</v>
      </c>
      <c r="G2841">
        <v>62.3</v>
      </c>
      <c r="H2841" t="s">
        <v>13</v>
      </c>
      <c r="I2841" t="str">
        <f t="shared" si="44"/>
        <v>Média</v>
      </c>
    </row>
    <row r="2842" spans="1:9">
      <c r="A2842" t="s">
        <v>392</v>
      </c>
      <c r="B2842">
        <v>2026</v>
      </c>
      <c r="C2842">
        <v>1</v>
      </c>
      <c r="D2842" t="s">
        <v>9</v>
      </c>
      <c r="E2842" t="s">
        <v>10</v>
      </c>
      <c r="F2842">
        <v>15</v>
      </c>
      <c r="G2842">
        <v>82.7</v>
      </c>
      <c r="H2842" t="s">
        <v>13</v>
      </c>
      <c r="I2842" t="str">
        <f t="shared" si="44"/>
        <v>Alta</v>
      </c>
    </row>
    <row r="2843" spans="1:9">
      <c r="A2843" t="s">
        <v>451</v>
      </c>
      <c r="B2843">
        <v>2026</v>
      </c>
      <c r="C2843">
        <v>1</v>
      </c>
      <c r="D2843" t="s">
        <v>75</v>
      </c>
      <c r="E2843" t="s">
        <v>77</v>
      </c>
      <c r="F2843">
        <v>15</v>
      </c>
      <c r="G2843">
        <v>90.3</v>
      </c>
      <c r="H2843" t="s">
        <v>13</v>
      </c>
      <c r="I2843" t="str">
        <f t="shared" si="44"/>
        <v>Alta</v>
      </c>
    </row>
    <row r="2844" spans="1:9">
      <c r="A2844" t="s">
        <v>474</v>
      </c>
      <c r="B2844">
        <v>2026</v>
      </c>
      <c r="C2844">
        <v>1</v>
      </c>
      <c r="D2844" t="s">
        <v>75</v>
      </c>
      <c r="E2844" t="s">
        <v>76</v>
      </c>
      <c r="F2844">
        <v>15</v>
      </c>
      <c r="G2844">
        <v>94.6</v>
      </c>
      <c r="H2844" t="s">
        <v>13</v>
      </c>
      <c r="I2844" t="str">
        <f t="shared" si="44"/>
        <v>Alta</v>
      </c>
    </row>
    <row r="2845" spans="1:9">
      <c r="A2845" t="s">
        <v>486</v>
      </c>
      <c r="B2845">
        <v>2026</v>
      </c>
      <c r="C2845">
        <v>1</v>
      </c>
      <c r="D2845" t="s">
        <v>75</v>
      </c>
      <c r="E2845" t="s">
        <v>76</v>
      </c>
      <c r="F2845">
        <v>15</v>
      </c>
      <c r="G2845">
        <v>96.4</v>
      </c>
      <c r="H2845" t="s">
        <v>13</v>
      </c>
      <c r="I2845" t="str">
        <f t="shared" si="44"/>
        <v>Alta</v>
      </c>
    </row>
    <row r="2846" spans="1:9">
      <c r="A2846" t="s">
        <v>487</v>
      </c>
      <c r="B2846">
        <v>2026</v>
      </c>
      <c r="C2846">
        <v>1</v>
      </c>
      <c r="D2846" t="s">
        <v>75</v>
      </c>
      <c r="E2846" t="s">
        <v>78</v>
      </c>
      <c r="F2846">
        <v>15</v>
      </c>
      <c r="G2846">
        <v>98.2</v>
      </c>
      <c r="H2846" t="s">
        <v>13</v>
      </c>
      <c r="I2846" t="str">
        <f t="shared" si="44"/>
        <v>Alta</v>
      </c>
    </row>
    <row r="2847" spans="1:9">
      <c r="A2847" t="s">
        <v>389</v>
      </c>
      <c r="B2847">
        <v>2026</v>
      </c>
      <c r="C2847">
        <v>2</v>
      </c>
      <c r="D2847" t="s">
        <v>9</v>
      </c>
      <c r="E2847" t="s">
        <v>10</v>
      </c>
      <c r="F2847">
        <v>15</v>
      </c>
      <c r="G2847">
        <v>77.400000000000006</v>
      </c>
      <c r="H2847" t="s">
        <v>13</v>
      </c>
      <c r="I2847" t="str">
        <f t="shared" si="44"/>
        <v>Alta</v>
      </c>
    </row>
    <row r="2848" spans="1:9">
      <c r="A2848" t="s">
        <v>394</v>
      </c>
      <c r="B2848">
        <v>2026</v>
      </c>
      <c r="C2848">
        <v>2</v>
      </c>
      <c r="D2848" t="s">
        <v>9</v>
      </c>
      <c r="E2848" t="s">
        <v>14</v>
      </c>
      <c r="F2848">
        <v>15</v>
      </c>
      <c r="G2848">
        <v>98.7</v>
      </c>
      <c r="H2848" t="s">
        <v>13</v>
      </c>
      <c r="I2848" t="str">
        <f t="shared" si="44"/>
        <v>Alta</v>
      </c>
    </row>
    <row r="2849" spans="1:9">
      <c r="A2849" t="s">
        <v>467</v>
      </c>
      <c r="B2849">
        <v>2026</v>
      </c>
      <c r="C2849">
        <v>2</v>
      </c>
      <c r="D2849" t="s">
        <v>75</v>
      </c>
      <c r="E2849" t="s">
        <v>77</v>
      </c>
      <c r="F2849">
        <v>15</v>
      </c>
      <c r="G2849">
        <v>77.599999999999994</v>
      </c>
      <c r="H2849" t="s">
        <v>13</v>
      </c>
      <c r="I2849" t="str">
        <f t="shared" si="44"/>
        <v>Alta</v>
      </c>
    </row>
    <row r="2850" spans="1:9">
      <c r="A2850" t="s">
        <v>470</v>
      </c>
      <c r="B2850">
        <v>2026</v>
      </c>
      <c r="C2850">
        <v>2</v>
      </c>
      <c r="D2850" t="s">
        <v>75</v>
      </c>
      <c r="E2850" t="s">
        <v>76</v>
      </c>
      <c r="F2850">
        <v>15</v>
      </c>
      <c r="G2850">
        <v>79.5</v>
      </c>
      <c r="H2850" t="s">
        <v>13</v>
      </c>
      <c r="I2850" t="str">
        <f t="shared" si="44"/>
        <v>Alta</v>
      </c>
    </row>
    <row r="2851" spans="1:9">
      <c r="A2851" t="s">
        <v>515</v>
      </c>
      <c r="B2851">
        <v>2026</v>
      </c>
      <c r="C2851">
        <v>2</v>
      </c>
      <c r="D2851" t="s">
        <v>139</v>
      </c>
      <c r="E2851" t="s">
        <v>140</v>
      </c>
      <c r="F2851">
        <v>15</v>
      </c>
      <c r="G2851">
        <v>96.4</v>
      </c>
      <c r="H2851" t="s">
        <v>13</v>
      </c>
      <c r="I2851" t="str">
        <f t="shared" si="44"/>
        <v>Alta</v>
      </c>
    </row>
    <row r="2852" spans="1:9">
      <c r="A2852" t="s">
        <v>48</v>
      </c>
      <c r="B2852">
        <v>2024</v>
      </c>
      <c r="C2852">
        <v>1</v>
      </c>
      <c r="D2852" t="s">
        <v>9</v>
      </c>
      <c r="E2852" t="s">
        <v>12</v>
      </c>
      <c r="F2852">
        <v>15.1</v>
      </c>
      <c r="G2852">
        <v>56.9</v>
      </c>
      <c r="H2852" t="s">
        <v>13</v>
      </c>
      <c r="I2852" t="str">
        <f t="shared" si="44"/>
        <v>Média</v>
      </c>
    </row>
    <row r="2853" spans="1:9">
      <c r="A2853" t="s">
        <v>69</v>
      </c>
      <c r="B2853">
        <v>2024</v>
      </c>
      <c r="C2853">
        <v>1</v>
      </c>
      <c r="D2853" t="s">
        <v>9</v>
      </c>
      <c r="E2853" t="s">
        <v>14</v>
      </c>
      <c r="F2853">
        <v>15.1</v>
      </c>
      <c r="G2853">
        <v>69.599999999999994</v>
      </c>
      <c r="H2853" t="s">
        <v>13</v>
      </c>
      <c r="I2853" t="str">
        <f t="shared" si="44"/>
        <v>Média</v>
      </c>
    </row>
    <row r="2854" spans="1:9">
      <c r="A2854" t="s">
        <v>143</v>
      </c>
      <c r="B2854">
        <v>2024</v>
      </c>
      <c r="C2854">
        <v>1</v>
      </c>
      <c r="D2854" t="s">
        <v>139</v>
      </c>
      <c r="E2854" t="s">
        <v>141</v>
      </c>
      <c r="F2854">
        <v>15.1</v>
      </c>
      <c r="G2854">
        <v>91</v>
      </c>
      <c r="H2854" t="s">
        <v>13</v>
      </c>
      <c r="I2854" t="str">
        <f t="shared" si="44"/>
        <v>Alta</v>
      </c>
    </row>
    <row r="2855" spans="1:9">
      <c r="A2855" t="s">
        <v>40</v>
      </c>
      <c r="B2855">
        <v>2024</v>
      </c>
      <c r="C2855">
        <v>2</v>
      </c>
      <c r="D2855" t="s">
        <v>9</v>
      </c>
      <c r="E2855" t="s">
        <v>10</v>
      </c>
      <c r="F2855">
        <v>15.1</v>
      </c>
      <c r="G2855">
        <v>68.8</v>
      </c>
      <c r="H2855" t="s">
        <v>13</v>
      </c>
      <c r="I2855" t="str">
        <f t="shared" si="44"/>
        <v>Média</v>
      </c>
    </row>
    <row r="2856" spans="1:9">
      <c r="A2856" t="s">
        <v>55</v>
      </c>
      <c r="B2856">
        <v>2024</v>
      </c>
      <c r="C2856">
        <v>2</v>
      </c>
      <c r="D2856" t="s">
        <v>9</v>
      </c>
      <c r="E2856" t="s">
        <v>10</v>
      </c>
      <c r="F2856">
        <v>15.1</v>
      </c>
      <c r="G2856">
        <v>93.2</v>
      </c>
      <c r="H2856" t="s">
        <v>13</v>
      </c>
      <c r="I2856" t="str">
        <f t="shared" si="44"/>
        <v>Alta</v>
      </c>
    </row>
    <row r="2857" spans="1:9">
      <c r="A2857" t="s">
        <v>194</v>
      </c>
      <c r="B2857">
        <v>2024</v>
      </c>
      <c r="C2857">
        <v>2</v>
      </c>
      <c r="D2857" t="s">
        <v>139</v>
      </c>
      <c r="E2857" t="s">
        <v>140</v>
      </c>
      <c r="F2857">
        <v>15.1</v>
      </c>
      <c r="G2857">
        <v>93.1</v>
      </c>
      <c r="H2857" t="s">
        <v>13</v>
      </c>
      <c r="I2857" t="str">
        <f t="shared" si="44"/>
        <v>Alta</v>
      </c>
    </row>
    <row r="2858" spans="1:9">
      <c r="A2858" t="s">
        <v>242</v>
      </c>
      <c r="B2858">
        <v>2025</v>
      </c>
      <c r="C2858">
        <v>1</v>
      </c>
      <c r="D2858" t="s">
        <v>9</v>
      </c>
      <c r="E2858" t="s">
        <v>10</v>
      </c>
      <c r="F2858">
        <v>15.1</v>
      </c>
      <c r="G2858">
        <v>90.4</v>
      </c>
      <c r="H2858" t="s">
        <v>13</v>
      </c>
      <c r="I2858" t="str">
        <f t="shared" si="44"/>
        <v>Alta</v>
      </c>
    </row>
    <row r="2859" spans="1:9">
      <c r="A2859" t="s">
        <v>262</v>
      </c>
      <c r="B2859">
        <v>2025</v>
      </c>
      <c r="C2859">
        <v>1</v>
      </c>
      <c r="D2859" t="s">
        <v>75</v>
      </c>
      <c r="E2859" t="s">
        <v>78</v>
      </c>
      <c r="F2859">
        <v>15.1</v>
      </c>
      <c r="G2859">
        <v>89.5</v>
      </c>
      <c r="H2859" t="s">
        <v>13</v>
      </c>
      <c r="I2859" t="str">
        <f t="shared" si="44"/>
        <v>Alta</v>
      </c>
    </row>
    <row r="2860" spans="1:9">
      <c r="A2860" t="s">
        <v>223</v>
      </c>
      <c r="B2860">
        <v>2025</v>
      </c>
      <c r="C2860">
        <v>2</v>
      </c>
      <c r="D2860" t="s">
        <v>9</v>
      </c>
      <c r="E2860" t="s">
        <v>12</v>
      </c>
      <c r="F2860">
        <v>15.1</v>
      </c>
      <c r="G2860">
        <v>61.4</v>
      </c>
      <c r="H2860" t="s">
        <v>13</v>
      </c>
      <c r="I2860" t="str">
        <f t="shared" si="44"/>
        <v>Média</v>
      </c>
    </row>
    <row r="2861" spans="1:9">
      <c r="A2861" t="s">
        <v>238</v>
      </c>
      <c r="B2861">
        <v>2025</v>
      </c>
      <c r="C2861">
        <v>2</v>
      </c>
      <c r="D2861" t="s">
        <v>9</v>
      </c>
      <c r="E2861" t="s">
        <v>10</v>
      </c>
      <c r="F2861">
        <v>15.1</v>
      </c>
      <c r="G2861">
        <v>74.5</v>
      </c>
      <c r="H2861" t="s">
        <v>13</v>
      </c>
      <c r="I2861" t="str">
        <f t="shared" si="44"/>
        <v>Média</v>
      </c>
    </row>
    <row r="2862" spans="1:9">
      <c r="A2862" t="s">
        <v>261</v>
      </c>
      <c r="B2862">
        <v>2025</v>
      </c>
      <c r="C2862">
        <v>2</v>
      </c>
      <c r="D2862" t="s">
        <v>75</v>
      </c>
      <c r="E2862" t="s">
        <v>76</v>
      </c>
      <c r="F2862">
        <v>15.1</v>
      </c>
      <c r="G2862">
        <v>95.4</v>
      </c>
      <c r="H2862" t="s">
        <v>13</v>
      </c>
      <c r="I2862" t="str">
        <f t="shared" si="44"/>
        <v>Alta</v>
      </c>
    </row>
    <row r="2863" spans="1:9">
      <c r="A2863" t="s">
        <v>407</v>
      </c>
      <c r="B2863">
        <v>2026</v>
      </c>
      <c r="C2863">
        <v>1</v>
      </c>
      <c r="D2863" t="s">
        <v>9</v>
      </c>
      <c r="E2863" t="s">
        <v>10</v>
      </c>
      <c r="F2863">
        <v>15.1</v>
      </c>
      <c r="G2863">
        <v>99</v>
      </c>
      <c r="H2863" t="s">
        <v>13</v>
      </c>
      <c r="I2863" t="str">
        <f t="shared" si="44"/>
        <v>Alta</v>
      </c>
    </row>
    <row r="2864" spans="1:9">
      <c r="A2864" t="s">
        <v>459</v>
      </c>
      <c r="B2864">
        <v>2026</v>
      </c>
      <c r="C2864">
        <v>1</v>
      </c>
      <c r="D2864" t="s">
        <v>75</v>
      </c>
      <c r="E2864" t="s">
        <v>76</v>
      </c>
      <c r="F2864">
        <v>15.1</v>
      </c>
      <c r="G2864">
        <v>96</v>
      </c>
      <c r="H2864" t="s">
        <v>13</v>
      </c>
      <c r="I2864" t="str">
        <f t="shared" si="44"/>
        <v>Alta</v>
      </c>
    </row>
    <row r="2865" spans="1:9">
      <c r="A2865" t="s">
        <v>529</v>
      </c>
      <c r="B2865">
        <v>2026</v>
      </c>
      <c r="C2865">
        <v>1</v>
      </c>
      <c r="D2865" t="s">
        <v>139</v>
      </c>
      <c r="E2865" t="s">
        <v>141</v>
      </c>
      <c r="F2865">
        <v>15.1</v>
      </c>
      <c r="G2865">
        <v>99.1</v>
      </c>
      <c r="H2865" t="s">
        <v>13</v>
      </c>
      <c r="I2865" t="str">
        <f t="shared" si="44"/>
        <v>Alta</v>
      </c>
    </row>
    <row r="2866" spans="1:9">
      <c r="A2866" t="s">
        <v>555</v>
      </c>
      <c r="B2866">
        <v>2026</v>
      </c>
      <c r="C2866">
        <v>1</v>
      </c>
      <c r="D2866" t="s">
        <v>139</v>
      </c>
      <c r="E2866" t="s">
        <v>141</v>
      </c>
      <c r="F2866">
        <v>15.1</v>
      </c>
      <c r="G2866">
        <v>75.400000000000006</v>
      </c>
      <c r="H2866" t="s">
        <v>13</v>
      </c>
      <c r="I2866" t="str">
        <f t="shared" si="44"/>
        <v>Alta</v>
      </c>
    </row>
    <row r="2867" spans="1:9">
      <c r="A2867" t="s">
        <v>386</v>
      </c>
      <c r="B2867">
        <v>2026</v>
      </c>
      <c r="C2867">
        <v>2</v>
      </c>
      <c r="D2867" t="s">
        <v>9</v>
      </c>
      <c r="E2867" t="s">
        <v>12</v>
      </c>
      <c r="F2867">
        <v>15.1</v>
      </c>
      <c r="G2867">
        <v>78.5</v>
      </c>
      <c r="H2867" t="s">
        <v>13</v>
      </c>
      <c r="I2867" t="str">
        <f t="shared" si="44"/>
        <v>Alta</v>
      </c>
    </row>
    <row r="2868" spans="1:9">
      <c r="A2868" t="s">
        <v>412</v>
      </c>
      <c r="B2868">
        <v>2026</v>
      </c>
      <c r="C2868">
        <v>2</v>
      </c>
      <c r="D2868" t="s">
        <v>9</v>
      </c>
      <c r="E2868" t="s">
        <v>14</v>
      </c>
      <c r="F2868">
        <v>15.1</v>
      </c>
      <c r="G2868">
        <v>76.900000000000006</v>
      </c>
      <c r="H2868" t="s">
        <v>13</v>
      </c>
      <c r="I2868" t="str">
        <f t="shared" si="44"/>
        <v>Alta</v>
      </c>
    </row>
    <row r="2869" spans="1:9">
      <c r="A2869" t="s">
        <v>56</v>
      </c>
      <c r="B2869">
        <v>2024</v>
      </c>
      <c r="C2869">
        <v>1</v>
      </c>
      <c r="D2869" t="s">
        <v>9</v>
      </c>
      <c r="E2869" t="s">
        <v>12</v>
      </c>
      <c r="F2869">
        <v>15.2</v>
      </c>
      <c r="G2869">
        <v>85.4</v>
      </c>
      <c r="H2869" t="s">
        <v>13</v>
      </c>
      <c r="I2869" t="str">
        <f t="shared" si="44"/>
        <v>Alta</v>
      </c>
    </row>
    <row r="2870" spans="1:9">
      <c r="A2870" t="s">
        <v>157</v>
      </c>
      <c r="B2870">
        <v>2024</v>
      </c>
      <c r="C2870">
        <v>1</v>
      </c>
      <c r="D2870" t="s">
        <v>139</v>
      </c>
      <c r="E2870" t="s">
        <v>140</v>
      </c>
      <c r="F2870">
        <v>15.2</v>
      </c>
      <c r="G2870">
        <v>87</v>
      </c>
      <c r="H2870" t="s">
        <v>13</v>
      </c>
      <c r="I2870" t="str">
        <f t="shared" si="44"/>
        <v>Alta</v>
      </c>
    </row>
    <row r="2871" spans="1:9">
      <c r="A2871" t="s">
        <v>116</v>
      </c>
      <c r="B2871">
        <v>2024</v>
      </c>
      <c r="C2871">
        <v>2</v>
      </c>
      <c r="D2871" t="s">
        <v>75</v>
      </c>
      <c r="E2871" t="s">
        <v>76</v>
      </c>
      <c r="F2871">
        <v>15.2</v>
      </c>
      <c r="G2871">
        <v>83.1</v>
      </c>
      <c r="H2871" t="s">
        <v>13</v>
      </c>
      <c r="I2871" t="str">
        <f t="shared" si="44"/>
        <v>Alta</v>
      </c>
    </row>
    <row r="2872" spans="1:9">
      <c r="A2872" t="s">
        <v>251</v>
      </c>
      <c r="B2872">
        <v>2025</v>
      </c>
      <c r="C2872">
        <v>1</v>
      </c>
      <c r="D2872" t="s">
        <v>9</v>
      </c>
      <c r="E2872" t="s">
        <v>12</v>
      </c>
      <c r="F2872">
        <v>15.2</v>
      </c>
      <c r="G2872">
        <v>83.6</v>
      </c>
      <c r="H2872" t="s">
        <v>13</v>
      </c>
      <c r="I2872" t="str">
        <f t="shared" si="44"/>
        <v>Alta</v>
      </c>
    </row>
    <row r="2873" spans="1:9">
      <c r="A2873" t="s">
        <v>247</v>
      </c>
      <c r="B2873">
        <v>2025</v>
      </c>
      <c r="C2873">
        <v>2</v>
      </c>
      <c r="D2873" t="s">
        <v>9</v>
      </c>
      <c r="E2873" t="s">
        <v>14</v>
      </c>
      <c r="F2873">
        <v>15.2</v>
      </c>
      <c r="G2873">
        <v>97</v>
      </c>
      <c r="H2873" t="s">
        <v>13</v>
      </c>
      <c r="I2873" t="str">
        <f t="shared" si="44"/>
        <v>Alta</v>
      </c>
    </row>
    <row r="2874" spans="1:9">
      <c r="A2874" t="s">
        <v>285</v>
      </c>
      <c r="B2874">
        <v>2025</v>
      </c>
      <c r="C2874">
        <v>2</v>
      </c>
      <c r="D2874" t="s">
        <v>75</v>
      </c>
      <c r="E2874" t="s">
        <v>76</v>
      </c>
      <c r="F2874">
        <v>15.2</v>
      </c>
      <c r="G2874">
        <v>98.3</v>
      </c>
      <c r="H2874" t="s">
        <v>13</v>
      </c>
      <c r="I2874" t="str">
        <f t="shared" si="44"/>
        <v>Alta</v>
      </c>
    </row>
    <row r="2875" spans="1:9">
      <c r="A2875" t="s">
        <v>339</v>
      </c>
      <c r="B2875">
        <v>2025</v>
      </c>
      <c r="C2875">
        <v>2</v>
      </c>
      <c r="D2875" t="s">
        <v>139</v>
      </c>
      <c r="E2875" t="s">
        <v>140</v>
      </c>
      <c r="F2875">
        <v>15.2</v>
      </c>
      <c r="G2875">
        <v>99.9</v>
      </c>
      <c r="H2875" t="s">
        <v>13</v>
      </c>
      <c r="I2875" t="str">
        <f t="shared" si="44"/>
        <v>Alta</v>
      </c>
    </row>
    <row r="2876" spans="1:9">
      <c r="A2876" t="s">
        <v>521</v>
      </c>
      <c r="B2876">
        <v>2026</v>
      </c>
      <c r="C2876">
        <v>1</v>
      </c>
      <c r="D2876" t="s">
        <v>139</v>
      </c>
      <c r="E2876" t="s">
        <v>140</v>
      </c>
      <c r="F2876">
        <v>15.2</v>
      </c>
      <c r="G2876">
        <v>92.2</v>
      </c>
      <c r="H2876" t="s">
        <v>13</v>
      </c>
      <c r="I2876" t="str">
        <f t="shared" si="44"/>
        <v>Alta</v>
      </c>
    </row>
    <row r="2877" spans="1:9">
      <c r="A2877" t="s">
        <v>557</v>
      </c>
      <c r="B2877">
        <v>2026</v>
      </c>
      <c r="C2877">
        <v>1</v>
      </c>
      <c r="D2877" t="s">
        <v>139</v>
      </c>
      <c r="E2877" t="s">
        <v>10</v>
      </c>
      <c r="F2877">
        <v>15.2</v>
      </c>
      <c r="G2877">
        <v>78.400000000000006</v>
      </c>
      <c r="H2877" t="s">
        <v>13</v>
      </c>
      <c r="I2877" t="str">
        <f t="shared" si="44"/>
        <v>Alta</v>
      </c>
    </row>
    <row r="2878" spans="1:9">
      <c r="A2878" t="s">
        <v>417</v>
      </c>
      <c r="B2878">
        <v>2026</v>
      </c>
      <c r="C2878">
        <v>2</v>
      </c>
      <c r="D2878" t="s">
        <v>9</v>
      </c>
      <c r="E2878" t="s">
        <v>10</v>
      </c>
      <c r="F2878">
        <v>15.2</v>
      </c>
      <c r="G2878">
        <v>81.2</v>
      </c>
      <c r="H2878" t="s">
        <v>13</v>
      </c>
      <c r="I2878" t="str">
        <f t="shared" si="44"/>
        <v>Alta</v>
      </c>
    </row>
    <row r="2879" spans="1:9">
      <c r="A2879" t="s">
        <v>465</v>
      </c>
      <c r="B2879">
        <v>2026</v>
      </c>
      <c r="C2879">
        <v>2</v>
      </c>
      <c r="D2879" t="s">
        <v>75</v>
      </c>
      <c r="E2879" t="s">
        <v>77</v>
      </c>
      <c r="F2879">
        <v>15.2</v>
      </c>
      <c r="G2879">
        <v>67.8</v>
      </c>
      <c r="H2879" t="s">
        <v>13</v>
      </c>
      <c r="I2879" t="str">
        <f t="shared" si="44"/>
        <v>Média</v>
      </c>
    </row>
    <row r="2880" spans="1:9">
      <c r="A2880" t="s">
        <v>505</v>
      </c>
      <c r="B2880">
        <v>2026</v>
      </c>
      <c r="C2880">
        <v>2</v>
      </c>
      <c r="D2880" t="s">
        <v>139</v>
      </c>
      <c r="E2880" t="s">
        <v>140</v>
      </c>
      <c r="F2880">
        <v>15.2</v>
      </c>
      <c r="G2880">
        <v>70.400000000000006</v>
      </c>
      <c r="H2880" t="s">
        <v>13</v>
      </c>
      <c r="I2880" t="str">
        <f t="shared" si="44"/>
        <v>Média</v>
      </c>
    </row>
    <row r="2881" spans="1:9">
      <c r="A2881" t="s">
        <v>113</v>
      </c>
      <c r="B2881">
        <v>2024</v>
      </c>
      <c r="C2881">
        <v>1</v>
      </c>
      <c r="D2881" t="s">
        <v>75</v>
      </c>
      <c r="E2881" t="s">
        <v>77</v>
      </c>
      <c r="F2881">
        <v>15.3</v>
      </c>
      <c r="G2881">
        <v>92.7</v>
      </c>
      <c r="H2881" t="s">
        <v>13</v>
      </c>
      <c r="I2881" t="str">
        <f t="shared" si="44"/>
        <v>Alta</v>
      </c>
    </row>
    <row r="2882" spans="1:9">
      <c r="A2882" t="s">
        <v>127</v>
      </c>
      <c r="B2882">
        <v>2024</v>
      </c>
      <c r="C2882">
        <v>1</v>
      </c>
      <c r="D2882" t="s">
        <v>75</v>
      </c>
      <c r="E2882" t="s">
        <v>78</v>
      </c>
      <c r="F2882">
        <v>15.3</v>
      </c>
      <c r="G2882">
        <v>81.5</v>
      </c>
      <c r="H2882" t="s">
        <v>13</v>
      </c>
      <c r="I2882" t="str">
        <f t="shared" ref="I2882:I2945" si="45">IF(G2882&lt;50,"Baixa",IF(G2882&lt;75,"Média","Alta"))</f>
        <v>Alta</v>
      </c>
    </row>
    <row r="2883" spans="1:9">
      <c r="A2883" t="s">
        <v>136</v>
      </c>
      <c r="B2883">
        <v>2024</v>
      </c>
      <c r="C2883">
        <v>1</v>
      </c>
      <c r="D2883" t="s">
        <v>75</v>
      </c>
      <c r="E2883" t="s">
        <v>78</v>
      </c>
      <c r="F2883">
        <v>15.3</v>
      </c>
      <c r="G2883">
        <v>84.6</v>
      </c>
      <c r="H2883" t="s">
        <v>13</v>
      </c>
      <c r="I2883" t="str">
        <f t="shared" si="45"/>
        <v>Alta</v>
      </c>
    </row>
    <row r="2884" spans="1:9">
      <c r="A2884" t="s">
        <v>144</v>
      </c>
      <c r="B2884">
        <v>2024</v>
      </c>
      <c r="C2884">
        <v>1</v>
      </c>
      <c r="D2884" t="s">
        <v>139</v>
      </c>
      <c r="E2884" t="s">
        <v>10</v>
      </c>
      <c r="F2884">
        <v>15.3</v>
      </c>
      <c r="G2884">
        <v>91.8</v>
      </c>
      <c r="H2884" t="s">
        <v>13</v>
      </c>
      <c r="I2884" t="str">
        <f t="shared" si="45"/>
        <v>Alta</v>
      </c>
    </row>
    <row r="2885" spans="1:9">
      <c r="A2885" t="s">
        <v>28</v>
      </c>
      <c r="B2885">
        <v>2024</v>
      </c>
      <c r="C2885">
        <v>2</v>
      </c>
      <c r="D2885" t="s">
        <v>9</v>
      </c>
      <c r="E2885" t="s">
        <v>12</v>
      </c>
      <c r="F2885">
        <v>15.3</v>
      </c>
      <c r="G2885">
        <v>72.099999999999994</v>
      </c>
      <c r="H2885" t="s">
        <v>13</v>
      </c>
      <c r="I2885" t="str">
        <f t="shared" si="45"/>
        <v>Média</v>
      </c>
    </row>
    <row r="2886" spans="1:9">
      <c r="A2886" t="s">
        <v>217</v>
      </c>
      <c r="B2886">
        <v>2025</v>
      </c>
      <c r="C2886">
        <v>1</v>
      </c>
      <c r="D2886" t="s">
        <v>9</v>
      </c>
      <c r="E2886" t="s">
        <v>12</v>
      </c>
      <c r="F2886">
        <v>15.3</v>
      </c>
      <c r="G2886">
        <v>98.5</v>
      </c>
      <c r="H2886" t="s">
        <v>13</v>
      </c>
      <c r="I2886" t="str">
        <f t="shared" si="45"/>
        <v>Alta</v>
      </c>
    </row>
    <row r="2887" spans="1:9">
      <c r="A2887" t="s">
        <v>273</v>
      </c>
      <c r="B2887">
        <v>2025</v>
      </c>
      <c r="C2887">
        <v>1</v>
      </c>
      <c r="D2887" t="s">
        <v>75</v>
      </c>
      <c r="E2887" t="s">
        <v>78</v>
      </c>
      <c r="F2887">
        <v>15.3</v>
      </c>
      <c r="G2887">
        <v>84.3</v>
      </c>
      <c r="H2887" t="s">
        <v>13</v>
      </c>
      <c r="I2887" t="str">
        <f t="shared" si="45"/>
        <v>Alta</v>
      </c>
    </row>
    <row r="2888" spans="1:9">
      <c r="A2888" t="s">
        <v>276</v>
      </c>
      <c r="B2888">
        <v>2025</v>
      </c>
      <c r="C2888">
        <v>1</v>
      </c>
      <c r="D2888" t="s">
        <v>75</v>
      </c>
      <c r="E2888" t="s">
        <v>78</v>
      </c>
      <c r="F2888">
        <v>15.3</v>
      </c>
      <c r="G2888">
        <v>78.400000000000006</v>
      </c>
      <c r="H2888" t="s">
        <v>13</v>
      </c>
      <c r="I2888" t="str">
        <f t="shared" si="45"/>
        <v>Alta</v>
      </c>
    </row>
    <row r="2889" spans="1:9">
      <c r="A2889" t="s">
        <v>276</v>
      </c>
      <c r="B2889">
        <v>2025</v>
      </c>
      <c r="C2889">
        <v>2</v>
      </c>
      <c r="D2889" t="s">
        <v>75</v>
      </c>
      <c r="E2889" t="s">
        <v>77</v>
      </c>
      <c r="F2889">
        <v>15.3</v>
      </c>
      <c r="G2889">
        <v>66.2</v>
      </c>
      <c r="H2889" t="s">
        <v>13</v>
      </c>
      <c r="I2889" t="str">
        <f t="shared" si="45"/>
        <v>Média</v>
      </c>
    </row>
    <row r="2890" spans="1:9">
      <c r="A2890" t="s">
        <v>383</v>
      </c>
      <c r="B2890">
        <v>2026</v>
      </c>
      <c r="C2890">
        <v>1</v>
      </c>
      <c r="D2890" t="s">
        <v>9</v>
      </c>
      <c r="E2890" t="s">
        <v>14</v>
      </c>
      <c r="F2890">
        <v>15.3</v>
      </c>
      <c r="G2890">
        <v>99.5</v>
      </c>
      <c r="H2890" t="s">
        <v>13</v>
      </c>
      <c r="I2890" t="str">
        <f t="shared" si="45"/>
        <v>Alta</v>
      </c>
    </row>
    <row r="2891" spans="1:9">
      <c r="A2891" t="s">
        <v>458</v>
      </c>
      <c r="B2891">
        <v>2026</v>
      </c>
      <c r="C2891">
        <v>1</v>
      </c>
      <c r="D2891" t="s">
        <v>75</v>
      </c>
      <c r="E2891" t="s">
        <v>76</v>
      </c>
      <c r="F2891">
        <v>15.3</v>
      </c>
      <c r="G2891">
        <v>91.5</v>
      </c>
      <c r="H2891" t="s">
        <v>13</v>
      </c>
      <c r="I2891" t="str">
        <f t="shared" si="45"/>
        <v>Alta</v>
      </c>
    </row>
    <row r="2892" spans="1:9">
      <c r="A2892" t="s">
        <v>486</v>
      </c>
      <c r="B2892">
        <v>2026</v>
      </c>
      <c r="C2892">
        <v>2</v>
      </c>
      <c r="D2892" t="s">
        <v>75</v>
      </c>
      <c r="E2892" t="s">
        <v>77</v>
      </c>
      <c r="F2892">
        <v>15.3</v>
      </c>
      <c r="G2892">
        <v>87.7</v>
      </c>
      <c r="H2892" t="s">
        <v>13</v>
      </c>
      <c r="I2892" t="str">
        <f t="shared" si="45"/>
        <v>Alta</v>
      </c>
    </row>
    <row r="2893" spans="1:9">
      <c r="A2893" t="s">
        <v>24</v>
      </c>
      <c r="B2893">
        <v>2024</v>
      </c>
      <c r="C2893">
        <v>1</v>
      </c>
      <c r="D2893" t="s">
        <v>9</v>
      </c>
      <c r="E2893" t="s">
        <v>14</v>
      </c>
      <c r="F2893">
        <v>15.4</v>
      </c>
      <c r="G2893">
        <v>53.3</v>
      </c>
      <c r="H2893" t="s">
        <v>13</v>
      </c>
      <c r="I2893" t="str">
        <f t="shared" si="45"/>
        <v>Média</v>
      </c>
    </row>
    <row r="2894" spans="1:9">
      <c r="A2894" t="s">
        <v>123</v>
      </c>
      <c r="B2894">
        <v>2024</v>
      </c>
      <c r="C2894">
        <v>1</v>
      </c>
      <c r="D2894" t="s">
        <v>75</v>
      </c>
      <c r="E2894" t="s">
        <v>76</v>
      </c>
      <c r="F2894">
        <v>15.4</v>
      </c>
      <c r="G2894">
        <v>75.400000000000006</v>
      </c>
      <c r="H2894" t="s">
        <v>13</v>
      </c>
      <c r="I2894" t="str">
        <f t="shared" si="45"/>
        <v>Alta</v>
      </c>
    </row>
    <row r="2895" spans="1:9">
      <c r="A2895" t="s">
        <v>193</v>
      </c>
      <c r="B2895">
        <v>2024</v>
      </c>
      <c r="C2895">
        <v>1</v>
      </c>
      <c r="D2895" t="s">
        <v>139</v>
      </c>
      <c r="E2895" t="s">
        <v>10</v>
      </c>
      <c r="F2895">
        <v>15.4</v>
      </c>
      <c r="G2895">
        <v>94.4</v>
      </c>
      <c r="H2895" t="s">
        <v>13</v>
      </c>
      <c r="I2895" t="str">
        <f t="shared" si="45"/>
        <v>Alta</v>
      </c>
    </row>
    <row r="2896" spans="1:9">
      <c r="A2896" t="s">
        <v>98</v>
      </c>
      <c r="B2896">
        <v>2024</v>
      </c>
      <c r="C2896">
        <v>2</v>
      </c>
      <c r="D2896" t="s">
        <v>75</v>
      </c>
      <c r="E2896" t="s">
        <v>76</v>
      </c>
      <c r="F2896">
        <v>15.4</v>
      </c>
      <c r="G2896">
        <v>96.6</v>
      </c>
      <c r="H2896" t="s">
        <v>13</v>
      </c>
      <c r="I2896" t="str">
        <f t="shared" si="45"/>
        <v>Alta</v>
      </c>
    </row>
    <row r="2897" spans="1:9">
      <c r="A2897" t="s">
        <v>160</v>
      </c>
      <c r="B2897">
        <v>2024</v>
      </c>
      <c r="C2897">
        <v>2</v>
      </c>
      <c r="D2897" t="s">
        <v>139</v>
      </c>
      <c r="E2897" t="s">
        <v>140</v>
      </c>
      <c r="F2897">
        <v>15.4</v>
      </c>
      <c r="G2897">
        <v>88.4</v>
      </c>
      <c r="H2897" t="s">
        <v>13</v>
      </c>
      <c r="I2897" t="str">
        <f t="shared" si="45"/>
        <v>Alta</v>
      </c>
    </row>
    <row r="2898" spans="1:9">
      <c r="A2898" t="s">
        <v>202</v>
      </c>
      <c r="B2898">
        <v>2025</v>
      </c>
      <c r="C2898">
        <v>1</v>
      </c>
      <c r="D2898" t="s">
        <v>9</v>
      </c>
      <c r="E2898" t="s">
        <v>14</v>
      </c>
      <c r="F2898">
        <v>15.4</v>
      </c>
      <c r="G2898">
        <v>95</v>
      </c>
      <c r="H2898" t="s">
        <v>13</v>
      </c>
      <c r="I2898" t="str">
        <f t="shared" si="45"/>
        <v>Alta</v>
      </c>
    </row>
    <row r="2899" spans="1:9">
      <c r="A2899" t="s">
        <v>246</v>
      </c>
      <c r="B2899">
        <v>2025</v>
      </c>
      <c r="C2899">
        <v>1</v>
      </c>
      <c r="D2899" t="s">
        <v>9</v>
      </c>
      <c r="E2899" t="s">
        <v>14</v>
      </c>
      <c r="F2899">
        <v>15.4</v>
      </c>
      <c r="G2899">
        <v>90.4</v>
      </c>
      <c r="H2899" t="s">
        <v>13</v>
      </c>
      <c r="I2899" t="str">
        <f t="shared" si="45"/>
        <v>Alta</v>
      </c>
    </row>
    <row r="2900" spans="1:9">
      <c r="A2900" t="s">
        <v>252</v>
      </c>
      <c r="B2900">
        <v>2025</v>
      </c>
      <c r="C2900">
        <v>1</v>
      </c>
      <c r="D2900" t="s">
        <v>9</v>
      </c>
      <c r="E2900" t="s">
        <v>10</v>
      </c>
      <c r="F2900">
        <v>15.4</v>
      </c>
      <c r="G2900">
        <v>75.599999999999994</v>
      </c>
      <c r="H2900" t="s">
        <v>13</v>
      </c>
      <c r="I2900" t="str">
        <f t="shared" si="45"/>
        <v>Alta</v>
      </c>
    </row>
    <row r="2901" spans="1:9">
      <c r="A2901" t="s">
        <v>300</v>
      </c>
      <c r="B2901">
        <v>2025</v>
      </c>
      <c r="C2901">
        <v>1</v>
      </c>
      <c r="D2901" t="s">
        <v>75</v>
      </c>
      <c r="E2901" t="s">
        <v>76</v>
      </c>
      <c r="F2901">
        <v>15.4</v>
      </c>
      <c r="G2901">
        <v>79.099999999999994</v>
      </c>
      <c r="H2901" t="s">
        <v>13</v>
      </c>
      <c r="I2901" t="str">
        <f t="shared" si="45"/>
        <v>Alta</v>
      </c>
    </row>
    <row r="2902" spans="1:9">
      <c r="A2902" t="s">
        <v>285</v>
      </c>
      <c r="B2902">
        <v>2025</v>
      </c>
      <c r="C2902">
        <v>2</v>
      </c>
      <c r="D2902" t="s">
        <v>75</v>
      </c>
      <c r="E2902" t="s">
        <v>77</v>
      </c>
      <c r="F2902">
        <v>15.4</v>
      </c>
      <c r="G2902">
        <v>95.7</v>
      </c>
      <c r="H2902" t="s">
        <v>13</v>
      </c>
      <c r="I2902" t="str">
        <f t="shared" si="45"/>
        <v>Alta</v>
      </c>
    </row>
    <row r="2903" spans="1:9">
      <c r="A2903" t="s">
        <v>290</v>
      </c>
      <c r="B2903">
        <v>2025</v>
      </c>
      <c r="C2903">
        <v>2</v>
      </c>
      <c r="D2903" t="s">
        <v>75</v>
      </c>
      <c r="E2903" t="s">
        <v>78</v>
      </c>
      <c r="F2903">
        <v>15.4</v>
      </c>
      <c r="G2903">
        <v>96.5</v>
      </c>
      <c r="H2903" t="s">
        <v>13</v>
      </c>
      <c r="I2903" t="str">
        <f t="shared" si="45"/>
        <v>Alta</v>
      </c>
    </row>
    <row r="2904" spans="1:9">
      <c r="A2904" t="s">
        <v>304</v>
      </c>
      <c r="B2904">
        <v>2025</v>
      </c>
      <c r="C2904">
        <v>2</v>
      </c>
      <c r="D2904" t="s">
        <v>75</v>
      </c>
      <c r="E2904" t="s">
        <v>77</v>
      </c>
      <c r="F2904">
        <v>15.4</v>
      </c>
      <c r="G2904">
        <v>98.3</v>
      </c>
      <c r="H2904" t="s">
        <v>13</v>
      </c>
      <c r="I2904" t="str">
        <f t="shared" si="45"/>
        <v>Alta</v>
      </c>
    </row>
    <row r="2905" spans="1:9">
      <c r="A2905" t="s">
        <v>337</v>
      </c>
      <c r="B2905">
        <v>2025</v>
      </c>
      <c r="C2905">
        <v>2</v>
      </c>
      <c r="D2905" t="s">
        <v>139</v>
      </c>
      <c r="E2905" t="s">
        <v>140</v>
      </c>
      <c r="F2905">
        <v>15.4</v>
      </c>
      <c r="G2905">
        <v>88.4</v>
      </c>
      <c r="H2905" t="s">
        <v>13</v>
      </c>
      <c r="I2905" t="str">
        <f t="shared" si="45"/>
        <v>Alta</v>
      </c>
    </row>
    <row r="2906" spans="1:9">
      <c r="A2906" t="s">
        <v>361</v>
      </c>
      <c r="B2906">
        <v>2025</v>
      </c>
      <c r="C2906">
        <v>2</v>
      </c>
      <c r="D2906" t="s">
        <v>139</v>
      </c>
      <c r="E2906" t="s">
        <v>140</v>
      </c>
      <c r="F2906">
        <v>15.4</v>
      </c>
      <c r="G2906">
        <v>96.4</v>
      </c>
      <c r="H2906" t="s">
        <v>13</v>
      </c>
      <c r="I2906" t="str">
        <f t="shared" si="45"/>
        <v>Alta</v>
      </c>
    </row>
    <row r="2907" spans="1:9">
      <c r="A2907" t="s">
        <v>389</v>
      </c>
      <c r="B2907">
        <v>2026</v>
      </c>
      <c r="C2907">
        <v>1</v>
      </c>
      <c r="D2907" t="s">
        <v>9</v>
      </c>
      <c r="E2907" t="s">
        <v>14</v>
      </c>
      <c r="F2907">
        <v>15.4</v>
      </c>
      <c r="G2907">
        <v>91.9</v>
      </c>
      <c r="H2907" t="s">
        <v>13</v>
      </c>
      <c r="I2907" t="str">
        <f t="shared" si="45"/>
        <v>Alta</v>
      </c>
    </row>
    <row r="2908" spans="1:9">
      <c r="A2908" t="s">
        <v>392</v>
      </c>
      <c r="B2908">
        <v>2026</v>
      </c>
      <c r="C2908">
        <v>2</v>
      </c>
      <c r="D2908" t="s">
        <v>9</v>
      </c>
      <c r="E2908" t="s">
        <v>12</v>
      </c>
      <c r="F2908">
        <v>15.4</v>
      </c>
      <c r="G2908">
        <v>94.3</v>
      </c>
      <c r="H2908" t="s">
        <v>13</v>
      </c>
      <c r="I2908" t="str">
        <f t="shared" si="45"/>
        <v>Alta</v>
      </c>
    </row>
    <row r="2909" spans="1:9">
      <c r="A2909" t="s">
        <v>476</v>
      </c>
      <c r="B2909">
        <v>2026</v>
      </c>
      <c r="C2909">
        <v>2</v>
      </c>
      <c r="D2909" t="s">
        <v>75</v>
      </c>
      <c r="E2909" t="s">
        <v>77</v>
      </c>
      <c r="F2909">
        <v>15.4</v>
      </c>
      <c r="G2909">
        <v>65.5</v>
      </c>
      <c r="H2909" t="s">
        <v>13</v>
      </c>
      <c r="I2909" t="str">
        <f t="shared" si="45"/>
        <v>Média</v>
      </c>
    </row>
    <row r="2910" spans="1:9">
      <c r="A2910" t="s">
        <v>159</v>
      </c>
      <c r="B2910">
        <v>2024</v>
      </c>
      <c r="C2910">
        <v>1</v>
      </c>
      <c r="D2910" t="s">
        <v>139</v>
      </c>
      <c r="E2910" t="s">
        <v>10</v>
      </c>
      <c r="F2910">
        <v>15.5</v>
      </c>
      <c r="G2910">
        <v>89.3</v>
      </c>
      <c r="H2910" t="s">
        <v>13</v>
      </c>
      <c r="I2910" t="str">
        <f t="shared" si="45"/>
        <v>Alta</v>
      </c>
    </row>
    <row r="2911" spans="1:9">
      <c r="A2911" t="s">
        <v>160</v>
      </c>
      <c r="B2911">
        <v>2024</v>
      </c>
      <c r="C2911">
        <v>1</v>
      </c>
      <c r="D2911" t="s">
        <v>139</v>
      </c>
      <c r="E2911" t="s">
        <v>140</v>
      </c>
      <c r="F2911">
        <v>15.5</v>
      </c>
      <c r="G2911">
        <v>89.4</v>
      </c>
      <c r="H2911" t="s">
        <v>13</v>
      </c>
      <c r="I2911" t="str">
        <f t="shared" si="45"/>
        <v>Alta</v>
      </c>
    </row>
    <row r="2912" spans="1:9">
      <c r="A2912" t="s">
        <v>48</v>
      </c>
      <c r="B2912">
        <v>2024</v>
      </c>
      <c r="C2912">
        <v>2</v>
      </c>
      <c r="D2912" t="s">
        <v>9</v>
      </c>
      <c r="E2912" t="s">
        <v>12</v>
      </c>
      <c r="F2912">
        <v>15.5</v>
      </c>
      <c r="G2912">
        <v>67.599999999999994</v>
      </c>
      <c r="H2912" t="s">
        <v>13</v>
      </c>
      <c r="I2912" t="str">
        <f t="shared" si="45"/>
        <v>Média</v>
      </c>
    </row>
    <row r="2913" spans="1:9">
      <c r="A2913" t="s">
        <v>189</v>
      </c>
      <c r="B2913">
        <v>2024</v>
      </c>
      <c r="C2913">
        <v>2</v>
      </c>
      <c r="D2913" t="s">
        <v>139</v>
      </c>
      <c r="E2913" t="s">
        <v>10</v>
      </c>
      <c r="F2913">
        <v>15.5</v>
      </c>
      <c r="G2913">
        <v>58.2</v>
      </c>
      <c r="H2913" t="s">
        <v>13</v>
      </c>
      <c r="I2913" t="str">
        <f t="shared" si="45"/>
        <v>Média</v>
      </c>
    </row>
    <row r="2914" spans="1:9">
      <c r="A2914" t="s">
        <v>347</v>
      </c>
      <c r="B2914">
        <v>2025</v>
      </c>
      <c r="C2914">
        <v>1</v>
      </c>
      <c r="D2914" t="s">
        <v>139</v>
      </c>
      <c r="E2914" t="s">
        <v>10</v>
      </c>
      <c r="F2914">
        <v>15.5</v>
      </c>
      <c r="G2914">
        <v>84.4</v>
      </c>
      <c r="H2914" t="s">
        <v>13</v>
      </c>
      <c r="I2914" t="str">
        <f t="shared" si="45"/>
        <v>Alta</v>
      </c>
    </row>
    <row r="2915" spans="1:9">
      <c r="A2915" t="s">
        <v>350</v>
      </c>
      <c r="B2915">
        <v>2025</v>
      </c>
      <c r="C2915">
        <v>1</v>
      </c>
      <c r="D2915" t="s">
        <v>139</v>
      </c>
      <c r="E2915" t="s">
        <v>10</v>
      </c>
      <c r="F2915">
        <v>15.5</v>
      </c>
      <c r="G2915">
        <v>87.8</v>
      </c>
      <c r="H2915" t="s">
        <v>13</v>
      </c>
      <c r="I2915" t="str">
        <f t="shared" si="45"/>
        <v>Alta</v>
      </c>
    </row>
    <row r="2916" spans="1:9">
      <c r="A2916" t="s">
        <v>367</v>
      </c>
      <c r="B2916">
        <v>2025</v>
      </c>
      <c r="C2916">
        <v>1</v>
      </c>
      <c r="D2916" t="s">
        <v>139</v>
      </c>
      <c r="E2916" t="s">
        <v>140</v>
      </c>
      <c r="F2916">
        <v>15.5</v>
      </c>
      <c r="G2916">
        <v>75.5</v>
      </c>
      <c r="H2916" t="s">
        <v>13</v>
      </c>
      <c r="I2916" t="str">
        <f t="shared" si="45"/>
        <v>Alta</v>
      </c>
    </row>
    <row r="2917" spans="1:9">
      <c r="A2917" t="s">
        <v>204</v>
      </c>
      <c r="B2917">
        <v>2025</v>
      </c>
      <c r="C2917">
        <v>2</v>
      </c>
      <c r="D2917" t="s">
        <v>9</v>
      </c>
      <c r="E2917" t="s">
        <v>10</v>
      </c>
      <c r="F2917">
        <v>15.5</v>
      </c>
      <c r="G2917">
        <v>94.8</v>
      </c>
      <c r="H2917" t="s">
        <v>13</v>
      </c>
      <c r="I2917" t="str">
        <f t="shared" si="45"/>
        <v>Alta</v>
      </c>
    </row>
    <row r="2918" spans="1:9">
      <c r="A2918" t="s">
        <v>260</v>
      </c>
      <c r="B2918">
        <v>2025</v>
      </c>
      <c r="C2918">
        <v>2</v>
      </c>
      <c r="D2918" t="s">
        <v>9</v>
      </c>
      <c r="E2918" t="s">
        <v>12</v>
      </c>
      <c r="F2918">
        <v>15.5</v>
      </c>
      <c r="G2918">
        <v>84.9</v>
      </c>
      <c r="H2918" t="s">
        <v>13</v>
      </c>
      <c r="I2918" t="str">
        <f t="shared" si="45"/>
        <v>Alta</v>
      </c>
    </row>
    <row r="2919" spans="1:9">
      <c r="A2919" t="s">
        <v>314</v>
      </c>
      <c r="B2919">
        <v>2025</v>
      </c>
      <c r="C2919">
        <v>2</v>
      </c>
      <c r="D2919" t="s">
        <v>75</v>
      </c>
      <c r="E2919" t="s">
        <v>76</v>
      </c>
      <c r="F2919">
        <v>15.5</v>
      </c>
      <c r="G2919">
        <v>94.6</v>
      </c>
      <c r="H2919" t="s">
        <v>13</v>
      </c>
      <c r="I2919" t="str">
        <f t="shared" si="45"/>
        <v>Alta</v>
      </c>
    </row>
    <row r="2920" spans="1:9">
      <c r="A2920" t="s">
        <v>399</v>
      </c>
      <c r="B2920">
        <v>2026</v>
      </c>
      <c r="C2920">
        <v>1</v>
      </c>
      <c r="D2920" t="s">
        <v>9</v>
      </c>
      <c r="E2920" t="s">
        <v>12</v>
      </c>
      <c r="F2920">
        <v>15.5</v>
      </c>
      <c r="G2920">
        <v>92.2</v>
      </c>
      <c r="H2920" t="s">
        <v>13</v>
      </c>
      <c r="I2920" t="str">
        <f t="shared" si="45"/>
        <v>Alta</v>
      </c>
    </row>
    <row r="2921" spans="1:9">
      <c r="A2921" t="s">
        <v>405</v>
      </c>
      <c r="B2921">
        <v>2026</v>
      </c>
      <c r="C2921">
        <v>1</v>
      </c>
      <c r="D2921" t="s">
        <v>9</v>
      </c>
      <c r="E2921" t="s">
        <v>14</v>
      </c>
      <c r="F2921">
        <v>15.5</v>
      </c>
      <c r="G2921">
        <v>54.8</v>
      </c>
      <c r="H2921" t="s">
        <v>13</v>
      </c>
      <c r="I2921" t="str">
        <f t="shared" si="45"/>
        <v>Média</v>
      </c>
    </row>
    <row r="2922" spans="1:9">
      <c r="A2922" t="s">
        <v>462</v>
      </c>
      <c r="B2922">
        <v>2026</v>
      </c>
      <c r="C2922">
        <v>1</v>
      </c>
      <c r="D2922" t="s">
        <v>75</v>
      </c>
      <c r="E2922" t="s">
        <v>78</v>
      </c>
      <c r="F2922">
        <v>15.5</v>
      </c>
      <c r="G2922">
        <v>70.2</v>
      </c>
      <c r="H2922" t="s">
        <v>13</v>
      </c>
      <c r="I2922" t="str">
        <f t="shared" si="45"/>
        <v>Média</v>
      </c>
    </row>
    <row r="2923" spans="1:9">
      <c r="A2923" t="s">
        <v>403</v>
      </c>
      <c r="B2923">
        <v>2026</v>
      </c>
      <c r="C2923">
        <v>2</v>
      </c>
      <c r="D2923" t="s">
        <v>9</v>
      </c>
      <c r="E2923" t="s">
        <v>10</v>
      </c>
      <c r="F2923">
        <v>15.5</v>
      </c>
      <c r="G2923">
        <v>48.6</v>
      </c>
      <c r="H2923" t="s">
        <v>13</v>
      </c>
      <c r="I2923" t="str">
        <f t="shared" si="45"/>
        <v>Baixa</v>
      </c>
    </row>
    <row r="2924" spans="1:9">
      <c r="A2924" t="s">
        <v>432</v>
      </c>
      <c r="B2924">
        <v>2026</v>
      </c>
      <c r="C2924">
        <v>2</v>
      </c>
      <c r="D2924" t="s">
        <v>9</v>
      </c>
      <c r="E2924" t="s">
        <v>14</v>
      </c>
      <c r="F2924">
        <v>15.5</v>
      </c>
      <c r="G2924">
        <v>94.7</v>
      </c>
      <c r="H2924" t="s">
        <v>13</v>
      </c>
      <c r="I2924" t="str">
        <f t="shared" si="45"/>
        <v>Alta</v>
      </c>
    </row>
    <row r="2925" spans="1:9">
      <c r="A2925" t="s">
        <v>554</v>
      </c>
      <c r="B2925">
        <v>2026</v>
      </c>
      <c r="C2925">
        <v>2</v>
      </c>
      <c r="D2925" t="s">
        <v>139</v>
      </c>
      <c r="E2925" t="s">
        <v>140</v>
      </c>
      <c r="F2925">
        <v>15.5</v>
      </c>
      <c r="G2925">
        <v>85.2</v>
      </c>
      <c r="H2925" t="s">
        <v>13</v>
      </c>
      <c r="I2925" t="str">
        <f t="shared" si="45"/>
        <v>Alta</v>
      </c>
    </row>
    <row r="2926" spans="1:9">
      <c r="A2926" t="s">
        <v>194</v>
      </c>
      <c r="B2926">
        <v>2024</v>
      </c>
      <c r="C2926">
        <v>1</v>
      </c>
      <c r="D2926" t="s">
        <v>139</v>
      </c>
      <c r="E2926" t="s">
        <v>140</v>
      </c>
      <c r="F2926">
        <v>15.6</v>
      </c>
      <c r="G2926">
        <v>81.099999999999994</v>
      </c>
      <c r="H2926" t="s">
        <v>13</v>
      </c>
      <c r="I2926" t="str">
        <f t="shared" si="45"/>
        <v>Alta</v>
      </c>
    </row>
    <row r="2927" spans="1:9">
      <c r="A2927" t="s">
        <v>57</v>
      </c>
      <c r="B2927">
        <v>2024</v>
      </c>
      <c r="C2927">
        <v>2</v>
      </c>
      <c r="D2927" t="s">
        <v>9</v>
      </c>
      <c r="E2927" t="s">
        <v>10</v>
      </c>
      <c r="F2927">
        <v>15.6</v>
      </c>
      <c r="G2927">
        <v>74</v>
      </c>
      <c r="H2927" t="s">
        <v>13</v>
      </c>
      <c r="I2927" t="str">
        <f t="shared" si="45"/>
        <v>Média</v>
      </c>
    </row>
    <row r="2928" spans="1:9">
      <c r="A2928" t="s">
        <v>64</v>
      </c>
      <c r="B2928">
        <v>2024</v>
      </c>
      <c r="C2928">
        <v>2</v>
      </c>
      <c r="D2928" t="s">
        <v>9</v>
      </c>
      <c r="E2928" t="s">
        <v>14</v>
      </c>
      <c r="F2928">
        <v>15.6</v>
      </c>
      <c r="G2928">
        <v>87</v>
      </c>
      <c r="H2928" t="s">
        <v>13</v>
      </c>
      <c r="I2928" t="str">
        <f t="shared" si="45"/>
        <v>Alta</v>
      </c>
    </row>
    <row r="2929" spans="1:9">
      <c r="A2929" t="s">
        <v>117</v>
      </c>
      <c r="B2929">
        <v>2024</v>
      </c>
      <c r="C2929">
        <v>2</v>
      </c>
      <c r="D2929" t="s">
        <v>75</v>
      </c>
      <c r="E2929" t="s">
        <v>76</v>
      </c>
      <c r="F2929">
        <v>15.6</v>
      </c>
      <c r="G2929">
        <v>95.8</v>
      </c>
      <c r="H2929" t="s">
        <v>13</v>
      </c>
      <c r="I2929" t="str">
        <f t="shared" si="45"/>
        <v>Alta</v>
      </c>
    </row>
    <row r="2930" spans="1:9">
      <c r="A2930" t="s">
        <v>358</v>
      </c>
      <c r="B2930">
        <v>2025</v>
      </c>
      <c r="C2930">
        <v>1</v>
      </c>
      <c r="D2930" t="s">
        <v>139</v>
      </c>
      <c r="E2930" t="s">
        <v>140</v>
      </c>
      <c r="F2930">
        <v>15.6</v>
      </c>
      <c r="G2930">
        <v>66.900000000000006</v>
      </c>
      <c r="H2930" t="s">
        <v>13</v>
      </c>
      <c r="I2930" t="str">
        <f t="shared" si="45"/>
        <v>Média</v>
      </c>
    </row>
    <row r="2931" spans="1:9">
      <c r="A2931" t="s">
        <v>208</v>
      </c>
      <c r="B2931">
        <v>2025</v>
      </c>
      <c r="C2931">
        <v>2</v>
      </c>
      <c r="D2931" t="s">
        <v>9</v>
      </c>
      <c r="E2931" t="s">
        <v>12</v>
      </c>
      <c r="F2931">
        <v>15.6</v>
      </c>
      <c r="G2931">
        <v>96.3</v>
      </c>
      <c r="H2931" t="s">
        <v>13</v>
      </c>
      <c r="I2931" t="str">
        <f t="shared" si="45"/>
        <v>Alta</v>
      </c>
    </row>
    <row r="2932" spans="1:9">
      <c r="A2932" t="s">
        <v>222</v>
      </c>
      <c r="B2932">
        <v>2025</v>
      </c>
      <c r="C2932">
        <v>2</v>
      </c>
      <c r="D2932" t="s">
        <v>9</v>
      </c>
      <c r="E2932" t="s">
        <v>12</v>
      </c>
      <c r="F2932">
        <v>15.6</v>
      </c>
      <c r="G2932">
        <v>75.3</v>
      </c>
      <c r="H2932" t="s">
        <v>13</v>
      </c>
      <c r="I2932" t="str">
        <f t="shared" si="45"/>
        <v>Alta</v>
      </c>
    </row>
    <row r="2933" spans="1:9">
      <c r="A2933" t="s">
        <v>268</v>
      </c>
      <c r="B2933">
        <v>2025</v>
      </c>
      <c r="C2933">
        <v>2</v>
      </c>
      <c r="D2933" t="s">
        <v>75</v>
      </c>
      <c r="E2933" t="s">
        <v>76</v>
      </c>
      <c r="F2933">
        <v>15.6</v>
      </c>
      <c r="G2933">
        <v>89.6</v>
      </c>
      <c r="H2933" t="s">
        <v>13</v>
      </c>
      <c r="I2933" t="str">
        <f t="shared" si="45"/>
        <v>Alta</v>
      </c>
    </row>
    <row r="2934" spans="1:9">
      <c r="A2934" t="s">
        <v>460</v>
      </c>
      <c r="B2934">
        <v>2026</v>
      </c>
      <c r="C2934">
        <v>1</v>
      </c>
      <c r="D2934" t="s">
        <v>75</v>
      </c>
      <c r="E2934" t="s">
        <v>76</v>
      </c>
      <c r="F2934">
        <v>15.6</v>
      </c>
      <c r="G2934">
        <v>94.3</v>
      </c>
      <c r="H2934" t="s">
        <v>13</v>
      </c>
      <c r="I2934" t="str">
        <f t="shared" si="45"/>
        <v>Alta</v>
      </c>
    </row>
    <row r="2935" spans="1:9">
      <c r="A2935" t="s">
        <v>501</v>
      </c>
      <c r="B2935">
        <v>2026</v>
      </c>
      <c r="C2935">
        <v>1</v>
      </c>
      <c r="D2935" t="s">
        <v>139</v>
      </c>
      <c r="E2935" t="s">
        <v>141</v>
      </c>
      <c r="F2935">
        <v>15.6</v>
      </c>
      <c r="G2935">
        <v>79.5</v>
      </c>
      <c r="H2935" t="s">
        <v>13</v>
      </c>
      <c r="I2935" t="str">
        <f t="shared" si="45"/>
        <v>Alta</v>
      </c>
    </row>
    <row r="2936" spans="1:9">
      <c r="A2936" t="s">
        <v>504</v>
      </c>
      <c r="B2936">
        <v>2026</v>
      </c>
      <c r="C2936">
        <v>1</v>
      </c>
      <c r="D2936" t="s">
        <v>139</v>
      </c>
      <c r="E2936" t="s">
        <v>140</v>
      </c>
      <c r="F2936">
        <v>15.6</v>
      </c>
      <c r="G2936">
        <v>63.4</v>
      </c>
      <c r="H2936" t="s">
        <v>13</v>
      </c>
      <c r="I2936" t="str">
        <f t="shared" si="45"/>
        <v>Média</v>
      </c>
    </row>
    <row r="2937" spans="1:9">
      <c r="A2937" t="s">
        <v>427</v>
      </c>
      <c r="B2937">
        <v>2026</v>
      </c>
      <c r="C2937">
        <v>2</v>
      </c>
      <c r="D2937" t="s">
        <v>9</v>
      </c>
      <c r="E2937" t="s">
        <v>12</v>
      </c>
      <c r="F2937">
        <v>15.6</v>
      </c>
      <c r="G2937">
        <v>99.8</v>
      </c>
      <c r="H2937" t="s">
        <v>13</v>
      </c>
      <c r="I2937" t="str">
        <f t="shared" si="45"/>
        <v>Alta</v>
      </c>
    </row>
    <row r="2938" spans="1:9">
      <c r="A2938" t="s">
        <v>464</v>
      </c>
      <c r="B2938">
        <v>2026</v>
      </c>
      <c r="C2938">
        <v>2</v>
      </c>
      <c r="D2938" t="s">
        <v>75</v>
      </c>
      <c r="E2938" t="s">
        <v>76</v>
      </c>
      <c r="F2938">
        <v>15.6</v>
      </c>
      <c r="G2938">
        <v>77.8</v>
      </c>
      <c r="H2938" t="s">
        <v>13</v>
      </c>
      <c r="I2938" t="str">
        <f t="shared" si="45"/>
        <v>Alta</v>
      </c>
    </row>
    <row r="2939" spans="1:9">
      <c r="A2939" t="s">
        <v>477</v>
      </c>
      <c r="B2939">
        <v>2026</v>
      </c>
      <c r="C2939">
        <v>2</v>
      </c>
      <c r="D2939" t="s">
        <v>75</v>
      </c>
      <c r="E2939" t="s">
        <v>76</v>
      </c>
      <c r="F2939">
        <v>15.6</v>
      </c>
      <c r="G2939">
        <v>97.3</v>
      </c>
      <c r="H2939" t="s">
        <v>13</v>
      </c>
      <c r="I2939" t="str">
        <f t="shared" si="45"/>
        <v>Alta</v>
      </c>
    </row>
    <row r="2940" spans="1:9">
      <c r="A2940" t="s">
        <v>477</v>
      </c>
      <c r="B2940">
        <v>2026</v>
      </c>
      <c r="C2940">
        <v>2</v>
      </c>
      <c r="D2940" t="s">
        <v>75</v>
      </c>
      <c r="E2940" t="s">
        <v>77</v>
      </c>
      <c r="F2940">
        <v>15.6</v>
      </c>
      <c r="G2940">
        <v>82.9</v>
      </c>
      <c r="H2940" t="s">
        <v>13</v>
      </c>
      <c r="I2940" t="str">
        <f t="shared" si="45"/>
        <v>Alta</v>
      </c>
    </row>
    <row r="2941" spans="1:9">
      <c r="A2941" t="s">
        <v>32</v>
      </c>
      <c r="B2941">
        <v>2024</v>
      </c>
      <c r="C2941">
        <v>1</v>
      </c>
      <c r="D2941" t="s">
        <v>9</v>
      </c>
      <c r="E2941" t="s">
        <v>12</v>
      </c>
      <c r="F2941">
        <v>15.7</v>
      </c>
      <c r="G2941">
        <v>94.2</v>
      </c>
      <c r="H2941" t="s">
        <v>13</v>
      </c>
      <c r="I2941" t="str">
        <f t="shared" si="45"/>
        <v>Alta</v>
      </c>
    </row>
    <row r="2942" spans="1:9">
      <c r="A2942" t="s">
        <v>92</v>
      </c>
      <c r="B2942">
        <v>2024</v>
      </c>
      <c r="C2942">
        <v>1</v>
      </c>
      <c r="D2942" t="s">
        <v>75</v>
      </c>
      <c r="E2942" t="s">
        <v>78</v>
      </c>
      <c r="F2942">
        <v>15.7</v>
      </c>
      <c r="G2942">
        <v>94.4</v>
      </c>
      <c r="H2942" t="s">
        <v>13</v>
      </c>
      <c r="I2942" t="str">
        <f t="shared" si="45"/>
        <v>Alta</v>
      </c>
    </row>
    <row r="2943" spans="1:9">
      <c r="A2943" t="s">
        <v>88</v>
      </c>
      <c r="B2943">
        <v>2024</v>
      </c>
      <c r="C2943">
        <v>2</v>
      </c>
      <c r="D2943" t="s">
        <v>75</v>
      </c>
      <c r="E2943" t="s">
        <v>78</v>
      </c>
      <c r="F2943">
        <v>15.7</v>
      </c>
      <c r="G2943">
        <v>58.7</v>
      </c>
      <c r="H2943" t="s">
        <v>13</v>
      </c>
      <c r="I2943" t="str">
        <f t="shared" si="45"/>
        <v>Média</v>
      </c>
    </row>
    <row r="2944" spans="1:9">
      <c r="A2944" t="s">
        <v>154</v>
      </c>
      <c r="B2944">
        <v>2024</v>
      </c>
      <c r="C2944">
        <v>2</v>
      </c>
      <c r="D2944" t="s">
        <v>139</v>
      </c>
      <c r="E2944" t="s">
        <v>141</v>
      </c>
      <c r="F2944">
        <v>15.7</v>
      </c>
      <c r="G2944">
        <v>90</v>
      </c>
      <c r="H2944" t="s">
        <v>13</v>
      </c>
      <c r="I2944" t="str">
        <f t="shared" si="45"/>
        <v>Alta</v>
      </c>
    </row>
    <row r="2945" spans="1:9">
      <c r="A2945" t="s">
        <v>248</v>
      </c>
      <c r="B2945">
        <v>2025</v>
      </c>
      <c r="C2945">
        <v>1</v>
      </c>
      <c r="D2945" t="s">
        <v>9</v>
      </c>
      <c r="E2945" t="s">
        <v>12</v>
      </c>
      <c r="F2945">
        <v>15.7</v>
      </c>
      <c r="G2945">
        <v>93.2</v>
      </c>
      <c r="H2945" t="s">
        <v>13</v>
      </c>
      <c r="I2945" t="str">
        <f t="shared" si="45"/>
        <v>Alta</v>
      </c>
    </row>
    <row r="2946" spans="1:9">
      <c r="A2946" t="s">
        <v>291</v>
      </c>
      <c r="B2946">
        <v>2025</v>
      </c>
      <c r="C2946">
        <v>1</v>
      </c>
      <c r="D2946" t="s">
        <v>75</v>
      </c>
      <c r="E2946" t="s">
        <v>78</v>
      </c>
      <c r="F2946">
        <v>15.7</v>
      </c>
      <c r="G2946">
        <v>90.7</v>
      </c>
      <c r="H2946" t="s">
        <v>13</v>
      </c>
      <c r="I2946" t="str">
        <f t="shared" ref="I2946:I3009" si="46">IF(G2946&lt;50,"Baixa",IF(G2946&lt;75,"Média","Alta"))</f>
        <v>Alta</v>
      </c>
    </row>
    <row r="2947" spans="1:9">
      <c r="A2947" t="s">
        <v>325</v>
      </c>
      <c r="B2947">
        <v>2025</v>
      </c>
      <c r="C2947">
        <v>1</v>
      </c>
      <c r="D2947" t="s">
        <v>139</v>
      </c>
      <c r="E2947" t="s">
        <v>10</v>
      </c>
      <c r="F2947">
        <v>15.7</v>
      </c>
      <c r="G2947">
        <v>82.2</v>
      </c>
      <c r="H2947" t="s">
        <v>13</v>
      </c>
      <c r="I2947" t="str">
        <f t="shared" si="46"/>
        <v>Alta</v>
      </c>
    </row>
    <row r="2948" spans="1:9">
      <c r="A2948" t="s">
        <v>329</v>
      </c>
      <c r="B2948">
        <v>2025</v>
      </c>
      <c r="C2948">
        <v>1</v>
      </c>
      <c r="D2948" t="s">
        <v>139</v>
      </c>
      <c r="E2948" t="s">
        <v>141</v>
      </c>
      <c r="F2948">
        <v>15.7</v>
      </c>
      <c r="G2948">
        <v>91.6</v>
      </c>
      <c r="H2948" t="s">
        <v>13</v>
      </c>
      <c r="I2948" t="str">
        <f t="shared" si="46"/>
        <v>Alta</v>
      </c>
    </row>
    <row r="2949" spans="1:9">
      <c r="A2949" t="s">
        <v>361</v>
      </c>
      <c r="B2949">
        <v>2025</v>
      </c>
      <c r="C2949">
        <v>1</v>
      </c>
      <c r="D2949" t="s">
        <v>139</v>
      </c>
      <c r="E2949" t="s">
        <v>10</v>
      </c>
      <c r="F2949">
        <v>15.7</v>
      </c>
      <c r="G2949">
        <v>79.099999999999994</v>
      </c>
      <c r="H2949" t="s">
        <v>13</v>
      </c>
      <c r="I2949" t="str">
        <f t="shared" si="46"/>
        <v>Alta</v>
      </c>
    </row>
    <row r="2950" spans="1:9">
      <c r="A2950" t="s">
        <v>299</v>
      </c>
      <c r="B2950">
        <v>2025</v>
      </c>
      <c r="C2950">
        <v>2</v>
      </c>
      <c r="D2950" t="s">
        <v>75</v>
      </c>
      <c r="E2950" t="s">
        <v>76</v>
      </c>
      <c r="F2950">
        <v>15.7</v>
      </c>
      <c r="G2950">
        <v>80.599999999999994</v>
      </c>
      <c r="H2950" t="s">
        <v>13</v>
      </c>
      <c r="I2950" t="str">
        <f t="shared" si="46"/>
        <v>Alta</v>
      </c>
    </row>
    <row r="2951" spans="1:9">
      <c r="A2951" t="s">
        <v>415</v>
      </c>
      <c r="B2951">
        <v>2026</v>
      </c>
      <c r="C2951">
        <v>1</v>
      </c>
      <c r="D2951" t="s">
        <v>9</v>
      </c>
      <c r="E2951" t="s">
        <v>10</v>
      </c>
      <c r="F2951">
        <v>15.7</v>
      </c>
      <c r="G2951">
        <v>83.8</v>
      </c>
      <c r="H2951" t="s">
        <v>13</v>
      </c>
      <c r="I2951" t="str">
        <f t="shared" si="46"/>
        <v>Alta</v>
      </c>
    </row>
    <row r="2952" spans="1:9">
      <c r="A2952" t="s">
        <v>464</v>
      </c>
      <c r="B2952">
        <v>2026</v>
      </c>
      <c r="C2952">
        <v>1</v>
      </c>
      <c r="D2952" t="s">
        <v>75</v>
      </c>
      <c r="E2952" t="s">
        <v>76</v>
      </c>
      <c r="F2952">
        <v>15.7</v>
      </c>
      <c r="G2952">
        <v>93.7</v>
      </c>
      <c r="H2952" t="s">
        <v>13</v>
      </c>
      <c r="I2952" t="str">
        <f t="shared" si="46"/>
        <v>Alta</v>
      </c>
    </row>
    <row r="2953" spans="1:9">
      <c r="A2953" t="s">
        <v>514</v>
      </c>
      <c r="B2953">
        <v>2026</v>
      </c>
      <c r="C2953">
        <v>1</v>
      </c>
      <c r="D2953" t="s">
        <v>139</v>
      </c>
      <c r="E2953" t="s">
        <v>140</v>
      </c>
      <c r="F2953">
        <v>15.7</v>
      </c>
      <c r="G2953">
        <v>94.5</v>
      </c>
      <c r="H2953" t="s">
        <v>13</v>
      </c>
      <c r="I2953" t="str">
        <f t="shared" si="46"/>
        <v>Alta</v>
      </c>
    </row>
    <row r="2954" spans="1:9">
      <c r="A2954" t="s">
        <v>539</v>
      </c>
      <c r="B2954">
        <v>2026</v>
      </c>
      <c r="C2954">
        <v>1</v>
      </c>
      <c r="D2954" t="s">
        <v>139</v>
      </c>
      <c r="E2954" t="s">
        <v>141</v>
      </c>
      <c r="F2954">
        <v>15.7</v>
      </c>
      <c r="G2954">
        <v>86.5</v>
      </c>
      <c r="H2954" t="s">
        <v>13</v>
      </c>
      <c r="I2954" t="str">
        <f t="shared" si="46"/>
        <v>Alta</v>
      </c>
    </row>
    <row r="2955" spans="1:9">
      <c r="A2955" t="s">
        <v>423</v>
      </c>
      <c r="B2955">
        <v>2026</v>
      </c>
      <c r="C2955">
        <v>2</v>
      </c>
      <c r="D2955" t="s">
        <v>9</v>
      </c>
      <c r="E2955" t="s">
        <v>12</v>
      </c>
      <c r="F2955">
        <v>15.7</v>
      </c>
      <c r="G2955">
        <v>94.1</v>
      </c>
      <c r="H2955" t="s">
        <v>13</v>
      </c>
      <c r="I2955" t="str">
        <f t="shared" si="46"/>
        <v>Alta</v>
      </c>
    </row>
    <row r="2956" spans="1:9">
      <c r="A2956" t="s">
        <v>425</v>
      </c>
      <c r="B2956">
        <v>2026</v>
      </c>
      <c r="C2956">
        <v>2</v>
      </c>
      <c r="D2956" t="s">
        <v>9</v>
      </c>
      <c r="E2956" t="s">
        <v>12</v>
      </c>
      <c r="F2956">
        <v>15.7</v>
      </c>
      <c r="G2956">
        <v>93.6</v>
      </c>
      <c r="H2956" t="s">
        <v>13</v>
      </c>
      <c r="I2956" t="str">
        <f t="shared" si="46"/>
        <v>Alta</v>
      </c>
    </row>
    <row r="2957" spans="1:9">
      <c r="A2957" t="s">
        <v>432</v>
      </c>
      <c r="B2957">
        <v>2026</v>
      </c>
      <c r="C2957">
        <v>2</v>
      </c>
      <c r="D2957" t="s">
        <v>9</v>
      </c>
      <c r="E2957" t="s">
        <v>10</v>
      </c>
      <c r="F2957">
        <v>15.7</v>
      </c>
      <c r="G2957">
        <v>98.4</v>
      </c>
      <c r="H2957" t="s">
        <v>13</v>
      </c>
      <c r="I2957" t="str">
        <f t="shared" si="46"/>
        <v>Alta</v>
      </c>
    </row>
    <row r="2958" spans="1:9">
      <c r="A2958" t="s">
        <v>458</v>
      </c>
      <c r="B2958">
        <v>2026</v>
      </c>
      <c r="C2958">
        <v>2</v>
      </c>
      <c r="D2958" t="s">
        <v>75</v>
      </c>
      <c r="E2958" t="s">
        <v>78</v>
      </c>
      <c r="F2958">
        <v>15.7</v>
      </c>
      <c r="G2958">
        <v>96.7</v>
      </c>
      <c r="H2958" t="s">
        <v>13</v>
      </c>
      <c r="I2958" t="str">
        <f t="shared" si="46"/>
        <v>Alta</v>
      </c>
    </row>
    <row r="2959" spans="1:9">
      <c r="A2959" t="s">
        <v>502</v>
      </c>
      <c r="B2959">
        <v>2026</v>
      </c>
      <c r="C2959">
        <v>2</v>
      </c>
      <c r="D2959" t="s">
        <v>139</v>
      </c>
      <c r="E2959" t="s">
        <v>10</v>
      </c>
      <c r="F2959">
        <v>15.7</v>
      </c>
      <c r="G2959">
        <v>58.2</v>
      </c>
      <c r="H2959" t="s">
        <v>13</v>
      </c>
      <c r="I2959" t="str">
        <f t="shared" si="46"/>
        <v>Média</v>
      </c>
    </row>
    <row r="2960" spans="1:9">
      <c r="A2960" t="s">
        <v>503</v>
      </c>
      <c r="B2960">
        <v>2026</v>
      </c>
      <c r="C2960">
        <v>2</v>
      </c>
      <c r="D2960" t="s">
        <v>139</v>
      </c>
      <c r="E2960" t="s">
        <v>141</v>
      </c>
      <c r="F2960">
        <v>15.7</v>
      </c>
      <c r="G2960">
        <v>83.1</v>
      </c>
      <c r="H2960" t="s">
        <v>13</v>
      </c>
      <c r="I2960" t="str">
        <f t="shared" si="46"/>
        <v>Alta</v>
      </c>
    </row>
    <row r="2961" spans="1:9">
      <c r="A2961" t="s">
        <v>506</v>
      </c>
      <c r="B2961">
        <v>2026</v>
      </c>
      <c r="C2961">
        <v>2</v>
      </c>
      <c r="D2961" t="s">
        <v>139</v>
      </c>
      <c r="E2961" t="s">
        <v>140</v>
      </c>
      <c r="F2961">
        <v>15.7</v>
      </c>
      <c r="G2961">
        <v>88.9</v>
      </c>
      <c r="H2961" t="s">
        <v>13</v>
      </c>
      <c r="I2961" t="str">
        <f t="shared" si="46"/>
        <v>Alta</v>
      </c>
    </row>
    <row r="2962" spans="1:9">
      <c r="A2962" t="s">
        <v>514</v>
      </c>
      <c r="B2962">
        <v>2026</v>
      </c>
      <c r="C2962">
        <v>2</v>
      </c>
      <c r="D2962" t="s">
        <v>139</v>
      </c>
      <c r="E2962" t="s">
        <v>140</v>
      </c>
      <c r="F2962">
        <v>15.7</v>
      </c>
      <c r="G2962">
        <v>80.599999999999994</v>
      </c>
      <c r="H2962" t="s">
        <v>13</v>
      </c>
      <c r="I2962" t="str">
        <f t="shared" si="46"/>
        <v>Alta</v>
      </c>
    </row>
    <row r="2963" spans="1:9">
      <c r="A2963" t="s">
        <v>545</v>
      </c>
      <c r="B2963">
        <v>2026</v>
      </c>
      <c r="C2963">
        <v>2</v>
      </c>
      <c r="D2963" t="s">
        <v>139</v>
      </c>
      <c r="E2963" t="s">
        <v>141</v>
      </c>
      <c r="F2963">
        <v>15.7</v>
      </c>
      <c r="G2963">
        <v>81.7</v>
      </c>
      <c r="H2963" t="s">
        <v>13</v>
      </c>
      <c r="I2963" t="str">
        <f t="shared" si="46"/>
        <v>Alta</v>
      </c>
    </row>
    <row r="2964" spans="1:9">
      <c r="A2964" t="s">
        <v>40</v>
      </c>
      <c r="B2964">
        <v>2024</v>
      </c>
      <c r="C2964">
        <v>1</v>
      </c>
      <c r="D2964" t="s">
        <v>9</v>
      </c>
      <c r="E2964" t="s">
        <v>14</v>
      </c>
      <c r="F2964">
        <v>15.8</v>
      </c>
      <c r="G2964">
        <v>98.9</v>
      </c>
      <c r="H2964" t="s">
        <v>13</v>
      </c>
      <c r="I2964" t="str">
        <f t="shared" si="46"/>
        <v>Alta</v>
      </c>
    </row>
    <row r="2965" spans="1:9">
      <c r="A2965" t="s">
        <v>119</v>
      </c>
      <c r="B2965">
        <v>2024</v>
      </c>
      <c r="C2965">
        <v>2</v>
      </c>
      <c r="D2965" t="s">
        <v>75</v>
      </c>
      <c r="E2965" t="s">
        <v>76</v>
      </c>
      <c r="F2965">
        <v>15.8</v>
      </c>
      <c r="G2965">
        <v>81.7</v>
      </c>
      <c r="H2965" t="s">
        <v>13</v>
      </c>
      <c r="I2965" t="str">
        <f t="shared" si="46"/>
        <v>Alta</v>
      </c>
    </row>
    <row r="2966" spans="1:9">
      <c r="A2966" t="s">
        <v>208</v>
      </c>
      <c r="B2966">
        <v>2025</v>
      </c>
      <c r="C2966">
        <v>2</v>
      </c>
      <c r="D2966" t="s">
        <v>9</v>
      </c>
      <c r="E2966" t="s">
        <v>10</v>
      </c>
      <c r="F2966">
        <v>15.8</v>
      </c>
      <c r="G2966">
        <v>93.1</v>
      </c>
      <c r="H2966" t="s">
        <v>13</v>
      </c>
      <c r="I2966" t="str">
        <f t="shared" si="46"/>
        <v>Alta</v>
      </c>
    </row>
    <row r="2967" spans="1:9">
      <c r="A2967" t="s">
        <v>210</v>
      </c>
      <c r="B2967">
        <v>2025</v>
      </c>
      <c r="C2967">
        <v>2</v>
      </c>
      <c r="D2967" t="s">
        <v>9</v>
      </c>
      <c r="E2967" t="s">
        <v>10</v>
      </c>
      <c r="F2967">
        <v>15.8</v>
      </c>
      <c r="G2967">
        <v>95.2</v>
      </c>
      <c r="H2967" t="s">
        <v>13</v>
      </c>
      <c r="I2967" t="str">
        <f t="shared" si="46"/>
        <v>Alta</v>
      </c>
    </row>
    <row r="2968" spans="1:9">
      <c r="A2968" t="s">
        <v>239</v>
      </c>
      <c r="B2968">
        <v>2025</v>
      </c>
      <c r="C2968">
        <v>2</v>
      </c>
      <c r="D2968" t="s">
        <v>9</v>
      </c>
      <c r="E2968" t="s">
        <v>14</v>
      </c>
      <c r="F2968">
        <v>15.8</v>
      </c>
      <c r="G2968">
        <v>95</v>
      </c>
      <c r="H2968" t="s">
        <v>13</v>
      </c>
      <c r="I2968" t="str">
        <f t="shared" si="46"/>
        <v>Alta</v>
      </c>
    </row>
    <row r="2969" spans="1:9">
      <c r="A2969" t="s">
        <v>273</v>
      </c>
      <c r="B2969">
        <v>2025</v>
      </c>
      <c r="C2969">
        <v>2</v>
      </c>
      <c r="D2969" t="s">
        <v>75</v>
      </c>
      <c r="E2969" t="s">
        <v>77</v>
      </c>
      <c r="F2969">
        <v>15.8</v>
      </c>
      <c r="G2969">
        <v>95.4</v>
      </c>
      <c r="H2969" t="s">
        <v>13</v>
      </c>
      <c r="I2969" t="str">
        <f t="shared" si="46"/>
        <v>Alta</v>
      </c>
    </row>
    <row r="2970" spans="1:9">
      <c r="A2970" t="s">
        <v>422</v>
      </c>
      <c r="B2970">
        <v>2026</v>
      </c>
      <c r="C2970">
        <v>1</v>
      </c>
      <c r="D2970" t="s">
        <v>9</v>
      </c>
      <c r="E2970" t="s">
        <v>14</v>
      </c>
      <c r="F2970">
        <v>15.8</v>
      </c>
      <c r="G2970">
        <v>91.6</v>
      </c>
      <c r="H2970" t="s">
        <v>13</v>
      </c>
      <c r="I2970" t="str">
        <f t="shared" si="46"/>
        <v>Alta</v>
      </c>
    </row>
    <row r="2971" spans="1:9">
      <c r="A2971" t="s">
        <v>448</v>
      </c>
      <c r="B2971">
        <v>2026</v>
      </c>
      <c r="C2971">
        <v>1</v>
      </c>
      <c r="D2971" t="s">
        <v>75</v>
      </c>
      <c r="E2971" t="s">
        <v>77</v>
      </c>
      <c r="F2971">
        <v>15.8</v>
      </c>
      <c r="G2971">
        <v>97.8</v>
      </c>
      <c r="H2971" t="s">
        <v>13</v>
      </c>
      <c r="I2971" t="str">
        <f t="shared" si="46"/>
        <v>Alta</v>
      </c>
    </row>
    <row r="2972" spans="1:9">
      <c r="A2972" t="s">
        <v>420</v>
      </c>
      <c r="B2972">
        <v>2026</v>
      </c>
      <c r="C2972">
        <v>2</v>
      </c>
      <c r="D2972" t="s">
        <v>9</v>
      </c>
      <c r="E2972" t="s">
        <v>10</v>
      </c>
      <c r="F2972">
        <v>15.8</v>
      </c>
      <c r="G2972">
        <v>95.8</v>
      </c>
      <c r="H2972" t="s">
        <v>13</v>
      </c>
      <c r="I2972" t="str">
        <f t="shared" si="46"/>
        <v>Alta</v>
      </c>
    </row>
    <row r="2973" spans="1:9">
      <c r="A2973" t="s">
        <v>433</v>
      </c>
      <c r="B2973">
        <v>2026</v>
      </c>
      <c r="C2973">
        <v>2</v>
      </c>
      <c r="D2973" t="s">
        <v>9</v>
      </c>
      <c r="E2973" t="s">
        <v>12</v>
      </c>
      <c r="F2973">
        <v>15.8</v>
      </c>
      <c r="G2973">
        <v>46.9</v>
      </c>
      <c r="H2973" t="s">
        <v>13</v>
      </c>
      <c r="I2973" t="str">
        <f t="shared" si="46"/>
        <v>Baixa</v>
      </c>
    </row>
    <row r="2974" spans="1:9">
      <c r="A2974" t="s">
        <v>462</v>
      </c>
      <c r="B2974">
        <v>2026</v>
      </c>
      <c r="C2974">
        <v>2</v>
      </c>
      <c r="D2974" t="s">
        <v>75</v>
      </c>
      <c r="E2974" t="s">
        <v>78</v>
      </c>
      <c r="F2974">
        <v>15.8</v>
      </c>
      <c r="G2974">
        <v>79.599999999999994</v>
      </c>
      <c r="H2974" t="s">
        <v>13</v>
      </c>
      <c r="I2974" t="str">
        <f t="shared" si="46"/>
        <v>Alta</v>
      </c>
    </row>
    <row r="2975" spans="1:9">
      <c r="A2975" t="s">
        <v>476</v>
      </c>
      <c r="B2975">
        <v>2026</v>
      </c>
      <c r="C2975">
        <v>2</v>
      </c>
      <c r="D2975" t="s">
        <v>75</v>
      </c>
      <c r="E2975" t="s">
        <v>76</v>
      </c>
      <c r="F2975">
        <v>15.8</v>
      </c>
      <c r="G2975">
        <v>85.2</v>
      </c>
      <c r="H2975" t="s">
        <v>13</v>
      </c>
      <c r="I2975" t="str">
        <f t="shared" si="46"/>
        <v>Alta</v>
      </c>
    </row>
    <row r="2976" spans="1:9">
      <c r="A2976" t="s">
        <v>67</v>
      </c>
      <c r="B2976">
        <v>2024</v>
      </c>
      <c r="C2976">
        <v>1</v>
      </c>
      <c r="D2976" t="s">
        <v>9</v>
      </c>
      <c r="E2976" t="s">
        <v>14</v>
      </c>
      <c r="F2976">
        <v>15.9</v>
      </c>
      <c r="G2976">
        <v>100</v>
      </c>
      <c r="H2976" t="s">
        <v>13</v>
      </c>
      <c r="I2976" t="str">
        <f t="shared" si="46"/>
        <v>Alta</v>
      </c>
    </row>
    <row r="2977" spans="1:9">
      <c r="A2977" t="s">
        <v>89</v>
      </c>
      <c r="B2977">
        <v>2024</v>
      </c>
      <c r="C2977">
        <v>1</v>
      </c>
      <c r="D2977" t="s">
        <v>75</v>
      </c>
      <c r="E2977" t="s">
        <v>77</v>
      </c>
      <c r="F2977">
        <v>15.9</v>
      </c>
      <c r="G2977">
        <v>68</v>
      </c>
      <c r="H2977" t="s">
        <v>13</v>
      </c>
      <c r="I2977" t="str">
        <f t="shared" si="46"/>
        <v>Média</v>
      </c>
    </row>
    <row r="2978" spans="1:9">
      <c r="A2978" t="s">
        <v>91</v>
      </c>
      <c r="B2978">
        <v>2024</v>
      </c>
      <c r="C2978">
        <v>1</v>
      </c>
      <c r="D2978" t="s">
        <v>75</v>
      </c>
      <c r="E2978" t="s">
        <v>77</v>
      </c>
      <c r="F2978">
        <v>15.9</v>
      </c>
      <c r="G2978">
        <v>83.9</v>
      </c>
      <c r="H2978" t="s">
        <v>13</v>
      </c>
      <c r="I2978" t="str">
        <f t="shared" si="46"/>
        <v>Alta</v>
      </c>
    </row>
    <row r="2979" spans="1:9">
      <c r="A2979" t="s">
        <v>135</v>
      </c>
      <c r="B2979">
        <v>2024</v>
      </c>
      <c r="C2979">
        <v>1</v>
      </c>
      <c r="D2979" t="s">
        <v>75</v>
      </c>
      <c r="E2979" t="s">
        <v>78</v>
      </c>
      <c r="F2979">
        <v>15.9</v>
      </c>
      <c r="G2979">
        <v>92.4</v>
      </c>
      <c r="H2979" t="s">
        <v>13</v>
      </c>
      <c r="I2979" t="str">
        <f t="shared" si="46"/>
        <v>Alta</v>
      </c>
    </row>
    <row r="2980" spans="1:9">
      <c r="A2980" t="s">
        <v>145</v>
      </c>
      <c r="B2980">
        <v>2024</v>
      </c>
      <c r="C2980">
        <v>1</v>
      </c>
      <c r="D2980" t="s">
        <v>139</v>
      </c>
      <c r="E2980" t="s">
        <v>10</v>
      </c>
      <c r="F2980">
        <v>15.9</v>
      </c>
      <c r="G2980">
        <v>91.9</v>
      </c>
      <c r="H2980" t="s">
        <v>13</v>
      </c>
      <c r="I2980" t="str">
        <f t="shared" si="46"/>
        <v>Alta</v>
      </c>
    </row>
    <row r="2981" spans="1:9">
      <c r="A2981" t="s">
        <v>159</v>
      </c>
      <c r="B2981">
        <v>2024</v>
      </c>
      <c r="C2981">
        <v>2</v>
      </c>
      <c r="D2981" t="s">
        <v>139</v>
      </c>
      <c r="E2981" t="s">
        <v>140</v>
      </c>
      <c r="F2981">
        <v>15.9</v>
      </c>
      <c r="G2981">
        <v>93.7</v>
      </c>
      <c r="H2981" t="s">
        <v>13</v>
      </c>
      <c r="I2981" t="str">
        <f t="shared" si="46"/>
        <v>Alta</v>
      </c>
    </row>
    <row r="2982" spans="1:9">
      <c r="A2982" t="s">
        <v>177</v>
      </c>
      <c r="B2982">
        <v>2024</v>
      </c>
      <c r="C2982">
        <v>2</v>
      </c>
      <c r="D2982" t="s">
        <v>139</v>
      </c>
      <c r="E2982" t="s">
        <v>140</v>
      </c>
      <c r="F2982">
        <v>15.9</v>
      </c>
      <c r="G2982">
        <v>74.400000000000006</v>
      </c>
      <c r="H2982" t="s">
        <v>13</v>
      </c>
      <c r="I2982" t="str">
        <f t="shared" si="46"/>
        <v>Média</v>
      </c>
    </row>
    <row r="2983" spans="1:9">
      <c r="A2983" t="s">
        <v>247</v>
      </c>
      <c r="B2983">
        <v>2025</v>
      </c>
      <c r="C2983">
        <v>1</v>
      </c>
      <c r="D2983" t="s">
        <v>9</v>
      </c>
      <c r="E2983" t="s">
        <v>12</v>
      </c>
      <c r="F2983">
        <v>15.9</v>
      </c>
      <c r="G2983">
        <v>95.3</v>
      </c>
      <c r="H2983" t="s">
        <v>13</v>
      </c>
      <c r="I2983" t="str">
        <f t="shared" si="46"/>
        <v>Alta</v>
      </c>
    </row>
    <row r="2984" spans="1:9">
      <c r="A2984" t="s">
        <v>223</v>
      </c>
      <c r="B2984">
        <v>2025</v>
      </c>
      <c r="C2984">
        <v>2</v>
      </c>
      <c r="D2984" t="s">
        <v>9</v>
      </c>
      <c r="E2984" t="s">
        <v>14</v>
      </c>
      <c r="F2984">
        <v>15.9</v>
      </c>
      <c r="G2984">
        <v>90.7</v>
      </c>
      <c r="H2984" t="s">
        <v>13</v>
      </c>
      <c r="I2984" t="str">
        <f t="shared" si="46"/>
        <v>Alta</v>
      </c>
    </row>
    <row r="2985" spans="1:9">
      <c r="A2985" t="s">
        <v>553</v>
      </c>
      <c r="B2985">
        <v>2026</v>
      </c>
      <c r="C2985">
        <v>1</v>
      </c>
      <c r="D2985" t="s">
        <v>139</v>
      </c>
      <c r="E2985" t="s">
        <v>141</v>
      </c>
      <c r="F2985">
        <v>15.9</v>
      </c>
      <c r="G2985">
        <v>70.8</v>
      </c>
      <c r="H2985" t="s">
        <v>13</v>
      </c>
      <c r="I2985" t="str">
        <f t="shared" si="46"/>
        <v>Média</v>
      </c>
    </row>
    <row r="2986" spans="1:9">
      <c r="A2986" t="s">
        <v>479</v>
      </c>
      <c r="B2986">
        <v>2026</v>
      </c>
      <c r="C2986">
        <v>2</v>
      </c>
      <c r="D2986" t="s">
        <v>75</v>
      </c>
      <c r="E2986" t="s">
        <v>76</v>
      </c>
      <c r="F2986">
        <v>15.9</v>
      </c>
      <c r="G2986">
        <v>85.3</v>
      </c>
      <c r="H2986" t="s">
        <v>13</v>
      </c>
      <c r="I2986" t="str">
        <f t="shared" si="46"/>
        <v>Alta</v>
      </c>
    </row>
    <row r="2987" spans="1:9">
      <c r="A2987" t="s">
        <v>536</v>
      </c>
      <c r="B2987">
        <v>2026</v>
      </c>
      <c r="C2987">
        <v>2</v>
      </c>
      <c r="D2987" t="s">
        <v>139</v>
      </c>
      <c r="E2987" t="s">
        <v>10</v>
      </c>
      <c r="F2987">
        <v>15.9</v>
      </c>
      <c r="G2987">
        <v>92.9</v>
      </c>
      <c r="H2987" t="s">
        <v>13</v>
      </c>
      <c r="I2987" t="str">
        <f t="shared" si="46"/>
        <v>Alta</v>
      </c>
    </row>
    <row r="2988" spans="1:9">
      <c r="A2988" t="s">
        <v>23</v>
      </c>
      <c r="B2988">
        <v>2024</v>
      </c>
      <c r="C2988">
        <v>1</v>
      </c>
      <c r="D2988" t="s">
        <v>9</v>
      </c>
      <c r="E2988" t="s">
        <v>14</v>
      </c>
      <c r="F2988">
        <v>16</v>
      </c>
      <c r="G2988">
        <v>98.5</v>
      </c>
      <c r="H2988" t="s">
        <v>13</v>
      </c>
      <c r="I2988" t="str">
        <f t="shared" si="46"/>
        <v>Alta</v>
      </c>
    </row>
    <row r="2989" spans="1:9">
      <c r="A2989" t="s">
        <v>87</v>
      </c>
      <c r="B2989">
        <v>2024</v>
      </c>
      <c r="C2989">
        <v>1</v>
      </c>
      <c r="D2989" t="s">
        <v>75</v>
      </c>
      <c r="E2989" t="s">
        <v>77</v>
      </c>
      <c r="F2989">
        <v>16</v>
      </c>
      <c r="G2989">
        <v>93.8</v>
      </c>
      <c r="H2989" t="s">
        <v>13</v>
      </c>
      <c r="I2989" t="str">
        <f t="shared" si="46"/>
        <v>Alta</v>
      </c>
    </row>
    <row r="2990" spans="1:9">
      <c r="A2990" t="s">
        <v>145</v>
      </c>
      <c r="B2990">
        <v>2024</v>
      </c>
      <c r="C2990">
        <v>1</v>
      </c>
      <c r="D2990" t="s">
        <v>139</v>
      </c>
      <c r="E2990" t="s">
        <v>141</v>
      </c>
      <c r="F2990">
        <v>16</v>
      </c>
      <c r="G2990">
        <v>84.8</v>
      </c>
      <c r="H2990" t="s">
        <v>13</v>
      </c>
      <c r="I2990" t="str">
        <f t="shared" si="46"/>
        <v>Alta</v>
      </c>
    </row>
    <row r="2991" spans="1:9">
      <c r="A2991" t="s">
        <v>60</v>
      </c>
      <c r="B2991">
        <v>2024</v>
      </c>
      <c r="C2991">
        <v>2</v>
      </c>
      <c r="D2991" t="s">
        <v>9</v>
      </c>
      <c r="E2991" t="s">
        <v>14</v>
      </c>
      <c r="F2991">
        <v>16</v>
      </c>
      <c r="G2991">
        <v>94.3</v>
      </c>
      <c r="H2991" t="s">
        <v>13</v>
      </c>
      <c r="I2991" t="str">
        <f t="shared" si="46"/>
        <v>Alta</v>
      </c>
    </row>
    <row r="2992" spans="1:9">
      <c r="A2992" t="s">
        <v>92</v>
      </c>
      <c r="B2992">
        <v>2024</v>
      </c>
      <c r="C2992">
        <v>2</v>
      </c>
      <c r="D2992" t="s">
        <v>75</v>
      </c>
      <c r="E2992" t="s">
        <v>76</v>
      </c>
      <c r="F2992">
        <v>16</v>
      </c>
      <c r="G2992">
        <v>91.8</v>
      </c>
      <c r="H2992" t="s">
        <v>13</v>
      </c>
      <c r="I2992" t="str">
        <f t="shared" si="46"/>
        <v>Alta</v>
      </c>
    </row>
    <row r="2993" spans="1:9">
      <c r="A2993" t="s">
        <v>156</v>
      </c>
      <c r="B2993">
        <v>2024</v>
      </c>
      <c r="C2993">
        <v>2</v>
      </c>
      <c r="D2993" t="s">
        <v>139</v>
      </c>
      <c r="E2993" t="s">
        <v>10</v>
      </c>
      <c r="F2993">
        <v>16</v>
      </c>
      <c r="G2993">
        <v>95.9</v>
      </c>
      <c r="H2993" t="s">
        <v>13</v>
      </c>
      <c r="I2993" t="str">
        <f t="shared" si="46"/>
        <v>Alta</v>
      </c>
    </row>
    <row r="2994" spans="1:9">
      <c r="A2994" t="s">
        <v>164</v>
      </c>
      <c r="B2994">
        <v>2024</v>
      </c>
      <c r="C2994">
        <v>2</v>
      </c>
      <c r="D2994" t="s">
        <v>139</v>
      </c>
      <c r="E2994" t="s">
        <v>140</v>
      </c>
      <c r="F2994">
        <v>16</v>
      </c>
      <c r="G2994">
        <v>78.599999999999994</v>
      </c>
      <c r="H2994" t="s">
        <v>13</v>
      </c>
      <c r="I2994" t="str">
        <f t="shared" si="46"/>
        <v>Alta</v>
      </c>
    </row>
    <row r="2995" spans="1:9">
      <c r="A2995" t="s">
        <v>314</v>
      </c>
      <c r="B2995">
        <v>2025</v>
      </c>
      <c r="C2995">
        <v>1</v>
      </c>
      <c r="D2995" t="s">
        <v>75</v>
      </c>
      <c r="E2995" t="s">
        <v>76</v>
      </c>
      <c r="F2995">
        <v>16</v>
      </c>
      <c r="G2995">
        <v>79</v>
      </c>
      <c r="H2995" t="s">
        <v>13</v>
      </c>
      <c r="I2995" t="str">
        <f t="shared" si="46"/>
        <v>Alta</v>
      </c>
    </row>
    <row r="2996" spans="1:9">
      <c r="A2996" t="s">
        <v>318</v>
      </c>
      <c r="B2996">
        <v>2025</v>
      </c>
      <c r="C2996">
        <v>2</v>
      </c>
      <c r="D2996" t="s">
        <v>75</v>
      </c>
      <c r="E2996" t="s">
        <v>76</v>
      </c>
      <c r="F2996">
        <v>16</v>
      </c>
      <c r="G2996">
        <v>63.2</v>
      </c>
      <c r="H2996" t="s">
        <v>13</v>
      </c>
      <c r="I2996" t="str">
        <f t="shared" si="46"/>
        <v>Média</v>
      </c>
    </row>
    <row r="2997" spans="1:9">
      <c r="A2997" t="s">
        <v>355</v>
      </c>
      <c r="B2997">
        <v>2025</v>
      </c>
      <c r="C2997">
        <v>2</v>
      </c>
      <c r="D2997" t="s">
        <v>139</v>
      </c>
      <c r="E2997" t="s">
        <v>141</v>
      </c>
      <c r="F2997">
        <v>16</v>
      </c>
      <c r="G2997">
        <v>87.5</v>
      </c>
      <c r="H2997" t="s">
        <v>13</v>
      </c>
      <c r="I2997" t="str">
        <f t="shared" si="46"/>
        <v>Alta</v>
      </c>
    </row>
    <row r="2998" spans="1:9">
      <c r="A2998" t="s">
        <v>469</v>
      </c>
      <c r="B2998">
        <v>2026</v>
      </c>
      <c r="C2998">
        <v>2</v>
      </c>
      <c r="D2998" t="s">
        <v>75</v>
      </c>
      <c r="E2998" t="s">
        <v>78</v>
      </c>
      <c r="F2998">
        <v>16</v>
      </c>
      <c r="G2998">
        <v>84.7</v>
      </c>
      <c r="H2998" t="s">
        <v>13</v>
      </c>
      <c r="I2998" t="str">
        <f t="shared" si="46"/>
        <v>Alta</v>
      </c>
    </row>
    <row r="2999" spans="1:9">
      <c r="A2999" t="s">
        <v>163</v>
      </c>
      <c r="B2999">
        <v>2024</v>
      </c>
      <c r="C2999">
        <v>1</v>
      </c>
      <c r="D2999" t="s">
        <v>139</v>
      </c>
      <c r="E2999" t="s">
        <v>140</v>
      </c>
      <c r="F2999">
        <v>16.100000000000001</v>
      </c>
      <c r="G2999">
        <v>86</v>
      </c>
      <c r="H2999" t="s">
        <v>13</v>
      </c>
      <c r="I2999" t="str">
        <f t="shared" si="46"/>
        <v>Alta</v>
      </c>
    </row>
    <row r="3000" spans="1:9">
      <c r="A3000" t="s">
        <v>98</v>
      </c>
      <c r="B3000">
        <v>2024</v>
      </c>
      <c r="C3000">
        <v>2</v>
      </c>
      <c r="D3000" t="s">
        <v>75</v>
      </c>
      <c r="E3000" t="s">
        <v>77</v>
      </c>
      <c r="F3000">
        <v>16.100000000000001</v>
      </c>
      <c r="G3000">
        <v>77.7</v>
      </c>
      <c r="H3000" t="s">
        <v>13</v>
      </c>
      <c r="I3000" t="str">
        <f t="shared" si="46"/>
        <v>Alta</v>
      </c>
    </row>
    <row r="3001" spans="1:9">
      <c r="A3001" t="s">
        <v>170</v>
      </c>
      <c r="B3001">
        <v>2024</v>
      </c>
      <c r="C3001">
        <v>2</v>
      </c>
      <c r="D3001" t="s">
        <v>139</v>
      </c>
      <c r="E3001" t="s">
        <v>141</v>
      </c>
      <c r="F3001">
        <v>16.100000000000001</v>
      </c>
      <c r="G3001">
        <v>84.5</v>
      </c>
      <c r="H3001" t="s">
        <v>13</v>
      </c>
      <c r="I3001" t="str">
        <f t="shared" si="46"/>
        <v>Alta</v>
      </c>
    </row>
    <row r="3002" spans="1:9">
      <c r="A3002" t="s">
        <v>188</v>
      </c>
      <c r="B3002">
        <v>2024</v>
      </c>
      <c r="C3002">
        <v>2</v>
      </c>
      <c r="D3002" t="s">
        <v>139</v>
      </c>
      <c r="E3002" t="s">
        <v>140</v>
      </c>
      <c r="F3002">
        <v>16.100000000000001</v>
      </c>
      <c r="G3002">
        <v>78.900000000000006</v>
      </c>
      <c r="H3002" t="s">
        <v>13</v>
      </c>
      <c r="I3002" t="str">
        <f t="shared" si="46"/>
        <v>Alta</v>
      </c>
    </row>
    <row r="3003" spans="1:9">
      <c r="A3003" t="s">
        <v>329</v>
      </c>
      <c r="B3003">
        <v>2025</v>
      </c>
      <c r="C3003">
        <v>1</v>
      </c>
      <c r="D3003" t="s">
        <v>139</v>
      </c>
      <c r="E3003" t="s">
        <v>10</v>
      </c>
      <c r="F3003">
        <v>16.100000000000001</v>
      </c>
      <c r="G3003">
        <v>94.7</v>
      </c>
      <c r="H3003" t="s">
        <v>13</v>
      </c>
      <c r="I3003" t="str">
        <f t="shared" si="46"/>
        <v>Alta</v>
      </c>
    </row>
    <row r="3004" spans="1:9">
      <c r="A3004" t="s">
        <v>212</v>
      </c>
      <c r="B3004">
        <v>2025</v>
      </c>
      <c r="C3004">
        <v>2</v>
      </c>
      <c r="D3004" t="s">
        <v>9</v>
      </c>
      <c r="E3004" t="s">
        <v>12</v>
      </c>
      <c r="F3004">
        <v>16.100000000000001</v>
      </c>
      <c r="G3004">
        <v>77.5</v>
      </c>
      <c r="H3004" t="s">
        <v>13</v>
      </c>
      <c r="I3004" t="str">
        <f t="shared" si="46"/>
        <v>Alta</v>
      </c>
    </row>
    <row r="3005" spans="1:9">
      <c r="A3005" t="s">
        <v>241</v>
      </c>
      <c r="B3005">
        <v>2025</v>
      </c>
      <c r="C3005">
        <v>2</v>
      </c>
      <c r="D3005" t="s">
        <v>9</v>
      </c>
      <c r="E3005" t="s">
        <v>10</v>
      </c>
      <c r="F3005">
        <v>16.100000000000001</v>
      </c>
      <c r="G3005">
        <v>77.5</v>
      </c>
      <c r="H3005" t="s">
        <v>13</v>
      </c>
      <c r="I3005" t="str">
        <f t="shared" si="46"/>
        <v>Alta</v>
      </c>
    </row>
    <row r="3006" spans="1:9">
      <c r="A3006" t="s">
        <v>245</v>
      </c>
      <c r="B3006">
        <v>2025</v>
      </c>
      <c r="C3006">
        <v>2</v>
      </c>
      <c r="D3006" t="s">
        <v>9</v>
      </c>
      <c r="E3006" t="s">
        <v>10</v>
      </c>
      <c r="F3006">
        <v>16.100000000000001</v>
      </c>
      <c r="G3006">
        <v>90.2</v>
      </c>
      <c r="H3006" t="s">
        <v>13</v>
      </c>
      <c r="I3006" t="str">
        <f t="shared" si="46"/>
        <v>Alta</v>
      </c>
    </row>
    <row r="3007" spans="1:9">
      <c r="A3007" t="s">
        <v>479</v>
      </c>
      <c r="B3007">
        <v>2026</v>
      </c>
      <c r="C3007">
        <v>1</v>
      </c>
      <c r="D3007" t="s">
        <v>75</v>
      </c>
      <c r="E3007" t="s">
        <v>76</v>
      </c>
      <c r="F3007">
        <v>16.100000000000001</v>
      </c>
      <c r="G3007">
        <v>67.8</v>
      </c>
      <c r="H3007" t="s">
        <v>13</v>
      </c>
      <c r="I3007" t="str">
        <f t="shared" si="46"/>
        <v>Média</v>
      </c>
    </row>
    <row r="3008" spans="1:9">
      <c r="A3008" t="s">
        <v>402</v>
      </c>
      <c r="B3008">
        <v>2026</v>
      </c>
      <c r="C3008">
        <v>2</v>
      </c>
      <c r="D3008" t="s">
        <v>9</v>
      </c>
      <c r="E3008" t="s">
        <v>14</v>
      </c>
      <c r="F3008">
        <v>16.100000000000001</v>
      </c>
      <c r="G3008">
        <v>52.6</v>
      </c>
      <c r="H3008" t="s">
        <v>13</v>
      </c>
      <c r="I3008" t="str">
        <f t="shared" si="46"/>
        <v>Média</v>
      </c>
    </row>
    <row r="3009" spans="1:9">
      <c r="A3009" t="s">
        <v>406</v>
      </c>
      <c r="B3009">
        <v>2026</v>
      </c>
      <c r="C3009">
        <v>2</v>
      </c>
      <c r="D3009" t="s">
        <v>9</v>
      </c>
      <c r="E3009" t="s">
        <v>12</v>
      </c>
      <c r="F3009">
        <v>16.100000000000001</v>
      </c>
      <c r="G3009">
        <v>66.7</v>
      </c>
      <c r="H3009" t="s">
        <v>13</v>
      </c>
      <c r="I3009" t="str">
        <f t="shared" si="46"/>
        <v>Média</v>
      </c>
    </row>
    <row r="3010" spans="1:9">
      <c r="A3010" t="s">
        <v>524</v>
      </c>
      <c r="B3010">
        <v>2026</v>
      </c>
      <c r="C3010">
        <v>2</v>
      </c>
      <c r="D3010" t="s">
        <v>139</v>
      </c>
      <c r="E3010" t="s">
        <v>10</v>
      </c>
      <c r="F3010">
        <v>16.100000000000001</v>
      </c>
      <c r="G3010">
        <v>64.8</v>
      </c>
      <c r="H3010" t="s">
        <v>13</v>
      </c>
      <c r="I3010" t="str">
        <f t="shared" ref="I3010:I3073" si="47">IF(G3010&lt;50,"Baixa",IF(G3010&lt;75,"Média","Alta"))</f>
        <v>Média</v>
      </c>
    </row>
    <row r="3011" spans="1:9">
      <c r="A3011" t="s">
        <v>542</v>
      </c>
      <c r="B3011">
        <v>2026</v>
      </c>
      <c r="C3011">
        <v>2</v>
      </c>
      <c r="D3011" t="s">
        <v>139</v>
      </c>
      <c r="E3011" t="s">
        <v>141</v>
      </c>
      <c r="F3011">
        <v>16.100000000000001</v>
      </c>
      <c r="G3011">
        <v>88.9</v>
      </c>
      <c r="H3011" t="s">
        <v>13</v>
      </c>
      <c r="I3011" t="str">
        <f t="shared" si="47"/>
        <v>Alta</v>
      </c>
    </row>
    <row r="3012" spans="1:9">
      <c r="A3012" t="s">
        <v>557</v>
      </c>
      <c r="B3012">
        <v>2026</v>
      </c>
      <c r="C3012">
        <v>2</v>
      </c>
      <c r="D3012" t="s">
        <v>139</v>
      </c>
      <c r="E3012" t="s">
        <v>140</v>
      </c>
      <c r="F3012">
        <v>16.100000000000001</v>
      </c>
      <c r="G3012">
        <v>73</v>
      </c>
      <c r="H3012" t="s">
        <v>13</v>
      </c>
      <c r="I3012" t="str">
        <f t="shared" si="47"/>
        <v>Média</v>
      </c>
    </row>
    <row r="3013" spans="1:9">
      <c r="A3013" t="s">
        <v>146</v>
      </c>
      <c r="B3013">
        <v>2024</v>
      </c>
      <c r="C3013">
        <v>2</v>
      </c>
      <c r="D3013" t="s">
        <v>139</v>
      </c>
      <c r="E3013" t="s">
        <v>140</v>
      </c>
      <c r="F3013">
        <v>16.2</v>
      </c>
      <c r="G3013">
        <v>88.1</v>
      </c>
      <c r="H3013" t="s">
        <v>13</v>
      </c>
      <c r="I3013" t="str">
        <f t="shared" si="47"/>
        <v>Alta</v>
      </c>
    </row>
    <row r="3014" spans="1:9">
      <c r="A3014" t="s">
        <v>169</v>
      </c>
      <c r="B3014">
        <v>2024</v>
      </c>
      <c r="C3014">
        <v>2</v>
      </c>
      <c r="D3014" t="s">
        <v>139</v>
      </c>
      <c r="E3014" t="s">
        <v>141</v>
      </c>
      <c r="F3014">
        <v>16.2</v>
      </c>
      <c r="G3014">
        <v>95.6</v>
      </c>
      <c r="H3014" t="s">
        <v>13</v>
      </c>
      <c r="I3014" t="str">
        <f t="shared" si="47"/>
        <v>Alta</v>
      </c>
    </row>
    <row r="3015" spans="1:9">
      <c r="A3015" t="s">
        <v>192</v>
      </c>
      <c r="B3015">
        <v>2024</v>
      </c>
      <c r="C3015">
        <v>2</v>
      </c>
      <c r="D3015" t="s">
        <v>139</v>
      </c>
      <c r="E3015" t="s">
        <v>141</v>
      </c>
      <c r="F3015">
        <v>16.2</v>
      </c>
      <c r="G3015">
        <v>99.4</v>
      </c>
      <c r="H3015" t="s">
        <v>13</v>
      </c>
      <c r="I3015" t="str">
        <f t="shared" si="47"/>
        <v>Alta</v>
      </c>
    </row>
    <row r="3016" spans="1:9">
      <c r="A3016" t="s">
        <v>211</v>
      </c>
      <c r="B3016">
        <v>2025</v>
      </c>
      <c r="C3016">
        <v>1</v>
      </c>
      <c r="D3016" t="s">
        <v>9</v>
      </c>
      <c r="E3016" t="s">
        <v>12</v>
      </c>
      <c r="F3016">
        <v>16.2</v>
      </c>
      <c r="G3016">
        <v>57.7</v>
      </c>
      <c r="H3016" t="s">
        <v>13</v>
      </c>
      <c r="I3016" t="str">
        <f t="shared" si="47"/>
        <v>Média</v>
      </c>
    </row>
    <row r="3017" spans="1:9">
      <c r="A3017" t="s">
        <v>233</v>
      </c>
      <c r="B3017">
        <v>2025</v>
      </c>
      <c r="C3017">
        <v>1</v>
      </c>
      <c r="D3017" t="s">
        <v>9</v>
      </c>
      <c r="E3017" t="s">
        <v>12</v>
      </c>
      <c r="F3017">
        <v>16.2</v>
      </c>
      <c r="G3017">
        <v>99.3</v>
      </c>
      <c r="H3017" t="s">
        <v>13</v>
      </c>
      <c r="I3017" t="str">
        <f t="shared" si="47"/>
        <v>Alta</v>
      </c>
    </row>
    <row r="3018" spans="1:9">
      <c r="A3018" t="s">
        <v>243</v>
      </c>
      <c r="B3018">
        <v>2025</v>
      </c>
      <c r="C3018">
        <v>1</v>
      </c>
      <c r="D3018" t="s">
        <v>9</v>
      </c>
      <c r="E3018" t="s">
        <v>10</v>
      </c>
      <c r="F3018">
        <v>16.2</v>
      </c>
      <c r="G3018">
        <v>99.9</v>
      </c>
      <c r="H3018" t="s">
        <v>13</v>
      </c>
      <c r="I3018" t="str">
        <f t="shared" si="47"/>
        <v>Alta</v>
      </c>
    </row>
    <row r="3019" spans="1:9">
      <c r="A3019" t="s">
        <v>249</v>
      </c>
      <c r="B3019">
        <v>2025</v>
      </c>
      <c r="C3019">
        <v>1</v>
      </c>
      <c r="D3019" t="s">
        <v>9</v>
      </c>
      <c r="E3019" t="s">
        <v>10</v>
      </c>
      <c r="F3019">
        <v>16.2</v>
      </c>
      <c r="G3019">
        <v>95.7</v>
      </c>
      <c r="H3019" t="s">
        <v>13</v>
      </c>
      <c r="I3019" t="str">
        <f t="shared" si="47"/>
        <v>Alta</v>
      </c>
    </row>
    <row r="3020" spans="1:9">
      <c r="A3020" t="s">
        <v>344</v>
      </c>
      <c r="B3020">
        <v>2025</v>
      </c>
      <c r="C3020">
        <v>1</v>
      </c>
      <c r="D3020" t="s">
        <v>139</v>
      </c>
      <c r="E3020" t="s">
        <v>141</v>
      </c>
      <c r="F3020">
        <v>16.2</v>
      </c>
      <c r="G3020">
        <v>96.4</v>
      </c>
      <c r="H3020" t="s">
        <v>13</v>
      </c>
      <c r="I3020" t="str">
        <f t="shared" si="47"/>
        <v>Alta</v>
      </c>
    </row>
    <row r="3021" spans="1:9">
      <c r="A3021" t="s">
        <v>225</v>
      </c>
      <c r="B3021">
        <v>2025</v>
      </c>
      <c r="C3021">
        <v>2</v>
      </c>
      <c r="D3021" t="s">
        <v>9</v>
      </c>
      <c r="E3021" t="s">
        <v>10</v>
      </c>
      <c r="F3021">
        <v>16.2</v>
      </c>
      <c r="G3021">
        <v>91.6</v>
      </c>
      <c r="H3021" t="s">
        <v>13</v>
      </c>
      <c r="I3021" t="str">
        <f t="shared" si="47"/>
        <v>Alta</v>
      </c>
    </row>
    <row r="3022" spans="1:9">
      <c r="A3022" t="s">
        <v>263</v>
      </c>
      <c r="B3022">
        <v>2025</v>
      </c>
      <c r="C3022">
        <v>2</v>
      </c>
      <c r="D3022" t="s">
        <v>75</v>
      </c>
      <c r="E3022" t="s">
        <v>76</v>
      </c>
      <c r="F3022">
        <v>16.2</v>
      </c>
      <c r="G3022">
        <v>89.9</v>
      </c>
      <c r="H3022" t="s">
        <v>13</v>
      </c>
      <c r="I3022" t="str">
        <f t="shared" si="47"/>
        <v>Alta</v>
      </c>
    </row>
    <row r="3023" spans="1:9">
      <c r="A3023" t="s">
        <v>281</v>
      </c>
      <c r="B3023">
        <v>2025</v>
      </c>
      <c r="C3023">
        <v>2</v>
      </c>
      <c r="D3023" t="s">
        <v>75</v>
      </c>
      <c r="E3023" t="s">
        <v>77</v>
      </c>
      <c r="F3023">
        <v>16.2</v>
      </c>
      <c r="G3023">
        <v>88.4</v>
      </c>
      <c r="H3023" t="s">
        <v>13</v>
      </c>
      <c r="I3023" t="str">
        <f t="shared" si="47"/>
        <v>Alta</v>
      </c>
    </row>
    <row r="3024" spans="1:9">
      <c r="A3024" t="s">
        <v>317</v>
      </c>
      <c r="B3024">
        <v>2025</v>
      </c>
      <c r="C3024">
        <v>2</v>
      </c>
      <c r="D3024" t="s">
        <v>75</v>
      </c>
      <c r="E3024" t="s">
        <v>78</v>
      </c>
      <c r="F3024">
        <v>16.2</v>
      </c>
      <c r="G3024">
        <v>95.7</v>
      </c>
      <c r="H3024" t="s">
        <v>13</v>
      </c>
      <c r="I3024" t="str">
        <f t="shared" si="47"/>
        <v>Alta</v>
      </c>
    </row>
    <row r="3025" spans="1:9">
      <c r="A3025" t="s">
        <v>373</v>
      </c>
      <c r="B3025">
        <v>2025</v>
      </c>
      <c r="C3025">
        <v>2</v>
      </c>
      <c r="D3025" t="s">
        <v>139</v>
      </c>
      <c r="E3025" t="s">
        <v>140</v>
      </c>
      <c r="F3025">
        <v>16.2</v>
      </c>
      <c r="G3025">
        <v>71</v>
      </c>
      <c r="H3025" t="s">
        <v>13</v>
      </c>
      <c r="I3025" t="str">
        <f t="shared" si="47"/>
        <v>Média</v>
      </c>
    </row>
    <row r="3026" spans="1:9">
      <c r="A3026" t="s">
        <v>406</v>
      </c>
      <c r="B3026">
        <v>2026</v>
      </c>
      <c r="C3026">
        <v>1</v>
      </c>
      <c r="D3026" t="s">
        <v>9</v>
      </c>
      <c r="E3026" t="s">
        <v>10</v>
      </c>
      <c r="F3026">
        <v>16.2</v>
      </c>
      <c r="G3026">
        <v>74.7</v>
      </c>
      <c r="H3026" t="s">
        <v>13</v>
      </c>
      <c r="I3026" t="str">
        <f t="shared" si="47"/>
        <v>Média</v>
      </c>
    </row>
    <row r="3027" spans="1:9">
      <c r="A3027" t="s">
        <v>409</v>
      </c>
      <c r="B3027">
        <v>2026</v>
      </c>
      <c r="C3027">
        <v>1</v>
      </c>
      <c r="D3027" t="s">
        <v>9</v>
      </c>
      <c r="E3027" t="s">
        <v>12</v>
      </c>
      <c r="F3027">
        <v>16.2</v>
      </c>
      <c r="G3027">
        <v>94</v>
      </c>
      <c r="H3027" t="s">
        <v>13</v>
      </c>
      <c r="I3027" t="str">
        <f t="shared" si="47"/>
        <v>Alta</v>
      </c>
    </row>
    <row r="3028" spans="1:9">
      <c r="A3028" t="s">
        <v>489</v>
      </c>
      <c r="B3028">
        <v>2026</v>
      </c>
      <c r="C3028">
        <v>1</v>
      </c>
      <c r="D3028" t="s">
        <v>75</v>
      </c>
      <c r="E3028" t="s">
        <v>78</v>
      </c>
      <c r="F3028">
        <v>16.2</v>
      </c>
      <c r="G3028">
        <v>94.3</v>
      </c>
      <c r="H3028" t="s">
        <v>13</v>
      </c>
      <c r="I3028" t="str">
        <f t="shared" si="47"/>
        <v>Alta</v>
      </c>
    </row>
    <row r="3029" spans="1:9">
      <c r="A3029" t="s">
        <v>515</v>
      </c>
      <c r="B3029">
        <v>2026</v>
      </c>
      <c r="C3029">
        <v>2</v>
      </c>
      <c r="D3029" t="s">
        <v>139</v>
      </c>
      <c r="E3029" t="s">
        <v>141</v>
      </c>
      <c r="F3029">
        <v>16.2</v>
      </c>
      <c r="G3029">
        <v>93.3</v>
      </c>
      <c r="H3029" t="s">
        <v>13</v>
      </c>
      <c r="I3029" t="str">
        <f t="shared" si="47"/>
        <v>Alta</v>
      </c>
    </row>
    <row r="3030" spans="1:9">
      <c r="A3030" t="s">
        <v>530</v>
      </c>
      <c r="B3030">
        <v>2026</v>
      </c>
      <c r="C3030">
        <v>2</v>
      </c>
      <c r="D3030" t="s">
        <v>139</v>
      </c>
      <c r="E3030" t="s">
        <v>141</v>
      </c>
      <c r="F3030">
        <v>16.2</v>
      </c>
      <c r="G3030">
        <v>97.3</v>
      </c>
      <c r="H3030" t="s">
        <v>13</v>
      </c>
      <c r="I3030" t="str">
        <f t="shared" si="47"/>
        <v>Alta</v>
      </c>
    </row>
    <row r="3031" spans="1:9">
      <c r="A3031" t="s">
        <v>15</v>
      </c>
      <c r="B3031">
        <v>2024</v>
      </c>
      <c r="C3031">
        <v>1</v>
      </c>
      <c r="D3031" t="s">
        <v>9</v>
      </c>
      <c r="E3031" t="s">
        <v>10</v>
      </c>
      <c r="F3031">
        <v>16.3</v>
      </c>
      <c r="G3031">
        <v>98.6</v>
      </c>
      <c r="H3031" t="s">
        <v>13</v>
      </c>
      <c r="I3031" t="str">
        <f t="shared" si="47"/>
        <v>Alta</v>
      </c>
    </row>
    <row r="3032" spans="1:9">
      <c r="A3032" t="s">
        <v>34</v>
      </c>
      <c r="B3032">
        <v>2024</v>
      </c>
      <c r="C3032">
        <v>1</v>
      </c>
      <c r="D3032" t="s">
        <v>9</v>
      </c>
      <c r="E3032" t="s">
        <v>10</v>
      </c>
      <c r="F3032">
        <v>16.3</v>
      </c>
      <c r="G3032">
        <v>96.7</v>
      </c>
      <c r="H3032" t="s">
        <v>13</v>
      </c>
      <c r="I3032" t="str">
        <f t="shared" si="47"/>
        <v>Alta</v>
      </c>
    </row>
    <row r="3033" spans="1:9">
      <c r="A3033" t="s">
        <v>202</v>
      </c>
      <c r="B3033">
        <v>2025</v>
      </c>
      <c r="C3033">
        <v>1</v>
      </c>
      <c r="D3033" t="s">
        <v>9</v>
      </c>
      <c r="E3033" t="s">
        <v>12</v>
      </c>
      <c r="F3033">
        <v>16.3</v>
      </c>
      <c r="G3033">
        <v>95.7</v>
      </c>
      <c r="H3033" t="s">
        <v>13</v>
      </c>
      <c r="I3033" t="str">
        <f t="shared" si="47"/>
        <v>Alta</v>
      </c>
    </row>
    <row r="3034" spans="1:9">
      <c r="A3034" t="s">
        <v>209</v>
      </c>
      <c r="B3034">
        <v>2025</v>
      </c>
      <c r="C3034">
        <v>2</v>
      </c>
      <c r="D3034" t="s">
        <v>9</v>
      </c>
      <c r="E3034" t="s">
        <v>14</v>
      </c>
      <c r="F3034">
        <v>16.3</v>
      </c>
      <c r="G3034">
        <v>71.599999999999994</v>
      </c>
      <c r="H3034" t="s">
        <v>13</v>
      </c>
      <c r="I3034" t="str">
        <f t="shared" si="47"/>
        <v>Média</v>
      </c>
    </row>
    <row r="3035" spans="1:9">
      <c r="A3035" t="s">
        <v>357</v>
      </c>
      <c r="B3035">
        <v>2025</v>
      </c>
      <c r="C3035">
        <v>2</v>
      </c>
      <c r="D3035" t="s">
        <v>139</v>
      </c>
      <c r="E3035" t="s">
        <v>140</v>
      </c>
      <c r="F3035">
        <v>16.3</v>
      </c>
      <c r="G3035">
        <v>98.1</v>
      </c>
      <c r="H3035" t="s">
        <v>13</v>
      </c>
      <c r="I3035" t="str">
        <f t="shared" si="47"/>
        <v>Alta</v>
      </c>
    </row>
    <row r="3036" spans="1:9">
      <c r="A3036" t="s">
        <v>357</v>
      </c>
      <c r="B3036">
        <v>2025</v>
      </c>
      <c r="C3036">
        <v>2</v>
      </c>
      <c r="D3036" t="s">
        <v>139</v>
      </c>
      <c r="E3036" t="s">
        <v>141</v>
      </c>
      <c r="F3036">
        <v>16.3</v>
      </c>
      <c r="G3036">
        <v>84.3</v>
      </c>
      <c r="H3036" t="s">
        <v>13</v>
      </c>
      <c r="I3036" t="str">
        <f t="shared" si="47"/>
        <v>Alta</v>
      </c>
    </row>
    <row r="3037" spans="1:9">
      <c r="A3037" t="s">
        <v>397</v>
      </c>
      <c r="B3037">
        <v>2026</v>
      </c>
      <c r="C3037">
        <v>1</v>
      </c>
      <c r="D3037" t="s">
        <v>9</v>
      </c>
      <c r="E3037" t="s">
        <v>12</v>
      </c>
      <c r="F3037">
        <v>16.3</v>
      </c>
      <c r="G3037">
        <v>87.9</v>
      </c>
      <c r="H3037" t="s">
        <v>13</v>
      </c>
      <c r="I3037" t="str">
        <f t="shared" si="47"/>
        <v>Alta</v>
      </c>
    </row>
    <row r="3038" spans="1:9">
      <c r="A3038" t="s">
        <v>428</v>
      </c>
      <c r="B3038">
        <v>2026</v>
      </c>
      <c r="C3038">
        <v>1</v>
      </c>
      <c r="D3038" t="s">
        <v>9</v>
      </c>
      <c r="E3038" t="s">
        <v>12</v>
      </c>
      <c r="F3038">
        <v>16.3</v>
      </c>
      <c r="G3038">
        <v>89.4</v>
      </c>
      <c r="H3038" t="s">
        <v>13</v>
      </c>
      <c r="I3038" t="str">
        <f t="shared" si="47"/>
        <v>Alta</v>
      </c>
    </row>
    <row r="3039" spans="1:9">
      <c r="A3039" t="s">
        <v>447</v>
      </c>
      <c r="B3039">
        <v>2026</v>
      </c>
      <c r="C3039">
        <v>1</v>
      </c>
      <c r="D3039" t="s">
        <v>75</v>
      </c>
      <c r="E3039" t="s">
        <v>76</v>
      </c>
      <c r="F3039">
        <v>16.3</v>
      </c>
      <c r="G3039">
        <v>77.900000000000006</v>
      </c>
      <c r="H3039" t="s">
        <v>13</v>
      </c>
      <c r="I3039" t="str">
        <f t="shared" si="47"/>
        <v>Alta</v>
      </c>
    </row>
    <row r="3040" spans="1:9">
      <c r="A3040" t="s">
        <v>452</v>
      </c>
      <c r="B3040">
        <v>2026</v>
      </c>
      <c r="C3040">
        <v>1</v>
      </c>
      <c r="D3040" t="s">
        <v>75</v>
      </c>
      <c r="E3040" t="s">
        <v>76</v>
      </c>
      <c r="F3040">
        <v>16.3</v>
      </c>
      <c r="G3040">
        <v>71.3</v>
      </c>
      <c r="H3040" t="s">
        <v>13</v>
      </c>
      <c r="I3040" t="str">
        <f t="shared" si="47"/>
        <v>Média</v>
      </c>
    </row>
    <row r="3041" spans="1:9">
      <c r="A3041" t="s">
        <v>429</v>
      </c>
      <c r="B3041">
        <v>2026</v>
      </c>
      <c r="C3041">
        <v>2</v>
      </c>
      <c r="D3041" t="s">
        <v>9</v>
      </c>
      <c r="E3041" t="s">
        <v>12</v>
      </c>
      <c r="F3041">
        <v>16.3</v>
      </c>
      <c r="G3041">
        <v>90</v>
      </c>
      <c r="H3041" t="s">
        <v>13</v>
      </c>
      <c r="I3041" t="str">
        <f t="shared" si="47"/>
        <v>Alta</v>
      </c>
    </row>
    <row r="3042" spans="1:9">
      <c r="A3042" t="s">
        <v>29</v>
      </c>
      <c r="B3042">
        <v>2024</v>
      </c>
      <c r="C3042">
        <v>2</v>
      </c>
      <c r="D3042" t="s">
        <v>9</v>
      </c>
      <c r="E3042" t="s">
        <v>14</v>
      </c>
      <c r="F3042">
        <v>16.399999999999999</v>
      </c>
      <c r="G3042">
        <v>98</v>
      </c>
      <c r="H3042" t="s">
        <v>13</v>
      </c>
      <c r="I3042" t="str">
        <f t="shared" si="47"/>
        <v>Alta</v>
      </c>
    </row>
    <row r="3043" spans="1:9">
      <c r="A3043" t="s">
        <v>54</v>
      </c>
      <c r="B3043">
        <v>2024</v>
      </c>
      <c r="C3043">
        <v>2</v>
      </c>
      <c r="D3043" t="s">
        <v>9</v>
      </c>
      <c r="E3043" t="s">
        <v>10</v>
      </c>
      <c r="F3043">
        <v>16.399999999999999</v>
      </c>
      <c r="G3043">
        <v>96.5</v>
      </c>
      <c r="H3043" t="s">
        <v>13</v>
      </c>
      <c r="I3043" t="str">
        <f t="shared" si="47"/>
        <v>Alta</v>
      </c>
    </row>
    <row r="3044" spans="1:9">
      <c r="A3044" t="s">
        <v>121</v>
      </c>
      <c r="B3044">
        <v>2024</v>
      </c>
      <c r="C3044">
        <v>2</v>
      </c>
      <c r="D3044" t="s">
        <v>75</v>
      </c>
      <c r="E3044" t="s">
        <v>76</v>
      </c>
      <c r="F3044">
        <v>16.399999999999999</v>
      </c>
      <c r="G3044">
        <v>94.3</v>
      </c>
      <c r="H3044" t="s">
        <v>13</v>
      </c>
      <c r="I3044" t="str">
        <f t="shared" si="47"/>
        <v>Alta</v>
      </c>
    </row>
    <row r="3045" spans="1:9">
      <c r="A3045" t="s">
        <v>263</v>
      </c>
      <c r="B3045">
        <v>2025</v>
      </c>
      <c r="C3045">
        <v>1</v>
      </c>
      <c r="D3045" t="s">
        <v>75</v>
      </c>
      <c r="E3045" t="s">
        <v>76</v>
      </c>
      <c r="F3045">
        <v>16.399999999999999</v>
      </c>
      <c r="G3045">
        <v>98.9</v>
      </c>
      <c r="H3045" t="s">
        <v>13</v>
      </c>
      <c r="I3045" t="str">
        <f t="shared" si="47"/>
        <v>Alta</v>
      </c>
    </row>
    <row r="3046" spans="1:9">
      <c r="A3046" t="s">
        <v>380</v>
      </c>
      <c r="B3046">
        <v>2025</v>
      </c>
      <c r="C3046">
        <v>1</v>
      </c>
      <c r="D3046" t="s">
        <v>139</v>
      </c>
      <c r="E3046" t="s">
        <v>140</v>
      </c>
      <c r="F3046">
        <v>16.399999999999999</v>
      </c>
      <c r="G3046">
        <v>99.7</v>
      </c>
      <c r="H3046" t="s">
        <v>13</v>
      </c>
      <c r="I3046" t="str">
        <f t="shared" si="47"/>
        <v>Alta</v>
      </c>
    </row>
    <row r="3047" spans="1:9">
      <c r="A3047" t="s">
        <v>337</v>
      </c>
      <c r="B3047">
        <v>2025</v>
      </c>
      <c r="C3047">
        <v>2</v>
      </c>
      <c r="D3047" t="s">
        <v>139</v>
      </c>
      <c r="E3047" t="s">
        <v>141</v>
      </c>
      <c r="F3047">
        <v>16.399999999999999</v>
      </c>
      <c r="G3047">
        <v>97.6</v>
      </c>
      <c r="H3047" t="s">
        <v>13</v>
      </c>
      <c r="I3047" t="str">
        <f t="shared" si="47"/>
        <v>Alta</v>
      </c>
    </row>
    <row r="3048" spans="1:9">
      <c r="A3048" t="s">
        <v>371</v>
      </c>
      <c r="B3048">
        <v>2025</v>
      </c>
      <c r="C3048">
        <v>2</v>
      </c>
      <c r="D3048" t="s">
        <v>139</v>
      </c>
      <c r="E3048" t="s">
        <v>140</v>
      </c>
      <c r="F3048">
        <v>16.399999999999999</v>
      </c>
      <c r="G3048">
        <v>75.2</v>
      </c>
      <c r="H3048" t="s">
        <v>13</v>
      </c>
      <c r="I3048" t="str">
        <f t="shared" si="47"/>
        <v>Alta</v>
      </c>
    </row>
    <row r="3049" spans="1:9">
      <c r="A3049" t="s">
        <v>376</v>
      </c>
      <c r="B3049">
        <v>2025</v>
      </c>
      <c r="C3049">
        <v>2</v>
      </c>
      <c r="D3049" t="s">
        <v>139</v>
      </c>
      <c r="E3049" t="s">
        <v>10</v>
      </c>
      <c r="F3049">
        <v>16.399999999999999</v>
      </c>
      <c r="G3049">
        <v>73.400000000000006</v>
      </c>
      <c r="H3049" t="s">
        <v>13</v>
      </c>
      <c r="I3049" t="str">
        <f t="shared" si="47"/>
        <v>Média</v>
      </c>
    </row>
    <row r="3050" spans="1:9">
      <c r="A3050" t="s">
        <v>430</v>
      </c>
      <c r="B3050">
        <v>2026</v>
      </c>
      <c r="C3050">
        <v>1</v>
      </c>
      <c r="D3050" t="s">
        <v>9</v>
      </c>
      <c r="E3050" t="s">
        <v>10</v>
      </c>
      <c r="F3050">
        <v>16.399999999999999</v>
      </c>
      <c r="G3050">
        <v>83.3</v>
      </c>
      <c r="H3050" t="s">
        <v>13</v>
      </c>
      <c r="I3050" t="str">
        <f t="shared" si="47"/>
        <v>Alta</v>
      </c>
    </row>
    <row r="3051" spans="1:9">
      <c r="A3051" t="s">
        <v>554</v>
      </c>
      <c r="B3051">
        <v>2026</v>
      </c>
      <c r="C3051">
        <v>1</v>
      </c>
      <c r="D3051" t="s">
        <v>139</v>
      </c>
      <c r="E3051" t="s">
        <v>10</v>
      </c>
      <c r="F3051">
        <v>16.399999999999999</v>
      </c>
      <c r="G3051">
        <v>94.8</v>
      </c>
      <c r="H3051" t="s">
        <v>13</v>
      </c>
      <c r="I3051" t="str">
        <f t="shared" si="47"/>
        <v>Alta</v>
      </c>
    </row>
    <row r="3052" spans="1:9">
      <c r="A3052" t="s">
        <v>210</v>
      </c>
      <c r="B3052">
        <v>2025</v>
      </c>
      <c r="C3052">
        <v>1</v>
      </c>
      <c r="D3052" t="s">
        <v>9</v>
      </c>
      <c r="E3052" t="s">
        <v>10</v>
      </c>
      <c r="F3052">
        <v>16.5</v>
      </c>
      <c r="G3052">
        <v>77</v>
      </c>
      <c r="H3052" t="s">
        <v>13</v>
      </c>
      <c r="I3052" t="str">
        <f t="shared" si="47"/>
        <v>Alta</v>
      </c>
    </row>
    <row r="3053" spans="1:9">
      <c r="A3053" t="s">
        <v>248</v>
      </c>
      <c r="B3053">
        <v>2025</v>
      </c>
      <c r="C3053">
        <v>1</v>
      </c>
      <c r="D3053" t="s">
        <v>9</v>
      </c>
      <c r="E3053" t="s">
        <v>14</v>
      </c>
      <c r="F3053">
        <v>16.5</v>
      </c>
      <c r="G3053">
        <v>85.5</v>
      </c>
      <c r="H3053" t="s">
        <v>13</v>
      </c>
      <c r="I3053" t="str">
        <f t="shared" si="47"/>
        <v>Alta</v>
      </c>
    </row>
    <row r="3054" spans="1:9">
      <c r="A3054" t="s">
        <v>202</v>
      </c>
      <c r="B3054">
        <v>2025</v>
      </c>
      <c r="C3054">
        <v>2</v>
      </c>
      <c r="D3054" t="s">
        <v>9</v>
      </c>
      <c r="E3054" t="s">
        <v>14</v>
      </c>
      <c r="F3054">
        <v>16.5</v>
      </c>
      <c r="G3054">
        <v>98.1</v>
      </c>
      <c r="H3054" t="s">
        <v>13</v>
      </c>
      <c r="I3054" t="str">
        <f t="shared" si="47"/>
        <v>Alta</v>
      </c>
    </row>
    <row r="3055" spans="1:9">
      <c r="A3055" t="s">
        <v>292</v>
      </c>
      <c r="B3055">
        <v>2025</v>
      </c>
      <c r="C3055">
        <v>2</v>
      </c>
      <c r="D3055" t="s">
        <v>75</v>
      </c>
      <c r="E3055" t="s">
        <v>76</v>
      </c>
      <c r="F3055">
        <v>16.5</v>
      </c>
      <c r="G3055">
        <v>75.099999999999994</v>
      </c>
      <c r="H3055" t="s">
        <v>13</v>
      </c>
      <c r="I3055" t="str">
        <f t="shared" si="47"/>
        <v>Alta</v>
      </c>
    </row>
    <row r="3056" spans="1:9">
      <c r="A3056" t="s">
        <v>312</v>
      </c>
      <c r="B3056">
        <v>2025</v>
      </c>
      <c r="C3056">
        <v>2</v>
      </c>
      <c r="D3056" t="s">
        <v>75</v>
      </c>
      <c r="E3056" t="s">
        <v>77</v>
      </c>
      <c r="F3056">
        <v>16.5</v>
      </c>
      <c r="G3056">
        <v>92.5</v>
      </c>
      <c r="H3056" t="s">
        <v>13</v>
      </c>
      <c r="I3056" t="str">
        <f t="shared" si="47"/>
        <v>Alta</v>
      </c>
    </row>
    <row r="3057" spans="1:9">
      <c r="A3057" t="s">
        <v>477</v>
      </c>
      <c r="B3057">
        <v>2026</v>
      </c>
      <c r="C3057">
        <v>1</v>
      </c>
      <c r="D3057" t="s">
        <v>75</v>
      </c>
      <c r="E3057" t="s">
        <v>76</v>
      </c>
      <c r="F3057">
        <v>16.5</v>
      </c>
      <c r="G3057">
        <v>88.3</v>
      </c>
      <c r="H3057" t="s">
        <v>13</v>
      </c>
      <c r="I3057" t="str">
        <f t="shared" si="47"/>
        <v>Alta</v>
      </c>
    </row>
    <row r="3058" spans="1:9">
      <c r="A3058" t="s">
        <v>492</v>
      </c>
      <c r="B3058">
        <v>2026</v>
      </c>
      <c r="C3058">
        <v>1</v>
      </c>
      <c r="D3058" t="s">
        <v>75</v>
      </c>
      <c r="E3058" t="s">
        <v>77</v>
      </c>
      <c r="F3058">
        <v>16.5</v>
      </c>
      <c r="G3058">
        <v>95.4</v>
      </c>
      <c r="H3058" t="s">
        <v>13</v>
      </c>
      <c r="I3058" t="str">
        <f t="shared" si="47"/>
        <v>Alta</v>
      </c>
    </row>
    <row r="3059" spans="1:9">
      <c r="A3059" t="s">
        <v>399</v>
      </c>
      <c r="B3059">
        <v>2026</v>
      </c>
      <c r="C3059">
        <v>2</v>
      </c>
      <c r="D3059" t="s">
        <v>9</v>
      </c>
      <c r="E3059" t="s">
        <v>12</v>
      </c>
      <c r="F3059">
        <v>16.5</v>
      </c>
      <c r="G3059">
        <v>89.5</v>
      </c>
      <c r="H3059" t="s">
        <v>13</v>
      </c>
      <c r="I3059" t="str">
        <f t="shared" si="47"/>
        <v>Alta</v>
      </c>
    </row>
    <row r="3060" spans="1:9">
      <c r="A3060" t="s">
        <v>481</v>
      </c>
      <c r="B3060">
        <v>2026</v>
      </c>
      <c r="C3060">
        <v>2</v>
      </c>
      <c r="D3060" t="s">
        <v>75</v>
      </c>
      <c r="E3060" t="s">
        <v>77</v>
      </c>
      <c r="F3060">
        <v>16.5</v>
      </c>
      <c r="G3060">
        <v>93.4</v>
      </c>
      <c r="H3060" t="s">
        <v>13</v>
      </c>
      <c r="I3060" t="str">
        <f t="shared" si="47"/>
        <v>Alta</v>
      </c>
    </row>
    <row r="3061" spans="1:9">
      <c r="A3061" t="s">
        <v>82</v>
      </c>
      <c r="B3061">
        <v>2024</v>
      </c>
      <c r="C3061">
        <v>1</v>
      </c>
      <c r="D3061" t="s">
        <v>75</v>
      </c>
      <c r="E3061" t="s">
        <v>78</v>
      </c>
      <c r="F3061">
        <v>16.600000000000001</v>
      </c>
      <c r="G3061">
        <v>98.2</v>
      </c>
      <c r="H3061" t="s">
        <v>13</v>
      </c>
      <c r="I3061" t="str">
        <f t="shared" si="47"/>
        <v>Alta</v>
      </c>
    </row>
    <row r="3062" spans="1:9">
      <c r="A3062" t="s">
        <v>173</v>
      </c>
      <c r="B3062">
        <v>2024</v>
      </c>
      <c r="C3062">
        <v>1</v>
      </c>
      <c r="D3062" t="s">
        <v>139</v>
      </c>
      <c r="E3062" t="s">
        <v>10</v>
      </c>
      <c r="F3062">
        <v>16.600000000000001</v>
      </c>
      <c r="G3062">
        <v>47.1</v>
      </c>
      <c r="H3062" t="s">
        <v>13</v>
      </c>
      <c r="I3062" t="str">
        <f t="shared" si="47"/>
        <v>Baixa</v>
      </c>
    </row>
    <row r="3063" spans="1:9">
      <c r="A3063" t="s">
        <v>45</v>
      </c>
      <c r="B3063">
        <v>2024</v>
      </c>
      <c r="C3063">
        <v>2</v>
      </c>
      <c r="D3063" t="s">
        <v>9</v>
      </c>
      <c r="E3063" t="s">
        <v>14</v>
      </c>
      <c r="F3063">
        <v>16.600000000000001</v>
      </c>
      <c r="G3063">
        <v>71.099999999999994</v>
      </c>
      <c r="H3063" t="s">
        <v>13</v>
      </c>
      <c r="I3063" t="str">
        <f t="shared" si="47"/>
        <v>Média</v>
      </c>
    </row>
    <row r="3064" spans="1:9">
      <c r="A3064" t="s">
        <v>84</v>
      </c>
      <c r="B3064">
        <v>2024</v>
      </c>
      <c r="C3064">
        <v>2</v>
      </c>
      <c r="D3064" t="s">
        <v>75</v>
      </c>
      <c r="E3064" t="s">
        <v>78</v>
      </c>
      <c r="F3064">
        <v>16.600000000000001</v>
      </c>
      <c r="G3064">
        <v>95.3</v>
      </c>
      <c r="H3064" t="s">
        <v>13</v>
      </c>
      <c r="I3064" t="str">
        <f t="shared" si="47"/>
        <v>Alta</v>
      </c>
    </row>
    <row r="3065" spans="1:9">
      <c r="A3065" t="s">
        <v>122</v>
      </c>
      <c r="B3065">
        <v>2024</v>
      </c>
      <c r="C3065">
        <v>2</v>
      </c>
      <c r="D3065" t="s">
        <v>75</v>
      </c>
      <c r="E3065" t="s">
        <v>76</v>
      </c>
      <c r="F3065">
        <v>16.600000000000001</v>
      </c>
      <c r="G3065">
        <v>92.8</v>
      </c>
      <c r="H3065" t="s">
        <v>13</v>
      </c>
      <c r="I3065" t="str">
        <f t="shared" si="47"/>
        <v>Alta</v>
      </c>
    </row>
    <row r="3066" spans="1:9">
      <c r="A3066" t="s">
        <v>286</v>
      </c>
      <c r="B3066">
        <v>2025</v>
      </c>
      <c r="C3066">
        <v>1</v>
      </c>
      <c r="D3066" t="s">
        <v>75</v>
      </c>
      <c r="E3066" t="s">
        <v>76</v>
      </c>
      <c r="F3066">
        <v>16.600000000000001</v>
      </c>
      <c r="G3066">
        <v>56.1</v>
      </c>
      <c r="H3066" t="s">
        <v>13</v>
      </c>
      <c r="I3066" t="str">
        <f t="shared" si="47"/>
        <v>Média</v>
      </c>
    </row>
    <row r="3067" spans="1:9">
      <c r="A3067" t="s">
        <v>292</v>
      </c>
      <c r="B3067">
        <v>2025</v>
      </c>
      <c r="C3067">
        <v>1</v>
      </c>
      <c r="D3067" t="s">
        <v>75</v>
      </c>
      <c r="E3067" t="s">
        <v>76</v>
      </c>
      <c r="F3067">
        <v>16.600000000000001</v>
      </c>
      <c r="G3067">
        <v>90.5</v>
      </c>
      <c r="H3067" t="s">
        <v>13</v>
      </c>
      <c r="I3067" t="str">
        <f t="shared" si="47"/>
        <v>Alta</v>
      </c>
    </row>
    <row r="3068" spans="1:9">
      <c r="A3068" t="s">
        <v>302</v>
      </c>
      <c r="B3068">
        <v>2025</v>
      </c>
      <c r="C3068">
        <v>1</v>
      </c>
      <c r="D3068" t="s">
        <v>75</v>
      </c>
      <c r="E3068" t="s">
        <v>76</v>
      </c>
      <c r="F3068">
        <v>16.600000000000001</v>
      </c>
      <c r="G3068">
        <v>81</v>
      </c>
      <c r="H3068" t="s">
        <v>13</v>
      </c>
      <c r="I3068" t="str">
        <f t="shared" si="47"/>
        <v>Alta</v>
      </c>
    </row>
    <row r="3069" spans="1:9">
      <c r="A3069" t="s">
        <v>214</v>
      </c>
      <c r="B3069">
        <v>2025</v>
      </c>
      <c r="C3069">
        <v>2</v>
      </c>
      <c r="D3069" t="s">
        <v>9</v>
      </c>
      <c r="E3069" t="s">
        <v>12</v>
      </c>
      <c r="F3069">
        <v>16.600000000000001</v>
      </c>
      <c r="G3069">
        <v>95</v>
      </c>
      <c r="H3069" t="s">
        <v>13</v>
      </c>
      <c r="I3069" t="str">
        <f t="shared" si="47"/>
        <v>Alta</v>
      </c>
    </row>
    <row r="3070" spans="1:9">
      <c r="A3070" t="s">
        <v>363</v>
      </c>
      <c r="B3070">
        <v>2025</v>
      </c>
      <c r="C3070">
        <v>2</v>
      </c>
      <c r="D3070" t="s">
        <v>139</v>
      </c>
      <c r="E3070" t="s">
        <v>140</v>
      </c>
      <c r="F3070">
        <v>16.600000000000001</v>
      </c>
      <c r="G3070">
        <v>99.6</v>
      </c>
      <c r="H3070" t="s">
        <v>13</v>
      </c>
      <c r="I3070" t="str">
        <f t="shared" si="47"/>
        <v>Alta</v>
      </c>
    </row>
    <row r="3071" spans="1:9">
      <c r="A3071" t="s">
        <v>458</v>
      </c>
      <c r="B3071">
        <v>2026</v>
      </c>
      <c r="C3071">
        <v>1</v>
      </c>
      <c r="D3071" t="s">
        <v>75</v>
      </c>
      <c r="E3071" t="s">
        <v>78</v>
      </c>
      <c r="F3071">
        <v>16.600000000000001</v>
      </c>
      <c r="G3071">
        <v>88.5</v>
      </c>
      <c r="H3071" t="s">
        <v>13</v>
      </c>
      <c r="I3071" t="str">
        <f t="shared" si="47"/>
        <v>Alta</v>
      </c>
    </row>
    <row r="3072" spans="1:9">
      <c r="A3072" t="s">
        <v>543</v>
      </c>
      <c r="B3072">
        <v>2026</v>
      </c>
      <c r="C3072">
        <v>2</v>
      </c>
      <c r="D3072" t="s">
        <v>139</v>
      </c>
      <c r="E3072" t="s">
        <v>140</v>
      </c>
      <c r="F3072">
        <v>16.600000000000001</v>
      </c>
      <c r="G3072">
        <v>71.2</v>
      </c>
      <c r="H3072" t="s">
        <v>13</v>
      </c>
      <c r="I3072" t="str">
        <f t="shared" si="47"/>
        <v>Média</v>
      </c>
    </row>
    <row r="3073" spans="1:9">
      <c r="A3073" t="s">
        <v>128</v>
      </c>
      <c r="B3073">
        <v>2024</v>
      </c>
      <c r="C3073">
        <v>1</v>
      </c>
      <c r="D3073" t="s">
        <v>75</v>
      </c>
      <c r="E3073" t="s">
        <v>76</v>
      </c>
      <c r="F3073">
        <v>16.7</v>
      </c>
      <c r="G3073">
        <v>84</v>
      </c>
      <c r="H3073" t="s">
        <v>13</v>
      </c>
      <c r="I3073" t="str">
        <f t="shared" si="47"/>
        <v>Alta</v>
      </c>
    </row>
    <row r="3074" spans="1:9">
      <c r="A3074" t="s">
        <v>93</v>
      </c>
      <c r="B3074">
        <v>2024</v>
      </c>
      <c r="C3074">
        <v>2</v>
      </c>
      <c r="D3074" t="s">
        <v>75</v>
      </c>
      <c r="E3074" t="s">
        <v>77</v>
      </c>
      <c r="F3074">
        <v>16.7</v>
      </c>
      <c r="G3074">
        <v>96.7</v>
      </c>
      <c r="H3074" t="s">
        <v>13</v>
      </c>
      <c r="I3074" t="str">
        <f t="shared" ref="I3074:I3137" si="48">IF(G3074&lt;50,"Baixa",IF(G3074&lt;75,"Média","Alta"))</f>
        <v>Alta</v>
      </c>
    </row>
    <row r="3075" spans="1:9">
      <c r="A3075" t="s">
        <v>265</v>
      </c>
      <c r="B3075">
        <v>2025</v>
      </c>
      <c r="C3075">
        <v>1</v>
      </c>
      <c r="D3075" t="s">
        <v>75</v>
      </c>
      <c r="E3075" t="s">
        <v>78</v>
      </c>
      <c r="F3075">
        <v>16.7</v>
      </c>
      <c r="G3075">
        <v>98.1</v>
      </c>
      <c r="H3075" t="s">
        <v>13</v>
      </c>
      <c r="I3075" t="str">
        <f t="shared" si="48"/>
        <v>Alta</v>
      </c>
    </row>
    <row r="3076" spans="1:9">
      <c r="A3076" t="s">
        <v>328</v>
      </c>
      <c r="B3076">
        <v>2025</v>
      </c>
      <c r="C3076">
        <v>1</v>
      </c>
      <c r="D3076" t="s">
        <v>139</v>
      </c>
      <c r="E3076" t="s">
        <v>10</v>
      </c>
      <c r="F3076">
        <v>16.7</v>
      </c>
      <c r="G3076">
        <v>73.8</v>
      </c>
      <c r="H3076" t="s">
        <v>13</v>
      </c>
      <c r="I3076" t="str">
        <f t="shared" si="48"/>
        <v>Média</v>
      </c>
    </row>
    <row r="3077" spans="1:9">
      <c r="A3077" t="s">
        <v>298</v>
      </c>
      <c r="B3077">
        <v>2025</v>
      </c>
      <c r="C3077">
        <v>2</v>
      </c>
      <c r="D3077" t="s">
        <v>75</v>
      </c>
      <c r="E3077" t="s">
        <v>78</v>
      </c>
      <c r="F3077">
        <v>16.7</v>
      </c>
      <c r="G3077">
        <v>80.7</v>
      </c>
      <c r="H3077" t="s">
        <v>13</v>
      </c>
      <c r="I3077" t="str">
        <f t="shared" si="48"/>
        <v>Alta</v>
      </c>
    </row>
    <row r="3078" spans="1:9">
      <c r="A3078" t="s">
        <v>379</v>
      </c>
      <c r="B3078">
        <v>2025</v>
      </c>
      <c r="C3078">
        <v>2</v>
      </c>
      <c r="D3078" t="s">
        <v>139</v>
      </c>
      <c r="E3078" t="s">
        <v>140</v>
      </c>
      <c r="F3078">
        <v>16.7</v>
      </c>
      <c r="G3078">
        <v>99.5</v>
      </c>
      <c r="H3078" t="s">
        <v>13</v>
      </c>
      <c r="I3078" t="str">
        <f t="shared" si="48"/>
        <v>Alta</v>
      </c>
    </row>
    <row r="3079" spans="1:9">
      <c r="A3079" t="s">
        <v>483</v>
      </c>
      <c r="B3079">
        <v>2026</v>
      </c>
      <c r="C3079">
        <v>1</v>
      </c>
      <c r="D3079" t="s">
        <v>75</v>
      </c>
      <c r="E3079" t="s">
        <v>78</v>
      </c>
      <c r="F3079">
        <v>16.7</v>
      </c>
      <c r="G3079">
        <v>73.400000000000006</v>
      </c>
      <c r="H3079" t="s">
        <v>13</v>
      </c>
      <c r="I3079" t="str">
        <f t="shared" si="48"/>
        <v>Média</v>
      </c>
    </row>
    <row r="3080" spans="1:9">
      <c r="A3080" t="s">
        <v>193</v>
      </c>
      <c r="B3080">
        <v>2024</v>
      </c>
      <c r="C3080">
        <v>2</v>
      </c>
      <c r="D3080" t="s">
        <v>139</v>
      </c>
      <c r="E3080" t="s">
        <v>140</v>
      </c>
      <c r="F3080">
        <v>16.8</v>
      </c>
      <c r="G3080">
        <v>71.900000000000006</v>
      </c>
      <c r="H3080" t="s">
        <v>13</v>
      </c>
      <c r="I3080" t="str">
        <f t="shared" si="48"/>
        <v>Média</v>
      </c>
    </row>
    <row r="3081" spans="1:9">
      <c r="A3081" t="s">
        <v>274</v>
      </c>
      <c r="B3081">
        <v>2025</v>
      </c>
      <c r="C3081">
        <v>1</v>
      </c>
      <c r="D3081" t="s">
        <v>75</v>
      </c>
      <c r="E3081" t="s">
        <v>78</v>
      </c>
      <c r="F3081">
        <v>16.8</v>
      </c>
      <c r="G3081">
        <v>80.2</v>
      </c>
      <c r="H3081" t="s">
        <v>13</v>
      </c>
      <c r="I3081" t="str">
        <f t="shared" si="48"/>
        <v>Alta</v>
      </c>
    </row>
    <row r="3082" spans="1:9">
      <c r="A3082" t="s">
        <v>294</v>
      </c>
      <c r="B3082">
        <v>2025</v>
      </c>
      <c r="C3082">
        <v>1</v>
      </c>
      <c r="D3082" t="s">
        <v>75</v>
      </c>
      <c r="E3082" t="s">
        <v>77</v>
      </c>
      <c r="F3082">
        <v>16.8</v>
      </c>
      <c r="G3082">
        <v>93.4</v>
      </c>
      <c r="H3082" t="s">
        <v>13</v>
      </c>
      <c r="I3082" t="str">
        <f t="shared" si="48"/>
        <v>Alta</v>
      </c>
    </row>
    <row r="3083" spans="1:9">
      <c r="A3083" t="s">
        <v>359</v>
      </c>
      <c r="B3083">
        <v>2025</v>
      </c>
      <c r="C3083">
        <v>2</v>
      </c>
      <c r="D3083" t="s">
        <v>139</v>
      </c>
      <c r="E3083" t="s">
        <v>10</v>
      </c>
      <c r="F3083">
        <v>16.8</v>
      </c>
      <c r="G3083">
        <v>80.3</v>
      </c>
      <c r="H3083" t="s">
        <v>13</v>
      </c>
      <c r="I3083" t="str">
        <f t="shared" si="48"/>
        <v>Alta</v>
      </c>
    </row>
    <row r="3084" spans="1:9">
      <c r="A3084" t="s">
        <v>506</v>
      </c>
      <c r="B3084">
        <v>2026</v>
      </c>
      <c r="C3084">
        <v>1</v>
      </c>
      <c r="D3084" t="s">
        <v>139</v>
      </c>
      <c r="E3084" t="s">
        <v>10</v>
      </c>
      <c r="F3084">
        <v>16.8</v>
      </c>
      <c r="G3084">
        <v>92.2</v>
      </c>
      <c r="H3084" t="s">
        <v>13</v>
      </c>
      <c r="I3084" t="str">
        <f t="shared" si="48"/>
        <v>Alta</v>
      </c>
    </row>
    <row r="3085" spans="1:9">
      <c r="A3085" t="s">
        <v>528</v>
      </c>
      <c r="B3085">
        <v>2026</v>
      </c>
      <c r="C3085">
        <v>2</v>
      </c>
      <c r="D3085" t="s">
        <v>139</v>
      </c>
      <c r="E3085" t="s">
        <v>140</v>
      </c>
      <c r="F3085">
        <v>16.8</v>
      </c>
      <c r="G3085">
        <v>97.7</v>
      </c>
      <c r="H3085" t="s">
        <v>13</v>
      </c>
      <c r="I3085" t="str">
        <f t="shared" si="48"/>
        <v>Alta</v>
      </c>
    </row>
    <row r="3086" spans="1:9">
      <c r="A3086" t="s">
        <v>81</v>
      </c>
      <c r="B3086">
        <v>2024</v>
      </c>
      <c r="C3086">
        <v>1</v>
      </c>
      <c r="D3086" t="s">
        <v>75</v>
      </c>
      <c r="E3086" t="s">
        <v>78</v>
      </c>
      <c r="F3086">
        <v>16.899999999999999</v>
      </c>
      <c r="G3086">
        <v>85.7</v>
      </c>
      <c r="H3086" t="s">
        <v>13</v>
      </c>
      <c r="I3086" t="str">
        <f t="shared" si="48"/>
        <v>Alta</v>
      </c>
    </row>
    <row r="3087" spans="1:9">
      <c r="A3087" t="s">
        <v>197</v>
      </c>
      <c r="B3087">
        <v>2024</v>
      </c>
      <c r="C3087">
        <v>1</v>
      </c>
      <c r="D3087" t="s">
        <v>139</v>
      </c>
      <c r="E3087" t="s">
        <v>10</v>
      </c>
      <c r="F3087">
        <v>16.899999999999999</v>
      </c>
      <c r="G3087">
        <v>96.8</v>
      </c>
      <c r="H3087" t="s">
        <v>13</v>
      </c>
      <c r="I3087" t="str">
        <f t="shared" si="48"/>
        <v>Alta</v>
      </c>
    </row>
    <row r="3088" spans="1:9">
      <c r="A3088" t="s">
        <v>84</v>
      </c>
      <c r="B3088">
        <v>2024</v>
      </c>
      <c r="C3088">
        <v>2</v>
      </c>
      <c r="D3088" t="s">
        <v>75</v>
      </c>
      <c r="E3088" t="s">
        <v>77</v>
      </c>
      <c r="F3088">
        <v>16.899999999999999</v>
      </c>
      <c r="G3088">
        <v>81.900000000000006</v>
      </c>
      <c r="H3088" t="s">
        <v>13</v>
      </c>
      <c r="I3088" t="str">
        <f t="shared" si="48"/>
        <v>Alta</v>
      </c>
    </row>
    <row r="3089" spans="1:9">
      <c r="A3089" t="s">
        <v>226</v>
      </c>
      <c r="B3089">
        <v>2025</v>
      </c>
      <c r="C3089">
        <v>1</v>
      </c>
      <c r="D3089" t="s">
        <v>9</v>
      </c>
      <c r="E3089" t="s">
        <v>10</v>
      </c>
      <c r="F3089">
        <v>16.899999999999999</v>
      </c>
      <c r="G3089">
        <v>94.5</v>
      </c>
      <c r="H3089" t="s">
        <v>13</v>
      </c>
      <c r="I3089" t="str">
        <f t="shared" si="48"/>
        <v>Alta</v>
      </c>
    </row>
    <row r="3090" spans="1:9">
      <c r="A3090" t="s">
        <v>268</v>
      </c>
      <c r="B3090">
        <v>2025</v>
      </c>
      <c r="C3090">
        <v>1</v>
      </c>
      <c r="D3090" t="s">
        <v>75</v>
      </c>
      <c r="E3090" t="s">
        <v>78</v>
      </c>
      <c r="F3090">
        <v>16.899999999999999</v>
      </c>
      <c r="G3090">
        <v>45</v>
      </c>
      <c r="H3090" t="s">
        <v>13</v>
      </c>
      <c r="I3090" t="str">
        <f t="shared" si="48"/>
        <v>Baixa</v>
      </c>
    </row>
    <row r="3091" spans="1:9">
      <c r="A3091" t="s">
        <v>339</v>
      </c>
      <c r="B3091">
        <v>2025</v>
      </c>
      <c r="C3091">
        <v>1</v>
      </c>
      <c r="D3091" t="s">
        <v>139</v>
      </c>
      <c r="E3091" t="s">
        <v>141</v>
      </c>
      <c r="F3091">
        <v>16.899999999999999</v>
      </c>
      <c r="G3091">
        <v>87.9</v>
      </c>
      <c r="H3091" t="s">
        <v>13</v>
      </c>
      <c r="I3091" t="str">
        <f t="shared" si="48"/>
        <v>Alta</v>
      </c>
    </row>
    <row r="3092" spans="1:9">
      <c r="A3092" t="s">
        <v>378</v>
      </c>
      <c r="B3092">
        <v>2025</v>
      </c>
      <c r="C3092">
        <v>1</v>
      </c>
      <c r="D3092" t="s">
        <v>139</v>
      </c>
      <c r="E3092" t="s">
        <v>140</v>
      </c>
      <c r="F3092">
        <v>16.899999999999999</v>
      </c>
      <c r="G3092">
        <v>79.599999999999994</v>
      </c>
      <c r="H3092" t="s">
        <v>13</v>
      </c>
      <c r="I3092" t="str">
        <f t="shared" si="48"/>
        <v>Alta</v>
      </c>
    </row>
    <row r="3093" spans="1:9">
      <c r="A3093" t="s">
        <v>203</v>
      </c>
      <c r="B3093">
        <v>2025</v>
      </c>
      <c r="C3093">
        <v>2</v>
      </c>
      <c r="D3093" t="s">
        <v>9</v>
      </c>
      <c r="E3093" t="s">
        <v>14</v>
      </c>
      <c r="F3093">
        <v>16.899999999999999</v>
      </c>
      <c r="G3093">
        <v>76.900000000000006</v>
      </c>
      <c r="H3093" t="s">
        <v>13</v>
      </c>
      <c r="I3093" t="str">
        <f t="shared" si="48"/>
        <v>Alta</v>
      </c>
    </row>
    <row r="3094" spans="1:9">
      <c r="A3094" t="s">
        <v>312</v>
      </c>
      <c r="B3094">
        <v>2025</v>
      </c>
      <c r="C3094">
        <v>2</v>
      </c>
      <c r="D3094" t="s">
        <v>75</v>
      </c>
      <c r="E3094" t="s">
        <v>76</v>
      </c>
      <c r="F3094">
        <v>16.899999999999999</v>
      </c>
      <c r="G3094">
        <v>80.3</v>
      </c>
      <c r="H3094" t="s">
        <v>13</v>
      </c>
      <c r="I3094" t="str">
        <f t="shared" si="48"/>
        <v>Alta</v>
      </c>
    </row>
    <row r="3095" spans="1:9">
      <c r="A3095" t="s">
        <v>353</v>
      </c>
      <c r="B3095">
        <v>2025</v>
      </c>
      <c r="C3095">
        <v>2</v>
      </c>
      <c r="D3095" t="s">
        <v>139</v>
      </c>
      <c r="E3095" t="s">
        <v>140</v>
      </c>
      <c r="F3095">
        <v>16.899999999999999</v>
      </c>
      <c r="G3095">
        <v>64.2</v>
      </c>
      <c r="H3095" t="s">
        <v>13</v>
      </c>
      <c r="I3095" t="str">
        <f t="shared" si="48"/>
        <v>Média</v>
      </c>
    </row>
    <row r="3096" spans="1:9">
      <c r="A3096" t="s">
        <v>440</v>
      </c>
      <c r="B3096">
        <v>2026</v>
      </c>
      <c r="C3096">
        <v>2</v>
      </c>
      <c r="D3096" t="s">
        <v>9</v>
      </c>
      <c r="E3096" t="s">
        <v>12</v>
      </c>
      <c r="F3096">
        <v>16.899999999999999</v>
      </c>
      <c r="G3096">
        <v>82.2</v>
      </c>
      <c r="H3096" t="s">
        <v>13</v>
      </c>
      <c r="I3096" t="str">
        <f t="shared" si="48"/>
        <v>Alta</v>
      </c>
    </row>
    <row r="3097" spans="1:9">
      <c r="A3097" t="s">
        <v>51</v>
      </c>
      <c r="B3097">
        <v>2024</v>
      </c>
      <c r="C3097">
        <v>1</v>
      </c>
      <c r="D3097" t="s">
        <v>9</v>
      </c>
      <c r="E3097" t="s">
        <v>10</v>
      </c>
      <c r="F3097">
        <v>17</v>
      </c>
      <c r="G3097">
        <v>83.6</v>
      </c>
      <c r="H3097" t="s">
        <v>13</v>
      </c>
      <c r="I3097" t="str">
        <f t="shared" si="48"/>
        <v>Alta</v>
      </c>
    </row>
    <row r="3098" spans="1:9">
      <c r="A3098" t="s">
        <v>186</v>
      </c>
      <c r="B3098">
        <v>2024</v>
      </c>
      <c r="C3098">
        <v>1</v>
      </c>
      <c r="D3098" t="s">
        <v>139</v>
      </c>
      <c r="E3098" t="s">
        <v>140</v>
      </c>
      <c r="F3098">
        <v>17</v>
      </c>
      <c r="G3098">
        <v>73.7</v>
      </c>
      <c r="H3098" t="s">
        <v>13</v>
      </c>
      <c r="I3098" t="str">
        <f t="shared" si="48"/>
        <v>Média</v>
      </c>
    </row>
    <row r="3099" spans="1:9">
      <c r="A3099" t="s">
        <v>34</v>
      </c>
      <c r="B3099">
        <v>2024</v>
      </c>
      <c r="C3099">
        <v>2</v>
      </c>
      <c r="D3099" t="s">
        <v>9</v>
      </c>
      <c r="E3099" t="s">
        <v>14</v>
      </c>
      <c r="F3099">
        <v>17</v>
      </c>
      <c r="G3099">
        <v>93.6</v>
      </c>
      <c r="H3099" t="s">
        <v>13</v>
      </c>
      <c r="I3099" t="str">
        <f t="shared" si="48"/>
        <v>Alta</v>
      </c>
    </row>
    <row r="3100" spans="1:9">
      <c r="A3100" t="s">
        <v>268</v>
      </c>
      <c r="B3100">
        <v>2025</v>
      </c>
      <c r="C3100">
        <v>1</v>
      </c>
      <c r="D3100" t="s">
        <v>75</v>
      </c>
      <c r="E3100" t="s">
        <v>76</v>
      </c>
      <c r="F3100">
        <v>17</v>
      </c>
      <c r="G3100">
        <v>60.7</v>
      </c>
      <c r="H3100" t="s">
        <v>13</v>
      </c>
      <c r="I3100" t="str">
        <f t="shared" si="48"/>
        <v>Média</v>
      </c>
    </row>
    <row r="3101" spans="1:9">
      <c r="A3101" t="s">
        <v>312</v>
      </c>
      <c r="B3101">
        <v>2025</v>
      </c>
      <c r="C3101">
        <v>1</v>
      </c>
      <c r="D3101" t="s">
        <v>75</v>
      </c>
      <c r="E3101" t="s">
        <v>77</v>
      </c>
      <c r="F3101">
        <v>17</v>
      </c>
      <c r="G3101">
        <v>89.9</v>
      </c>
      <c r="H3101" t="s">
        <v>13</v>
      </c>
      <c r="I3101" t="str">
        <f t="shared" si="48"/>
        <v>Alta</v>
      </c>
    </row>
    <row r="3102" spans="1:9">
      <c r="A3102" t="s">
        <v>279</v>
      </c>
      <c r="B3102">
        <v>2025</v>
      </c>
      <c r="C3102">
        <v>2</v>
      </c>
      <c r="D3102" t="s">
        <v>75</v>
      </c>
      <c r="E3102" t="s">
        <v>78</v>
      </c>
      <c r="F3102">
        <v>17</v>
      </c>
      <c r="G3102">
        <v>84</v>
      </c>
      <c r="H3102" t="s">
        <v>13</v>
      </c>
      <c r="I3102" t="str">
        <f t="shared" si="48"/>
        <v>Alta</v>
      </c>
    </row>
    <row r="3103" spans="1:9">
      <c r="A3103" t="s">
        <v>507</v>
      </c>
      <c r="B3103">
        <v>2026</v>
      </c>
      <c r="C3103">
        <v>1</v>
      </c>
      <c r="D3103" t="s">
        <v>139</v>
      </c>
      <c r="E3103" t="s">
        <v>10</v>
      </c>
      <c r="F3103">
        <v>17</v>
      </c>
      <c r="G3103">
        <v>70.3</v>
      </c>
      <c r="H3103" t="s">
        <v>13</v>
      </c>
      <c r="I3103" t="str">
        <f t="shared" si="48"/>
        <v>Média</v>
      </c>
    </row>
    <row r="3104" spans="1:9">
      <c r="A3104" t="s">
        <v>391</v>
      </c>
      <c r="B3104">
        <v>2026</v>
      </c>
      <c r="C3104">
        <v>2</v>
      </c>
      <c r="D3104" t="s">
        <v>9</v>
      </c>
      <c r="E3104" t="s">
        <v>14</v>
      </c>
      <c r="F3104">
        <v>17</v>
      </c>
      <c r="G3104">
        <v>94.3</v>
      </c>
      <c r="H3104" t="s">
        <v>13</v>
      </c>
      <c r="I3104" t="str">
        <f t="shared" si="48"/>
        <v>Alta</v>
      </c>
    </row>
    <row r="3105" spans="1:9">
      <c r="A3105" t="s">
        <v>26</v>
      </c>
      <c r="B3105">
        <v>2024</v>
      </c>
      <c r="C3105">
        <v>1</v>
      </c>
      <c r="D3105" t="s">
        <v>9</v>
      </c>
      <c r="E3105" t="s">
        <v>10</v>
      </c>
      <c r="F3105">
        <v>17.100000000000001</v>
      </c>
      <c r="G3105">
        <v>79.5</v>
      </c>
      <c r="H3105" t="s">
        <v>13</v>
      </c>
      <c r="I3105" t="str">
        <f t="shared" si="48"/>
        <v>Alta</v>
      </c>
    </row>
    <row r="3106" spans="1:9">
      <c r="A3106" t="s">
        <v>23</v>
      </c>
      <c r="B3106">
        <v>2024</v>
      </c>
      <c r="C3106">
        <v>2</v>
      </c>
      <c r="D3106" t="s">
        <v>9</v>
      </c>
      <c r="E3106" t="s">
        <v>12</v>
      </c>
      <c r="F3106">
        <v>17.100000000000001</v>
      </c>
      <c r="G3106">
        <v>99.1</v>
      </c>
      <c r="H3106" t="s">
        <v>13</v>
      </c>
      <c r="I3106" t="str">
        <f t="shared" si="48"/>
        <v>Alta</v>
      </c>
    </row>
    <row r="3107" spans="1:9">
      <c r="A3107" t="s">
        <v>126</v>
      </c>
      <c r="B3107">
        <v>2024</v>
      </c>
      <c r="C3107">
        <v>2</v>
      </c>
      <c r="D3107" t="s">
        <v>75</v>
      </c>
      <c r="E3107" t="s">
        <v>78</v>
      </c>
      <c r="F3107">
        <v>17.100000000000001</v>
      </c>
      <c r="G3107">
        <v>93.5</v>
      </c>
      <c r="H3107" t="s">
        <v>13</v>
      </c>
      <c r="I3107" t="str">
        <f t="shared" si="48"/>
        <v>Alta</v>
      </c>
    </row>
    <row r="3108" spans="1:9">
      <c r="A3108" t="s">
        <v>29</v>
      </c>
      <c r="B3108">
        <v>2024</v>
      </c>
      <c r="C3108">
        <v>1</v>
      </c>
      <c r="D3108" t="s">
        <v>9</v>
      </c>
      <c r="E3108" t="s">
        <v>10</v>
      </c>
      <c r="F3108">
        <v>17.2</v>
      </c>
      <c r="G3108">
        <v>93.2</v>
      </c>
      <c r="H3108" t="s">
        <v>13</v>
      </c>
      <c r="I3108" t="str">
        <f t="shared" si="48"/>
        <v>Alta</v>
      </c>
    </row>
    <row r="3109" spans="1:9">
      <c r="A3109" t="s">
        <v>54</v>
      </c>
      <c r="B3109">
        <v>2024</v>
      </c>
      <c r="C3109">
        <v>1</v>
      </c>
      <c r="D3109" t="s">
        <v>9</v>
      </c>
      <c r="E3109" t="s">
        <v>10</v>
      </c>
      <c r="F3109">
        <v>17.2</v>
      </c>
      <c r="G3109">
        <v>97.8</v>
      </c>
      <c r="H3109" t="s">
        <v>13</v>
      </c>
      <c r="I3109" t="str">
        <f t="shared" si="48"/>
        <v>Alta</v>
      </c>
    </row>
    <row r="3110" spans="1:9">
      <c r="A3110" t="s">
        <v>195</v>
      </c>
      <c r="B3110">
        <v>2024</v>
      </c>
      <c r="C3110">
        <v>1</v>
      </c>
      <c r="D3110" t="s">
        <v>139</v>
      </c>
      <c r="E3110" t="s">
        <v>10</v>
      </c>
      <c r="F3110">
        <v>17.2</v>
      </c>
      <c r="G3110">
        <v>73.2</v>
      </c>
      <c r="H3110" t="s">
        <v>13</v>
      </c>
      <c r="I3110" t="str">
        <f t="shared" si="48"/>
        <v>Média</v>
      </c>
    </row>
    <row r="3111" spans="1:9">
      <c r="A3111" t="s">
        <v>24</v>
      </c>
      <c r="B3111">
        <v>2024</v>
      </c>
      <c r="C3111">
        <v>2</v>
      </c>
      <c r="D3111" t="s">
        <v>9</v>
      </c>
      <c r="E3111" t="s">
        <v>14</v>
      </c>
      <c r="F3111">
        <v>17.2</v>
      </c>
      <c r="G3111">
        <v>97.4</v>
      </c>
      <c r="H3111" t="s">
        <v>13</v>
      </c>
      <c r="I3111" t="str">
        <f t="shared" si="48"/>
        <v>Alta</v>
      </c>
    </row>
    <row r="3112" spans="1:9">
      <c r="A3112" t="s">
        <v>136</v>
      </c>
      <c r="B3112">
        <v>2024</v>
      </c>
      <c r="C3112">
        <v>2</v>
      </c>
      <c r="D3112" t="s">
        <v>75</v>
      </c>
      <c r="E3112" t="s">
        <v>77</v>
      </c>
      <c r="F3112">
        <v>17.2</v>
      </c>
      <c r="G3112">
        <v>93.6</v>
      </c>
      <c r="H3112" t="s">
        <v>13</v>
      </c>
      <c r="I3112" t="str">
        <f t="shared" si="48"/>
        <v>Alta</v>
      </c>
    </row>
    <row r="3113" spans="1:9">
      <c r="A3113" t="s">
        <v>296</v>
      </c>
      <c r="B3113">
        <v>2025</v>
      </c>
      <c r="C3113">
        <v>1</v>
      </c>
      <c r="D3113" t="s">
        <v>75</v>
      </c>
      <c r="E3113" t="s">
        <v>76</v>
      </c>
      <c r="F3113">
        <v>17.2</v>
      </c>
      <c r="G3113">
        <v>90.5</v>
      </c>
      <c r="H3113" t="s">
        <v>13</v>
      </c>
      <c r="I3113" t="str">
        <f t="shared" si="48"/>
        <v>Alta</v>
      </c>
    </row>
    <row r="3114" spans="1:9">
      <c r="A3114" t="s">
        <v>221</v>
      </c>
      <c r="B3114">
        <v>2025</v>
      </c>
      <c r="C3114">
        <v>2</v>
      </c>
      <c r="D3114" t="s">
        <v>9</v>
      </c>
      <c r="E3114" t="s">
        <v>14</v>
      </c>
      <c r="F3114">
        <v>17.2</v>
      </c>
      <c r="G3114">
        <v>94.1</v>
      </c>
      <c r="H3114" t="s">
        <v>13</v>
      </c>
      <c r="I3114" t="str">
        <f t="shared" si="48"/>
        <v>Alta</v>
      </c>
    </row>
    <row r="3115" spans="1:9">
      <c r="A3115" t="s">
        <v>251</v>
      </c>
      <c r="B3115">
        <v>2025</v>
      </c>
      <c r="C3115">
        <v>2</v>
      </c>
      <c r="D3115" t="s">
        <v>9</v>
      </c>
      <c r="E3115" t="s">
        <v>14</v>
      </c>
      <c r="F3115">
        <v>17.2</v>
      </c>
      <c r="G3115">
        <v>98.7</v>
      </c>
      <c r="H3115" t="s">
        <v>13</v>
      </c>
      <c r="I3115" t="str">
        <f t="shared" si="48"/>
        <v>Alta</v>
      </c>
    </row>
    <row r="3116" spans="1:9">
      <c r="A3116" t="s">
        <v>310</v>
      </c>
      <c r="B3116">
        <v>2025</v>
      </c>
      <c r="C3116">
        <v>2</v>
      </c>
      <c r="D3116" t="s">
        <v>75</v>
      </c>
      <c r="E3116" t="s">
        <v>77</v>
      </c>
      <c r="F3116">
        <v>17.2</v>
      </c>
      <c r="G3116">
        <v>94.4</v>
      </c>
      <c r="H3116" t="s">
        <v>13</v>
      </c>
      <c r="I3116" t="str">
        <f t="shared" si="48"/>
        <v>Alta</v>
      </c>
    </row>
    <row r="3117" spans="1:9">
      <c r="A3117" t="s">
        <v>542</v>
      </c>
      <c r="B3117">
        <v>2026</v>
      </c>
      <c r="C3117">
        <v>1</v>
      </c>
      <c r="D3117" t="s">
        <v>139</v>
      </c>
      <c r="E3117" t="s">
        <v>141</v>
      </c>
      <c r="F3117">
        <v>17.2</v>
      </c>
      <c r="G3117">
        <v>51</v>
      </c>
      <c r="H3117" t="s">
        <v>13</v>
      </c>
      <c r="I3117" t="str">
        <f t="shared" si="48"/>
        <v>Média</v>
      </c>
    </row>
    <row r="3118" spans="1:9">
      <c r="A3118" t="s">
        <v>458</v>
      </c>
      <c r="B3118">
        <v>2026</v>
      </c>
      <c r="C3118">
        <v>2</v>
      </c>
      <c r="D3118" t="s">
        <v>75</v>
      </c>
      <c r="E3118" t="s">
        <v>76</v>
      </c>
      <c r="F3118">
        <v>17.2</v>
      </c>
      <c r="G3118">
        <v>65.400000000000006</v>
      </c>
      <c r="H3118" t="s">
        <v>13</v>
      </c>
      <c r="I3118" t="str">
        <f t="shared" si="48"/>
        <v>Média</v>
      </c>
    </row>
    <row r="3119" spans="1:9">
      <c r="A3119" t="s">
        <v>466</v>
      </c>
      <c r="B3119">
        <v>2026</v>
      </c>
      <c r="C3119">
        <v>2</v>
      </c>
      <c r="D3119" t="s">
        <v>75</v>
      </c>
      <c r="E3119" t="s">
        <v>76</v>
      </c>
      <c r="F3119">
        <v>17.2</v>
      </c>
      <c r="G3119">
        <v>94.5</v>
      </c>
      <c r="H3119" t="s">
        <v>13</v>
      </c>
      <c r="I3119" t="str">
        <f t="shared" si="48"/>
        <v>Alta</v>
      </c>
    </row>
    <row r="3120" spans="1:9">
      <c r="A3120" t="s">
        <v>138</v>
      </c>
      <c r="B3120">
        <v>2024</v>
      </c>
      <c r="C3120">
        <v>2</v>
      </c>
      <c r="D3120" t="s">
        <v>139</v>
      </c>
      <c r="E3120" t="s">
        <v>10</v>
      </c>
      <c r="F3120">
        <v>17.3</v>
      </c>
      <c r="G3120">
        <v>99.2</v>
      </c>
      <c r="H3120" t="s">
        <v>13</v>
      </c>
      <c r="I3120" t="str">
        <f t="shared" si="48"/>
        <v>Alta</v>
      </c>
    </row>
    <row r="3121" spans="1:9">
      <c r="A3121" t="s">
        <v>481</v>
      </c>
      <c r="B3121">
        <v>2026</v>
      </c>
      <c r="C3121">
        <v>1</v>
      </c>
      <c r="D3121" t="s">
        <v>75</v>
      </c>
      <c r="E3121" t="s">
        <v>76</v>
      </c>
      <c r="F3121">
        <v>17.3</v>
      </c>
      <c r="G3121">
        <v>83.6</v>
      </c>
      <c r="H3121" t="s">
        <v>13</v>
      </c>
      <c r="I3121" t="str">
        <f t="shared" si="48"/>
        <v>Alta</v>
      </c>
    </row>
    <row r="3122" spans="1:9">
      <c r="A3122" t="s">
        <v>533</v>
      </c>
      <c r="B3122">
        <v>2026</v>
      </c>
      <c r="C3122">
        <v>1</v>
      </c>
      <c r="D3122" t="s">
        <v>139</v>
      </c>
      <c r="E3122" t="s">
        <v>140</v>
      </c>
      <c r="F3122">
        <v>17.3</v>
      </c>
      <c r="G3122">
        <v>84.1</v>
      </c>
      <c r="H3122" t="s">
        <v>13</v>
      </c>
      <c r="I3122" t="str">
        <f t="shared" si="48"/>
        <v>Alta</v>
      </c>
    </row>
    <row r="3123" spans="1:9">
      <c r="A3123" t="s">
        <v>431</v>
      </c>
      <c r="B3123">
        <v>2026</v>
      </c>
      <c r="C3123">
        <v>2</v>
      </c>
      <c r="D3123" t="s">
        <v>9</v>
      </c>
      <c r="E3123" t="s">
        <v>10</v>
      </c>
      <c r="F3123">
        <v>17.3</v>
      </c>
      <c r="G3123">
        <v>97.4</v>
      </c>
      <c r="H3123" t="s">
        <v>13</v>
      </c>
      <c r="I3123" t="str">
        <f t="shared" si="48"/>
        <v>Alta</v>
      </c>
    </row>
    <row r="3124" spans="1:9">
      <c r="A3124" t="s">
        <v>496</v>
      </c>
      <c r="B3124">
        <v>2026</v>
      </c>
      <c r="C3124">
        <v>2</v>
      </c>
      <c r="D3124" t="s">
        <v>75</v>
      </c>
      <c r="E3124" t="s">
        <v>76</v>
      </c>
      <c r="F3124">
        <v>17.3</v>
      </c>
      <c r="G3124">
        <v>99.5</v>
      </c>
      <c r="H3124" t="s">
        <v>13</v>
      </c>
      <c r="I3124" t="str">
        <f t="shared" si="48"/>
        <v>Alta</v>
      </c>
    </row>
    <row r="3125" spans="1:9">
      <c r="A3125" t="s">
        <v>62</v>
      </c>
      <c r="B3125">
        <v>2024</v>
      </c>
      <c r="C3125">
        <v>1</v>
      </c>
      <c r="D3125" t="s">
        <v>9</v>
      </c>
      <c r="E3125" t="s">
        <v>12</v>
      </c>
      <c r="F3125">
        <v>17.399999999999999</v>
      </c>
      <c r="G3125">
        <v>89.3</v>
      </c>
      <c r="H3125" t="s">
        <v>13</v>
      </c>
      <c r="I3125" t="str">
        <f t="shared" si="48"/>
        <v>Alta</v>
      </c>
    </row>
    <row r="3126" spans="1:9">
      <c r="A3126" t="s">
        <v>83</v>
      </c>
      <c r="B3126">
        <v>2024</v>
      </c>
      <c r="C3126">
        <v>1</v>
      </c>
      <c r="D3126" t="s">
        <v>75</v>
      </c>
      <c r="E3126" t="s">
        <v>78</v>
      </c>
      <c r="F3126">
        <v>17.399999999999999</v>
      </c>
      <c r="G3126">
        <v>78.8</v>
      </c>
      <c r="H3126" t="s">
        <v>13</v>
      </c>
      <c r="I3126" t="str">
        <f t="shared" si="48"/>
        <v>Alta</v>
      </c>
    </row>
    <row r="3127" spans="1:9">
      <c r="A3127" t="s">
        <v>82</v>
      </c>
      <c r="B3127">
        <v>2024</v>
      </c>
      <c r="C3127">
        <v>2</v>
      </c>
      <c r="D3127" t="s">
        <v>75</v>
      </c>
      <c r="E3127" t="s">
        <v>78</v>
      </c>
      <c r="F3127">
        <v>17.399999999999999</v>
      </c>
      <c r="G3127">
        <v>81.400000000000006</v>
      </c>
      <c r="H3127" t="s">
        <v>13</v>
      </c>
      <c r="I3127" t="str">
        <f t="shared" si="48"/>
        <v>Alta</v>
      </c>
    </row>
    <row r="3128" spans="1:9">
      <c r="A3128" t="s">
        <v>252</v>
      </c>
      <c r="B3128">
        <v>2025</v>
      </c>
      <c r="C3128">
        <v>1</v>
      </c>
      <c r="D3128" t="s">
        <v>9</v>
      </c>
      <c r="E3128" t="s">
        <v>14</v>
      </c>
      <c r="F3128">
        <v>17.399999999999999</v>
      </c>
      <c r="G3128">
        <v>81.599999999999994</v>
      </c>
      <c r="H3128" t="s">
        <v>13</v>
      </c>
      <c r="I3128" t="str">
        <f t="shared" si="48"/>
        <v>Alta</v>
      </c>
    </row>
    <row r="3129" spans="1:9">
      <c r="A3129" t="s">
        <v>315</v>
      </c>
      <c r="B3129">
        <v>2025</v>
      </c>
      <c r="C3129">
        <v>2</v>
      </c>
      <c r="D3129" t="s">
        <v>75</v>
      </c>
      <c r="E3129" t="s">
        <v>76</v>
      </c>
      <c r="F3129">
        <v>17.399999999999999</v>
      </c>
      <c r="G3129">
        <v>84.7</v>
      </c>
      <c r="H3129" t="s">
        <v>13</v>
      </c>
      <c r="I3129" t="str">
        <f t="shared" si="48"/>
        <v>Alta</v>
      </c>
    </row>
    <row r="3130" spans="1:9">
      <c r="A3130" t="s">
        <v>93</v>
      </c>
      <c r="B3130">
        <v>2024</v>
      </c>
      <c r="C3130">
        <v>1</v>
      </c>
      <c r="D3130" t="s">
        <v>75</v>
      </c>
      <c r="E3130" t="s">
        <v>76</v>
      </c>
      <c r="F3130">
        <v>17.5</v>
      </c>
      <c r="G3130">
        <v>74.7</v>
      </c>
      <c r="H3130" t="s">
        <v>13</v>
      </c>
      <c r="I3130" t="str">
        <f t="shared" si="48"/>
        <v>Média</v>
      </c>
    </row>
    <row r="3131" spans="1:9">
      <c r="A3131" t="s">
        <v>196</v>
      </c>
      <c r="B3131">
        <v>2024</v>
      </c>
      <c r="C3131">
        <v>1</v>
      </c>
      <c r="D3131" t="s">
        <v>139</v>
      </c>
      <c r="E3131" t="s">
        <v>141</v>
      </c>
      <c r="F3131">
        <v>17.5</v>
      </c>
      <c r="G3131">
        <v>76.900000000000006</v>
      </c>
      <c r="H3131" t="s">
        <v>13</v>
      </c>
      <c r="I3131" t="str">
        <f t="shared" si="48"/>
        <v>Alta</v>
      </c>
    </row>
    <row r="3132" spans="1:9">
      <c r="A3132" t="s">
        <v>16</v>
      </c>
      <c r="B3132">
        <v>2024</v>
      </c>
      <c r="C3132">
        <v>2</v>
      </c>
      <c r="D3132" t="s">
        <v>9</v>
      </c>
      <c r="E3132" t="s">
        <v>10</v>
      </c>
      <c r="F3132">
        <v>17.5</v>
      </c>
      <c r="G3132">
        <v>61.5</v>
      </c>
      <c r="H3132" t="s">
        <v>13</v>
      </c>
      <c r="I3132" t="str">
        <f t="shared" si="48"/>
        <v>Média</v>
      </c>
    </row>
    <row r="3133" spans="1:9">
      <c r="A3133" t="s">
        <v>95</v>
      </c>
      <c r="B3133">
        <v>2024</v>
      </c>
      <c r="C3133">
        <v>2</v>
      </c>
      <c r="D3133" t="s">
        <v>75</v>
      </c>
      <c r="E3133" t="s">
        <v>78</v>
      </c>
      <c r="F3133">
        <v>17.5</v>
      </c>
      <c r="G3133">
        <v>89.7</v>
      </c>
      <c r="H3133" t="s">
        <v>13</v>
      </c>
      <c r="I3133" t="str">
        <f t="shared" si="48"/>
        <v>Alta</v>
      </c>
    </row>
    <row r="3134" spans="1:9">
      <c r="A3134" t="s">
        <v>114</v>
      </c>
      <c r="B3134">
        <v>2024</v>
      </c>
      <c r="C3134">
        <v>2</v>
      </c>
      <c r="D3134" t="s">
        <v>75</v>
      </c>
      <c r="E3134" t="s">
        <v>78</v>
      </c>
      <c r="F3134">
        <v>17.5</v>
      </c>
      <c r="G3134">
        <v>94.5</v>
      </c>
      <c r="H3134" t="s">
        <v>13</v>
      </c>
      <c r="I3134" t="str">
        <f t="shared" si="48"/>
        <v>Alta</v>
      </c>
    </row>
    <row r="3135" spans="1:9">
      <c r="A3135" t="s">
        <v>355</v>
      </c>
      <c r="B3135">
        <v>2025</v>
      </c>
      <c r="C3135">
        <v>1</v>
      </c>
      <c r="D3135" t="s">
        <v>139</v>
      </c>
      <c r="E3135" t="s">
        <v>141</v>
      </c>
      <c r="F3135">
        <v>17.5</v>
      </c>
      <c r="G3135">
        <v>95.8</v>
      </c>
      <c r="H3135" t="s">
        <v>13</v>
      </c>
      <c r="I3135" t="str">
        <f t="shared" si="48"/>
        <v>Alta</v>
      </c>
    </row>
    <row r="3136" spans="1:9">
      <c r="A3136" t="s">
        <v>229</v>
      </c>
      <c r="B3136">
        <v>2025</v>
      </c>
      <c r="C3136">
        <v>2</v>
      </c>
      <c r="D3136" t="s">
        <v>9</v>
      </c>
      <c r="E3136" t="s">
        <v>14</v>
      </c>
      <c r="F3136">
        <v>17.5</v>
      </c>
      <c r="G3136">
        <v>96.5</v>
      </c>
      <c r="H3136" t="s">
        <v>13</v>
      </c>
      <c r="I3136" t="str">
        <f t="shared" si="48"/>
        <v>Alta</v>
      </c>
    </row>
    <row r="3137" spans="1:9">
      <c r="A3137" t="s">
        <v>240</v>
      </c>
      <c r="B3137">
        <v>2025</v>
      </c>
      <c r="C3137">
        <v>2</v>
      </c>
      <c r="D3137" t="s">
        <v>9</v>
      </c>
      <c r="E3137" t="s">
        <v>10</v>
      </c>
      <c r="F3137">
        <v>17.5</v>
      </c>
      <c r="G3137">
        <v>99.7</v>
      </c>
      <c r="H3137" t="s">
        <v>13</v>
      </c>
      <c r="I3137" t="str">
        <f t="shared" si="48"/>
        <v>Alta</v>
      </c>
    </row>
    <row r="3138" spans="1:9">
      <c r="A3138" t="s">
        <v>352</v>
      </c>
      <c r="B3138">
        <v>2025</v>
      </c>
      <c r="C3138">
        <v>2</v>
      </c>
      <c r="D3138" t="s">
        <v>139</v>
      </c>
      <c r="E3138" t="s">
        <v>141</v>
      </c>
      <c r="F3138">
        <v>17.5</v>
      </c>
      <c r="G3138">
        <v>90.4</v>
      </c>
      <c r="H3138" t="s">
        <v>13</v>
      </c>
      <c r="I3138" t="str">
        <f t="shared" ref="I3138:I3201" si="49">IF(G3138&lt;50,"Baixa",IF(G3138&lt;75,"Média","Alta"))</f>
        <v>Alta</v>
      </c>
    </row>
    <row r="3139" spans="1:9">
      <c r="A3139" t="s">
        <v>491</v>
      </c>
      <c r="B3139">
        <v>2026</v>
      </c>
      <c r="C3139">
        <v>1</v>
      </c>
      <c r="D3139" t="s">
        <v>75</v>
      </c>
      <c r="E3139" t="s">
        <v>78</v>
      </c>
      <c r="F3139">
        <v>17.5</v>
      </c>
      <c r="G3139">
        <v>61.1</v>
      </c>
      <c r="H3139" t="s">
        <v>13</v>
      </c>
      <c r="I3139" t="str">
        <f t="shared" si="49"/>
        <v>Média</v>
      </c>
    </row>
    <row r="3140" spans="1:9">
      <c r="A3140" t="s">
        <v>553</v>
      </c>
      <c r="B3140">
        <v>2026</v>
      </c>
      <c r="C3140">
        <v>1</v>
      </c>
      <c r="D3140" t="s">
        <v>139</v>
      </c>
      <c r="E3140" t="s">
        <v>10</v>
      </c>
      <c r="F3140">
        <v>17.5</v>
      </c>
      <c r="G3140">
        <v>56</v>
      </c>
      <c r="H3140" t="s">
        <v>13</v>
      </c>
      <c r="I3140" t="str">
        <f t="shared" si="49"/>
        <v>Média</v>
      </c>
    </row>
    <row r="3141" spans="1:9">
      <c r="A3141" t="s">
        <v>393</v>
      </c>
      <c r="B3141">
        <v>2026</v>
      </c>
      <c r="C3141">
        <v>2</v>
      </c>
      <c r="D3141" t="s">
        <v>9</v>
      </c>
      <c r="E3141" t="s">
        <v>12</v>
      </c>
      <c r="F3141">
        <v>17.5</v>
      </c>
      <c r="G3141">
        <v>97.2</v>
      </c>
      <c r="H3141" t="s">
        <v>13</v>
      </c>
      <c r="I3141" t="str">
        <f t="shared" si="49"/>
        <v>Alta</v>
      </c>
    </row>
    <row r="3142" spans="1:9">
      <c r="A3142" t="s">
        <v>491</v>
      </c>
      <c r="B3142">
        <v>2026</v>
      </c>
      <c r="C3142">
        <v>2</v>
      </c>
      <c r="D3142" t="s">
        <v>75</v>
      </c>
      <c r="E3142" t="s">
        <v>77</v>
      </c>
      <c r="F3142">
        <v>17.5</v>
      </c>
      <c r="G3142">
        <v>97.2</v>
      </c>
      <c r="H3142" t="s">
        <v>13</v>
      </c>
      <c r="I3142" t="str">
        <f t="shared" si="49"/>
        <v>Alta</v>
      </c>
    </row>
    <row r="3143" spans="1:9">
      <c r="A3143" t="s">
        <v>119</v>
      </c>
      <c r="B3143">
        <v>2024</v>
      </c>
      <c r="C3143">
        <v>2</v>
      </c>
      <c r="D3143" t="s">
        <v>75</v>
      </c>
      <c r="E3143" t="s">
        <v>77</v>
      </c>
      <c r="F3143">
        <v>17.600000000000001</v>
      </c>
      <c r="G3143">
        <v>99.3</v>
      </c>
      <c r="H3143" t="s">
        <v>13</v>
      </c>
      <c r="I3143" t="str">
        <f t="shared" si="49"/>
        <v>Alta</v>
      </c>
    </row>
    <row r="3144" spans="1:9">
      <c r="A3144" t="s">
        <v>206</v>
      </c>
      <c r="B3144">
        <v>2025</v>
      </c>
      <c r="C3144">
        <v>1</v>
      </c>
      <c r="D3144" t="s">
        <v>9</v>
      </c>
      <c r="E3144" t="s">
        <v>14</v>
      </c>
      <c r="F3144">
        <v>17.600000000000001</v>
      </c>
      <c r="G3144">
        <v>81.900000000000006</v>
      </c>
      <c r="H3144" t="s">
        <v>13</v>
      </c>
      <c r="I3144" t="str">
        <f t="shared" si="49"/>
        <v>Alta</v>
      </c>
    </row>
    <row r="3145" spans="1:9">
      <c r="A3145" t="s">
        <v>293</v>
      </c>
      <c r="B3145">
        <v>2025</v>
      </c>
      <c r="C3145">
        <v>1</v>
      </c>
      <c r="D3145" t="s">
        <v>75</v>
      </c>
      <c r="E3145" t="s">
        <v>78</v>
      </c>
      <c r="F3145">
        <v>17.600000000000001</v>
      </c>
      <c r="G3145">
        <v>98.8</v>
      </c>
      <c r="H3145" t="s">
        <v>13</v>
      </c>
      <c r="I3145" t="str">
        <f t="shared" si="49"/>
        <v>Alta</v>
      </c>
    </row>
    <row r="3146" spans="1:9">
      <c r="A3146" t="s">
        <v>79</v>
      </c>
      <c r="B3146">
        <v>2024</v>
      </c>
      <c r="C3146">
        <v>1</v>
      </c>
      <c r="D3146" t="s">
        <v>75</v>
      </c>
      <c r="E3146" t="s">
        <v>76</v>
      </c>
      <c r="F3146">
        <v>17.7</v>
      </c>
      <c r="G3146">
        <v>47.1</v>
      </c>
      <c r="H3146" t="s">
        <v>13</v>
      </c>
      <c r="I3146" t="str">
        <f t="shared" si="49"/>
        <v>Baixa</v>
      </c>
    </row>
    <row r="3147" spans="1:9">
      <c r="A3147" t="s">
        <v>157</v>
      </c>
      <c r="B3147">
        <v>2024</v>
      </c>
      <c r="C3147">
        <v>1</v>
      </c>
      <c r="D3147" t="s">
        <v>139</v>
      </c>
      <c r="E3147" t="s">
        <v>10</v>
      </c>
      <c r="F3147">
        <v>17.7</v>
      </c>
      <c r="G3147">
        <v>72.400000000000006</v>
      </c>
      <c r="H3147" t="s">
        <v>13</v>
      </c>
      <c r="I3147" t="str">
        <f t="shared" si="49"/>
        <v>Média</v>
      </c>
    </row>
    <row r="3148" spans="1:9">
      <c r="A3148" t="s">
        <v>349</v>
      </c>
      <c r="B3148">
        <v>2025</v>
      </c>
      <c r="C3148">
        <v>1</v>
      </c>
      <c r="D3148" t="s">
        <v>139</v>
      </c>
      <c r="E3148" t="s">
        <v>140</v>
      </c>
      <c r="F3148">
        <v>17.7</v>
      </c>
      <c r="G3148">
        <v>97.1</v>
      </c>
      <c r="H3148" t="s">
        <v>13</v>
      </c>
      <c r="I3148" t="str">
        <f t="shared" si="49"/>
        <v>Alta</v>
      </c>
    </row>
    <row r="3149" spans="1:9">
      <c r="A3149" t="s">
        <v>433</v>
      </c>
      <c r="B3149">
        <v>2026</v>
      </c>
      <c r="C3149">
        <v>2</v>
      </c>
      <c r="D3149" t="s">
        <v>9</v>
      </c>
      <c r="E3149" t="s">
        <v>14</v>
      </c>
      <c r="F3149">
        <v>17.7</v>
      </c>
      <c r="G3149">
        <v>90.6</v>
      </c>
      <c r="H3149" t="s">
        <v>13</v>
      </c>
      <c r="I3149" t="str">
        <f t="shared" si="49"/>
        <v>Alta</v>
      </c>
    </row>
    <row r="3150" spans="1:9">
      <c r="A3150" t="s">
        <v>133</v>
      </c>
      <c r="B3150">
        <v>2024</v>
      </c>
      <c r="C3150">
        <v>2</v>
      </c>
      <c r="D3150" t="s">
        <v>75</v>
      </c>
      <c r="E3150" t="s">
        <v>76</v>
      </c>
      <c r="F3150">
        <v>17.8</v>
      </c>
      <c r="G3150">
        <v>95.6</v>
      </c>
      <c r="H3150" t="s">
        <v>13</v>
      </c>
      <c r="I3150" t="str">
        <f t="shared" si="49"/>
        <v>Alta</v>
      </c>
    </row>
    <row r="3151" spans="1:9">
      <c r="A3151" t="s">
        <v>204</v>
      </c>
      <c r="B3151">
        <v>2025</v>
      </c>
      <c r="C3151">
        <v>1</v>
      </c>
      <c r="D3151" t="s">
        <v>9</v>
      </c>
      <c r="E3151" t="s">
        <v>14</v>
      </c>
      <c r="F3151">
        <v>17.8</v>
      </c>
      <c r="G3151">
        <v>87.2</v>
      </c>
      <c r="H3151" t="s">
        <v>13</v>
      </c>
      <c r="I3151" t="str">
        <f t="shared" si="49"/>
        <v>Alta</v>
      </c>
    </row>
    <row r="3152" spans="1:9">
      <c r="A3152" t="s">
        <v>298</v>
      </c>
      <c r="B3152">
        <v>2025</v>
      </c>
      <c r="C3152">
        <v>1</v>
      </c>
      <c r="D3152" t="s">
        <v>75</v>
      </c>
      <c r="E3152" t="s">
        <v>76</v>
      </c>
      <c r="F3152">
        <v>17.8</v>
      </c>
      <c r="G3152">
        <v>96.9</v>
      </c>
      <c r="H3152" t="s">
        <v>13</v>
      </c>
      <c r="I3152" t="str">
        <f t="shared" si="49"/>
        <v>Alta</v>
      </c>
    </row>
    <row r="3153" spans="1:9">
      <c r="A3153" t="s">
        <v>530</v>
      </c>
      <c r="B3153">
        <v>2026</v>
      </c>
      <c r="C3153">
        <v>1</v>
      </c>
      <c r="D3153" t="s">
        <v>139</v>
      </c>
      <c r="E3153" t="s">
        <v>141</v>
      </c>
      <c r="F3153">
        <v>17.8</v>
      </c>
      <c r="G3153">
        <v>70.7</v>
      </c>
      <c r="H3153" t="s">
        <v>13</v>
      </c>
      <c r="I3153" t="str">
        <f t="shared" si="49"/>
        <v>Média</v>
      </c>
    </row>
    <row r="3154" spans="1:9">
      <c r="A3154" t="s">
        <v>544</v>
      </c>
      <c r="B3154">
        <v>2026</v>
      </c>
      <c r="C3154">
        <v>1</v>
      </c>
      <c r="D3154" t="s">
        <v>139</v>
      </c>
      <c r="E3154" t="s">
        <v>141</v>
      </c>
      <c r="F3154">
        <v>17.8</v>
      </c>
      <c r="G3154">
        <v>82.5</v>
      </c>
      <c r="H3154" t="s">
        <v>13</v>
      </c>
      <c r="I3154" t="str">
        <f t="shared" si="49"/>
        <v>Alta</v>
      </c>
    </row>
    <row r="3155" spans="1:9">
      <c r="A3155" t="s">
        <v>452</v>
      </c>
      <c r="B3155">
        <v>2026</v>
      </c>
      <c r="C3155">
        <v>2</v>
      </c>
      <c r="D3155" t="s">
        <v>75</v>
      </c>
      <c r="E3155" t="s">
        <v>76</v>
      </c>
      <c r="F3155">
        <v>17.8</v>
      </c>
      <c r="G3155">
        <v>71.5</v>
      </c>
      <c r="H3155" t="s">
        <v>13</v>
      </c>
      <c r="I3155" t="str">
        <f t="shared" si="49"/>
        <v>Média</v>
      </c>
    </row>
    <row r="3156" spans="1:9">
      <c r="A3156" t="s">
        <v>508</v>
      </c>
      <c r="B3156">
        <v>2026</v>
      </c>
      <c r="C3156">
        <v>2</v>
      </c>
      <c r="D3156" t="s">
        <v>139</v>
      </c>
      <c r="E3156" t="s">
        <v>141</v>
      </c>
      <c r="F3156">
        <v>17.8</v>
      </c>
      <c r="G3156">
        <v>56</v>
      </c>
      <c r="H3156" t="s">
        <v>13</v>
      </c>
      <c r="I3156" t="str">
        <f t="shared" si="49"/>
        <v>Média</v>
      </c>
    </row>
    <row r="3157" spans="1:9">
      <c r="A3157" t="s">
        <v>29</v>
      </c>
      <c r="B3157">
        <v>2024</v>
      </c>
      <c r="C3157">
        <v>1</v>
      </c>
      <c r="D3157" t="s">
        <v>9</v>
      </c>
      <c r="E3157" t="s">
        <v>14</v>
      </c>
      <c r="F3157">
        <v>17.899999999999999</v>
      </c>
      <c r="G3157">
        <v>86.9</v>
      </c>
      <c r="H3157" t="s">
        <v>13</v>
      </c>
      <c r="I3157" t="str">
        <f t="shared" si="49"/>
        <v>Alta</v>
      </c>
    </row>
    <row r="3158" spans="1:9">
      <c r="A3158" t="s">
        <v>53</v>
      </c>
      <c r="B3158">
        <v>2024</v>
      </c>
      <c r="C3158">
        <v>1</v>
      </c>
      <c r="D3158" t="s">
        <v>9</v>
      </c>
      <c r="E3158" t="s">
        <v>10</v>
      </c>
      <c r="F3158">
        <v>17.899999999999999</v>
      </c>
      <c r="G3158">
        <v>93.6</v>
      </c>
      <c r="H3158" t="s">
        <v>13</v>
      </c>
      <c r="I3158" t="str">
        <f t="shared" si="49"/>
        <v>Alta</v>
      </c>
    </row>
    <row r="3159" spans="1:9">
      <c r="A3159" t="s">
        <v>97</v>
      </c>
      <c r="B3159">
        <v>2024</v>
      </c>
      <c r="C3159">
        <v>2</v>
      </c>
      <c r="D3159" t="s">
        <v>75</v>
      </c>
      <c r="E3159" t="s">
        <v>76</v>
      </c>
      <c r="F3159">
        <v>17.899999999999999</v>
      </c>
      <c r="G3159">
        <v>88</v>
      </c>
      <c r="H3159" t="s">
        <v>13</v>
      </c>
      <c r="I3159" t="str">
        <f t="shared" si="49"/>
        <v>Alta</v>
      </c>
    </row>
    <row r="3160" spans="1:9">
      <c r="A3160" t="s">
        <v>188</v>
      </c>
      <c r="B3160">
        <v>2024</v>
      </c>
      <c r="C3160">
        <v>2</v>
      </c>
      <c r="D3160" t="s">
        <v>139</v>
      </c>
      <c r="E3160" t="s">
        <v>10</v>
      </c>
      <c r="F3160">
        <v>17.899999999999999</v>
      </c>
      <c r="G3160">
        <v>78.7</v>
      </c>
      <c r="H3160" t="s">
        <v>13</v>
      </c>
      <c r="I3160" t="str">
        <f t="shared" si="49"/>
        <v>Alta</v>
      </c>
    </row>
    <row r="3161" spans="1:9">
      <c r="A3161" t="s">
        <v>302</v>
      </c>
      <c r="B3161">
        <v>2025</v>
      </c>
      <c r="C3161">
        <v>1</v>
      </c>
      <c r="D3161" t="s">
        <v>75</v>
      </c>
      <c r="E3161" t="s">
        <v>77</v>
      </c>
      <c r="F3161">
        <v>17.899999999999999</v>
      </c>
      <c r="G3161">
        <v>81.8</v>
      </c>
      <c r="H3161" t="s">
        <v>13</v>
      </c>
      <c r="I3161" t="str">
        <f t="shared" si="49"/>
        <v>Alta</v>
      </c>
    </row>
    <row r="3162" spans="1:9">
      <c r="A3162" t="s">
        <v>426</v>
      </c>
      <c r="B3162">
        <v>2026</v>
      </c>
      <c r="C3162">
        <v>1</v>
      </c>
      <c r="D3162" t="s">
        <v>9</v>
      </c>
      <c r="E3162" t="s">
        <v>14</v>
      </c>
      <c r="F3162">
        <v>17.899999999999999</v>
      </c>
      <c r="G3162">
        <v>70.900000000000006</v>
      </c>
      <c r="H3162" t="s">
        <v>13</v>
      </c>
      <c r="I3162" t="str">
        <f t="shared" si="49"/>
        <v>Média</v>
      </c>
    </row>
    <row r="3163" spans="1:9">
      <c r="A3163" t="s">
        <v>559</v>
      </c>
      <c r="B3163">
        <v>2026</v>
      </c>
      <c r="C3163">
        <v>1</v>
      </c>
      <c r="D3163" t="s">
        <v>139</v>
      </c>
      <c r="E3163" t="s">
        <v>140</v>
      </c>
      <c r="F3163">
        <v>17.899999999999999</v>
      </c>
      <c r="G3163">
        <v>79.900000000000006</v>
      </c>
      <c r="H3163" t="s">
        <v>13</v>
      </c>
      <c r="I3163" t="str">
        <f t="shared" si="49"/>
        <v>Alta</v>
      </c>
    </row>
    <row r="3164" spans="1:9">
      <c r="A3164" t="s">
        <v>403</v>
      </c>
      <c r="B3164">
        <v>2026</v>
      </c>
      <c r="C3164">
        <v>2</v>
      </c>
      <c r="D3164" t="s">
        <v>9</v>
      </c>
      <c r="E3164" t="s">
        <v>14</v>
      </c>
      <c r="F3164">
        <v>17.899999999999999</v>
      </c>
      <c r="G3164">
        <v>84.2</v>
      </c>
      <c r="H3164" t="s">
        <v>13</v>
      </c>
      <c r="I3164" t="str">
        <f t="shared" si="49"/>
        <v>Alta</v>
      </c>
    </row>
    <row r="3165" spans="1:9">
      <c r="A3165" t="s">
        <v>96</v>
      </c>
      <c r="B3165">
        <v>2024</v>
      </c>
      <c r="C3165">
        <v>1</v>
      </c>
      <c r="D3165" t="s">
        <v>75</v>
      </c>
      <c r="E3165" t="s">
        <v>78</v>
      </c>
      <c r="F3165">
        <v>18</v>
      </c>
      <c r="G3165">
        <v>59</v>
      </c>
      <c r="H3165" t="s">
        <v>13</v>
      </c>
      <c r="I3165" t="str">
        <f t="shared" si="49"/>
        <v>Média</v>
      </c>
    </row>
    <row r="3166" spans="1:9">
      <c r="A3166" t="s">
        <v>86</v>
      </c>
      <c r="B3166">
        <v>2024</v>
      </c>
      <c r="C3166">
        <v>2</v>
      </c>
      <c r="D3166" t="s">
        <v>75</v>
      </c>
      <c r="E3166" t="s">
        <v>78</v>
      </c>
      <c r="F3166">
        <v>18</v>
      </c>
      <c r="G3166">
        <v>99</v>
      </c>
      <c r="H3166" t="s">
        <v>13</v>
      </c>
      <c r="I3166" t="str">
        <f t="shared" si="49"/>
        <v>Alta</v>
      </c>
    </row>
    <row r="3167" spans="1:9">
      <c r="A3167" t="s">
        <v>253</v>
      </c>
      <c r="B3167">
        <v>2025</v>
      </c>
      <c r="C3167">
        <v>1</v>
      </c>
      <c r="D3167" t="s">
        <v>9</v>
      </c>
      <c r="E3167" t="s">
        <v>14</v>
      </c>
      <c r="F3167">
        <v>18</v>
      </c>
      <c r="G3167">
        <v>96.5</v>
      </c>
      <c r="H3167" t="s">
        <v>13</v>
      </c>
      <c r="I3167" t="str">
        <f t="shared" si="49"/>
        <v>Alta</v>
      </c>
    </row>
    <row r="3168" spans="1:9">
      <c r="A3168" t="s">
        <v>320</v>
      </c>
      <c r="B3168">
        <v>2025</v>
      </c>
      <c r="C3168">
        <v>1</v>
      </c>
      <c r="D3168" t="s">
        <v>75</v>
      </c>
      <c r="E3168" t="s">
        <v>76</v>
      </c>
      <c r="F3168">
        <v>18.100000000000001</v>
      </c>
      <c r="G3168">
        <v>94.8</v>
      </c>
      <c r="H3168" t="s">
        <v>13</v>
      </c>
      <c r="I3168" t="str">
        <f t="shared" si="49"/>
        <v>Alta</v>
      </c>
    </row>
    <row r="3169" spans="1:9">
      <c r="A3169" t="s">
        <v>344</v>
      </c>
      <c r="B3169">
        <v>2025</v>
      </c>
      <c r="C3169">
        <v>1</v>
      </c>
      <c r="D3169" t="s">
        <v>139</v>
      </c>
      <c r="E3169" t="s">
        <v>10</v>
      </c>
      <c r="F3169">
        <v>18.100000000000001</v>
      </c>
      <c r="G3169">
        <v>94</v>
      </c>
      <c r="H3169" t="s">
        <v>13</v>
      </c>
      <c r="I3169" t="str">
        <f t="shared" si="49"/>
        <v>Alta</v>
      </c>
    </row>
    <row r="3170" spans="1:9">
      <c r="A3170" t="s">
        <v>245</v>
      </c>
      <c r="B3170">
        <v>2025</v>
      </c>
      <c r="C3170">
        <v>2</v>
      </c>
      <c r="D3170" t="s">
        <v>9</v>
      </c>
      <c r="E3170" t="s">
        <v>12</v>
      </c>
      <c r="F3170">
        <v>18.100000000000001</v>
      </c>
      <c r="G3170">
        <v>79</v>
      </c>
      <c r="H3170" t="s">
        <v>13</v>
      </c>
      <c r="I3170" t="str">
        <f t="shared" si="49"/>
        <v>Alta</v>
      </c>
    </row>
    <row r="3171" spans="1:9">
      <c r="A3171" t="s">
        <v>299</v>
      </c>
      <c r="B3171">
        <v>2025</v>
      </c>
      <c r="C3171">
        <v>2</v>
      </c>
      <c r="D3171" t="s">
        <v>75</v>
      </c>
      <c r="E3171" t="s">
        <v>78</v>
      </c>
      <c r="F3171">
        <v>18.100000000000001</v>
      </c>
      <c r="G3171">
        <v>82.7</v>
      </c>
      <c r="H3171" t="s">
        <v>13</v>
      </c>
      <c r="I3171" t="str">
        <f t="shared" si="49"/>
        <v>Alta</v>
      </c>
    </row>
    <row r="3172" spans="1:9">
      <c r="A3172" t="s">
        <v>302</v>
      </c>
      <c r="B3172">
        <v>2025</v>
      </c>
      <c r="C3172">
        <v>2</v>
      </c>
      <c r="D3172" t="s">
        <v>75</v>
      </c>
      <c r="E3172" t="s">
        <v>76</v>
      </c>
      <c r="F3172">
        <v>18.100000000000001</v>
      </c>
      <c r="G3172">
        <v>69.7</v>
      </c>
      <c r="H3172" t="s">
        <v>13</v>
      </c>
      <c r="I3172" t="str">
        <f t="shared" si="49"/>
        <v>Média</v>
      </c>
    </row>
    <row r="3173" spans="1:9">
      <c r="A3173" t="s">
        <v>62</v>
      </c>
      <c r="B3173">
        <v>2024</v>
      </c>
      <c r="C3173">
        <v>2</v>
      </c>
      <c r="D3173" t="s">
        <v>9</v>
      </c>
      <c r="E3173" t="s">
        <v>12</v>
      </c>
      <c r="F3173">
        <v>18.2</v>
      </c>
      <c r="G3173">
        <v>91.3</v>
      </c>
      <c r="H3173" t="s">
        <v>13</v>
      </c>
      <c r="I3173" t="str">
        <f t="shared" si="49"/>
        <v>Alta</v>
      </c>
    </row>
    <row r="3174" spans="1:9">
      <c r="A3174" t="s">
        <v>86</v>
      </c>
      <c r="B3174">
        <v>2024</v>
      </c>
      <c r="C3174">
        <v>2</v>
      </c>
      <c r="D3174" t="s">
        <v>75</v>
      </c>
      <c r="E3174" t="s">
        <v>76</v>
      </c>
      <c r="F3174">
        <v>18.2</v>
      </c>
      <c r="G3174">
        <v>92.1</v>
      </c>
      <c r="H3174" t="s">
        <v>13</v>
      </c>
      <c r="I3174" t="str">
        <f t="shared" si="49"/>
        <v>Alta</v>
      </c>
    </row>
    <row r="3175" spans="1:9">
      <c r="A3175" t="s">
        <v>324</v>
      </c>
      <c r="B3175">
        <v>2025</v>
      </c>
      <c r="C3175">
        <v>2</v>
      </c>
      <c r="D3175" t="s">
        <v>139</v>
      </c>
      <c r="E3175" t="s">
        <v>10</v>
      </c>
      <c r="F3175">
        <v>18.2</v>
      </c>
      <c r="G3175">
        <v>86.1</v>
      </c>
      <c r="H3175" t="s">
        <v>13</v>
      </c>
      <c r="I3175" t="str">
        <f t="shared" si="49"/>
        <v>Alta</v>
      </c>
    </row>
    <row r="3176" spans="1:9">
      <c r="A3176" t="s">
        <v>393</v>
      </c>
      <c r="B3176">
        <v>2026</v>
      </c>
      <c r="C3176">
        <v>2</v>
      </c>
      <c r="D3176" t="s">
        <v>9</v>
      </c>
      <c r="E3176" t="s">
        <v>14</v>
      </c>
      <c r="F3176">
        <v>18.2</v>
      </c>
      <c r="G3176">
        <v>88.1</v>
      </c>
      <c r="H3176" t="s">
        <v>13</v>
      </c>
      <c r="I3176" t="str">
        <f t="shared" si="49"/>
        <v>Alta</v>
      </c>
    </row>
    <row r="3177" spans="1:9">
      <c r="A3177" t="s">
        <v>480</v>
      </c>
      <c r="B3177">
        <v>2026</v>
      </c>
      <c r="C3177">
        <v>2</v>
      </c>
      <c r="D3177" t="s">
        <v>75</v>
      </c>
      <c r="E3177" t="s">
        <v>76</v>
      </c>
      <c r="F3177">
        <v>18.2</v>
      </c>
      <c r="G3177">
        <v>85</v>
      </c>
      <c r="H3177" t="s">
        <v>13</v>
      </c>
      <c r="I3177" t="str">
        <f t="shared" si="49"/>
        <v>Alta</v>
      </c>
    </row>
    <row r="3178" spans="1:9">
      <c r="A3178" t="s">
        <v>257</v>
      </c>
      <c r="B3178">
        <v>2025</v>
      </c>
      <c r="C3178">
        <v>1</v>
      </c>
      <c r="D3178" t="s">
        <v>9</v>
      </c>
      <c r="E3178" t="s">
        <v>12</v>
      </c>
      <c r="F3178">
        <v>18.3</v>
      </c>
      <c r="G3178">
        <v>90.8</v>
      </c>
      <c r="H3178" t="s">
        <v>13</v>
      </c>
      <c r="I3178" t="str">
        <f t="shared" si="49"/>
        <v>Alta</v>
      </c>
    </row>
    <row r="3179" spans="1:9">
      <c r="A3179" t="s">
        <v>285</v>
      </c>
      <c r="B3179">
        <v>2025</v>
      </c>
      <c r="C3179">
        <v>1</v>
      </c>
      <c r="D3179" t="s">
        <v>75</v>
      </c>
      <c r="E3179" t="s">
        <v>77</v>
      </c>
      <c r="F3179">
        <v>18.3</v>
      </c>
      <c r="G3179">
        <v>88.6</v>
      </c>
      <c r="H3179" t="s">
        <v>13</v>
      </c>
      <c r="I3179" t="str">
        <f t="shared" si="49"/>
        <v>Alta</v>
      </c>
    </row>
    <row r="3180" spans="1:9">
      <c r="A3180" t="s">
        <v>298</v>
      </c>
      <c r="B3180">
        <v>2025</v>
      </c>
      <c r="C3180">
        <v>2</v>
      </c>
      <c r="D3180" t="s">
        <v>75</v>
      </c>
      <c r="E3180" t="s">
        <v>77</v>
      </c>
      <c r="F3180">
        <v>18.3</v>
      </c>
      <c r="G3180">
        <v>99.8</v>
      </c>
      <c r="H3180" t="s">
        <v>13</v>
      </c>
      <c r="I3180" t="str">
        <f t="shared" si="49"/>
        <v>Alta</v>
      </c>
    </row>
    <row r="3181" spans="1:9">
      <c r="A3181" t="s">
        <v>380</v>
      </c>
      <c r="B3181">
        <v>2025</v>
      </c>
      <c r="C3181">
        <v>2</v>
      </c>
      <c r="D3181" t="s">
        <v>139</v>
      </c>
      <c r="E3181" t="s">
        <v>10</v>
      </c>
      <c r="F3181">
        <v>18.3</v>
      </c>
      <c r="G3181">
        <v>79.599999999999994</v>
      </c>
      <c r="H3181" t="s">
        <v>13</v>
      </c>
      <c r="I3181" t="str">
        <f t="shared" si="49"/>
        <v>Alta</v>
      </c>
    </row>
    <row r="3182" spans="1:9">
      <c r="A3182" t="s">
        <v>433</v>
      </c>
      <c r="B3182">
        <v>2026</v>
      </c>
      <c r="C3182">
        <v>1</v>
      </c>
      <c r="D3182" t="s">
        <v>9</v>
      </c>
      <c r="E3182" t="s">
        <v>14</v>
      </c>
      <c r="F3182">
        <v>18.3</v>
      </c>
      <c r="G3182">
        <v>94.5</v>
      </c>
      <c r="H3182" t="s">
        <v>13</v>
      </c>
      <c r="I3182" t="str">
        <f t="shared" si="49"/>
        <v>Alta</v>
      </c>
    </row>
    <row r="3183" spans="1:9">
      <c r="A3183" t="s">
        <v>26</v>
      </c>
      <c r="B3183">
        <v>2024</v>
      </c>
      <c r="C3183">
        <v>2</v>
      </c>
      <c r="D3183" t="s">
        <v>9</v>
      </c>
      <c r="E3183" t="s">
        <v>10</v>
      </c>
      <c r="F3183">
        <v>18.399999999999999</v>
      </c>
      <c r="G3183">
        <v>78.3</v>
      </c>
      <c r="H3183" t="s">
        <v>13</v>
      </c>
      <c r="I3183" t="str">
        <f t="shared" si="49"/>
        <v>Alta</v>
      </c>
    </row>
    <row r="3184" spans="1:9">
      <c r="A3184" t="s">
        <v>290</v>
      </c>
      <c r="B3184">
        <v>2025</v>
      </c>
      <c r="C3184">
        <v>2</v>
      </c>
      <c r="D3184" t="s">
        <v>75</v>
      </c>
      <c r="E3184" t="s">
        <v>76</v>
      </c>
      <c r="F3184">
        <v>18.399999999999999</v>
      </c>
      <c r="G3184">
        <v>96.4</v>
      </c>
      <c r="H3184" t="s">
        <v>13</v>
      </c>
      <c r="I3184" t="str">
        <f t="shared" si="49"/>
        <v>Alta</v>
      </c>
    </row>
    <row r="3185" spans="1:9">
      <c r="A3185" t="s">
        <v>466</v>
      </c>
      <c r="B3185">
        <v>2026</v>
      </c>
      <c r="C3185">
        <v>1</v>
      </c>
      <c r="D3185" t="s">
        <v>75</v>
      </c>
      <c r="E3185" t="s">
        <v>78</v>
      </c>
      <c r="F3185">
        <v>18.399999999999999</v>
      </c>
      <c r="G3185">
        <v>97.3</v>
      </c>
      <c r="H3185" t="s">
        <v>13</v>
      </c>
      <c r="I3185" t="str">
        <f t="shared" si="49"/>
        <v>Alta</v>
      </c>
    </row>
    <row r="3186" spans="1:9">
      <c r="A3186" t="s">
        <v>434</v>
      </c>
      <c r="B3186">
        <v>2026</v>
      </c>
      <c r="C3186">
        <v>2</v>
      </c>
      <c r="D3186" t="s">
        <v>9</v>
      </c>
      <c r="E3186" t="s">
        <v>12</v>
      </c>
      <c r="F3186">
        <v>18.399999999999999</v>
      </c>
      <c r="G3186">
        <v>82.2</v>
      </c>
      <c r="H3186" t="s">
        <v>13</v>
      </c>
      <c r="I3186" t="str">
        <f t="shared" si="49"/>
        <v>Alta</v>
      </c>
    </row>
    <row r="3187" spans="1:9">
      <c r="A3187" t="s">
        <v>283</v>
      </c>
      <c r="B3187">
        <v>2025</v>
      </c>
      <c r="C3187">
        <v>2</v>
      </c>
      <c r="D3187" t="s">
        <v>75</v>
      </c>
      <c r="E3187" t="s">
        <v>76</v>
      </c>
      <c r="F3187">
        <v>18.5</v>
      </c>
      <c r="G3187">
        <v>91.2</v>
      </c>
      <c r="H3187" t="s">
        <v>13</v>
      </c>
      <c r="I3187" t="str">
        <f t="shared" si="49"/>
        <v>Alta</v>
      </c>
    </row>
    <row r="3188" spans="1:9">
      <c r="A3188" t="s">
        <v>336</v>
      </c>
      <c r="B3188">
        <v>2025</v>
      </c>
      <c r="C3188">
        <v>2</v>
      </c>
      <c r="D3188" t="s">
        <v>139</v>
      </c>
      <c r="E3188" t="s">
        <v>141</v>
      </c>
      <c r="F3188">
        <v>18.5</v>
      </c>
      <c r="G3188">
        <v>62.5</v>
      </c>
      <c r="H3188" t="s">
        <v>13</v>
      </c>
      <c r="I3188" t="str">
        <f t="shared" si="49"/>
        <v>Média</v>
      </c>
    </row>
    <row r="3189" spans="1:9">
      <c r="A3189" t="s">
        <v>84</v>
      </c>
      <c r="B3189">
        <v>2024</v>
      </c>
      <c r="C3189">
        <v>1</v>
      </c>
      <c r="D3189" t="s">
        <v>75</v>
      </c>
      <c r="E3189" t="s">
        <v>78</v>
      </c>
      <c r="F3189">
        <v>18.600000000000001</v>
      </c>
      <c r="G3189">
        <v>87.7</v>
      </c>
      <c r="H3189" t="s">
        <v>13</v>
      </c>
      <c r="I3189" t="str">
        <f t="shared" si="49"/>
        <v>Alta</v>
      </c>
    </row>
    <row r="3190" spans="1:9">
      <c r="A3190" t="s">
        <v>244</v>
      </c>
      <c r="B3190">
        <v>2025</v>
      </c>
      <c r="C3190">
        <v>1</v>
      </c>
      <c r="D3190" t="s">
        <v>9</v>
      </c>
      <c r="E3190" t="s">
        <v>10</v>
      </c>
      <c r="F3190">
        <v>18.600000000000001</v>
      </c>
      <c r="G3190">
        <v>94.7</v>
      </c>
      <c r="H3190" t="s">
        <v>13</v>
      </c>
      <c r="I3190" t="str">
        <f t="shared" si="49"/>
        <v>Alta</v>
      </c>
    </row>
    <row r="3191" spans="1:9">
      <c r="A3191" t="s">
        <v>319</v>
      </c>
      <c r="B3191">
        <v>2025</v>
      </c>
      <c r="C3191">
        <v>2</v>
      </c>
      <c r="D3191" t="s">
        <v>75</v>
      </c>
      <c r="E3191" t="s">
        <v>76</v>
      </c>
      <c r="F3191">
        <v>18.600000000000001</v>
      </c>
      <c r="G3191">
        <v>99.3</v>
      </c>
      <c r="H3191" t="s">
        <v>13</v>
      </c>
      <c r="I3191" t="str">
        <f t="shared" si="49"/>
        <v>Alta</v>
      </c>
    </row>
    <row r="3192" spans="1:9">
      <c r="A3192" t="s">
        <v>90</v>
      </c>
      <c r="B3192">
        <v>2024</v>
      </c>
      <c r="C3192">
        <v>2</v>
      </c>
      <c r="D3192" t="s">
        <v>75</v>
      </c>
      <c r="E3192" t="s">
        <v>76</v>
      </c>
      <c r="F3192">
        <v>18.7</v>
      </c>
      <c r="G3192">
        <v>95.7</v>
      </c>
      <c r="H3192" t="s">
        <v>13</v>
      </c>
      <c r="I3192" t="str">
        <f t="shared" si="49"/>
        <v>Alta</v>
      </c>
    </row>
    <row r="3193" spans="1:9">
      <c r="A3193" t="s">
        <v>307</v>
      </c>
      <c r="B3193">
        <v>2025</v>
      </c>
      <c r="C3193">
        <v>2</v>
      </c>
      <c r="D3193" t="s">
        <v>75</v>
      </c>
      <c r="E3193" t="s">
        <v>76</v>
      </c>
      <c r="F3193">
        <v>18.7</v>
      </c>
      <c r="G3193">
        <v>97.4</v>
      </c>
      <c r="H3193" t="s">
        <v>13</v>
      </c>
      <c r="I3193" t="str">
        <f t="shared" si="49"/>
        <v>Alta</v>
      </c>
    </row>
    <row r="3194" spans="1:9">
      <c r="A3194" t="s">
        <v>427</v>
      </c>
      <c r="B3194">
        <v>2026</v>
      </c>
      <c r="C3194">
        <v>1</v>
      </c>
      <c r="D3194" t="s">
        <v>9</v>
      </c>
      <c r="E3194" t="s">
        <v>10</v>
      </c>
      <c r="F3194">
        <v>18.7</v>
      </c>
      <c r="G3194">
        <v>74.8</v>
      </c>
      <c r="H3194" t="s">
        <v>13</v>
      </c>
      <c r="I3194" t="str">
        <f t="shared" si="49"/>
        <v>Média</v>
      </c>
    </row>
    <row r="3195" spans="1:9">
      <c r="A3195" t="s">
        <v>475</v>
      </c>
      <c r="B3195">
        <v>2026</v>
      </c>
      <c r="C3195">
        <v>1</v>
      </c>
      <c r="D3195" t="s">
        <v>75</v>
      </c>
      <c r="E3195" t="s">
        <v>77</v>
      </c>
      <c r="F3195">
        <v>18.7</v>
      </c>
      <c r="G3195">
        <v>92.4</v>
      </c>
      <c r="H3195" t="s">
        <v>13</v>
      </c>
      <c r="I3195" t="str">
        <f t="shared" si="49"/>
        <v>Alta</v>
      </c>
    </row>
    <row r="3196" spans="1:9">
      <c r="A3196" t="s">
        <v>559</v>
      </c>
      <c r="B3196">
        <v>2026</v>
      </c>
      <c r="C3196">
        <v>1</v>
      </c>
      <c r="D3196" t="s">
        <v>139</v>
      </c>
      <c r="E3196" t="s">
        <v>141</v>
      </c>
      <c r="F3196">
        <v>18.7</v>
      </c>
      <c r="G3196">
        <v>95.3</v>
      </c>
      <c r="H3196" t="s">
        <v>13</v>
      </c>
      <c r="I3196" t="str">
        <f t="shared" si="49"/>
        <v>Alta</v>
      </c>
    </row>
    <row r="3197" spans="1:9">
      <c r="A3197" t="s">
        <v>228</v>
      </c>
      <c r="B3197">
        <v>2025</v>
      </c>
      <c r="C3197">
        <v>1</v>
      </c>
      <c r="D3197" t="s">
        <v>9</v>
      </c>
      <c r="E3197" t="s">
        <v>10</v>
      </c>
      <c r="F3197">
        <v>18.8</v>
      </c>
      <c r="G3197">
        <v>87.9</v>
      </c>
      <c r="H3197" t="s">
        <v>13</v>
      </c>
      <c r="I3197" t="str">
        <f t="shared" si="49"/>
        <v>Alta</v>
      </c>
    </row>
    <row r="3198" spans="1:9">
      <c r="A3198" t="s">
        <v>250</v>
      </c>
      <c r="B3198">
        <v>2025</v>
      </c>
      <c r="C3198">
        <v>1</v>
      </c>
      <c r="D3198" t="s">
        <v>9</v>
      </c>
      <c r="E3198" t="s">
        <v>12</v>
      </c>
      <c r="F3198">
        <v>18.8</v>
      </c>
      <c r="G3198">
        <v>64.400000000000006</v>
      </c>
      <c r="H3198" t="s">
        <v>13</v>
      </c>
      <c r="I3198" t="str">
        <f t="shared" si="49"/>
        <v>Média</v>
      </c>
    </row>
    <row r="3199" spans="1:9">
      <c r="A3199" t="s">
        <v>239</v>
      </c>
      <c r="B3199">
        <v>2025</v>
      </c>
      <c r="C3199">
        <v>2</v>
      </c>
      <c r="D3199" t="s">
        <v>9</v>
      </c>
      <c r="E3199" t="s">
        <v>10</v>
      </c>
      <c r="F3199">
        <v>18.8</v>
      </c>
      <c r="G3199">
        <v>92.8</v>
      </c>
      <c r="H3199" t="s">
        <v>13</v>
      </c>
      <c r="I3199" t="str">
        <f t="shared" si="49"/>
        <v>Alta</v>
      </c>
    </row>
    <row r="3200" spans="1:9">
      <c r="A3200" t="s">
        <v>386</v>
      </c>
      <c r="B3200">
        <v>2026</v>
      </c>
      <c r="C3200">
        <v>1</v>
      </c>
      <c r="D3200" t="s">
        <v>9</v>
      </c>
      <c r="E3200" t="s">
        <v>10</v>
      </c>
      <c r="F3200">
        <v>18.8</v>
      </c>
      <c r="G3200">
        <v>89.7</v>
      </c>
      <c r="H3200" t="s">
        <v>13</v>
      </c>
      <c r="I3200" t="str">
        <f t="shared" si="49"/>
        <v>Alta</v>
      </c>
    </row>
    <row r="3201" spans="1:9">
      <c r="A3201" t="s">
        <v>457</v>
      </c>
      <c r="B3201">
        <v>2026</v>
      </c>
      <c r="C3201">
        <v>2</v>
      </c>
      <c r="D3201" t="s">
        <v>75</v>
      </c>
      <c r="E3201" t="s">
        <v>77</v>
      </c>
      <c r="F3201">
        <v>18.8</v>
      </c>
      <c r="G3201">
        <v>78</v>
      </c>
      <c r="H3201" t="s">
        <v>13</v>
      </c>
      <c r="I3201" t="str">
        <f t="shared" si="49"/>
        <v>Alta</v>
      </c>
    </row>
    <row r="3202" spans="1:9">
      <c r="A3202" t="s">
        <v>201</v>
      </c>
      <c r="B3202">
        <v>2025</v>
      </c>
      <c r="C3202">
        <v>1</v>
      </c>
      <c r="D3202" t="s">
        <v>9</v>
      </c>
      <c r="E3202" t="s">
        <v>12</v>
      </c>
      <c r="F3202">
        <v>18.899999999999999</v>
      </c>
      <c r="G3202">
        <v>99.8</v>
      </c>
      <c r="H3202" t="s">
        <v>13</v>
      </c>
      <c r="I3202" t="str">
        <f t="shared" ref="I3202:I3241" si="50">IF(G3202&lt;50,"Baixa",IF(G3202&lt;75,"Média","Alta"))</f>
        <v>Alta</v>
      </c>
    </row>
    <row r="3203" spans="1:9">
      <c r="A3203" t="s">
        <v>468</v>
      </c>
      <c r="B3203">
        <v>2026</v>
      </c>
      <c r="C3203">
        <v>2</v>
      </c>
      <c r="D3203" t="s">
        <v>75</v>
      </c>
      <c r="E3203" t="s">
        <v>77</v>
      </c>
      <c r="F3203">
        <v>18.899999999999999</v>
      </c>
      <c r="G3203">
        <v>84</v>
      </c>
      <c r="H3203" t="s">
        <v>13</v>
      </c>
      <c r="I3203" t="str">
        <f t="shared" si="50"/>
        <v>Alta</v>
      </c>
    </row>
    <row r="3204" spans="1:9">
      <c r="A3204" t="s">
        <v>46</v>
      </c>
      <c r="B3204">
        <v>2024</v>
      </c>
      <c r="C3204">
        <v>2</v>
      </c>
      <c r="D3204" t="s">
        <v>9</v>
      </c>
      <c r="E3204" t="s">
        <v>14</v>
      </c>
      <c r="F3204">
        <v>19</v>
      </c>
      <c r="G3204">
        <v>96.6</v>
      </c>
      <c r="H3204" t="s">
        <v>13</v>
      </c>
      <c r="I3204" t="str">
        <f t="shared" si="50"/>
        <v>Alta</v>
      </c>
    </row>
    <row r="3205" spans="1:9">
      <c r="A3205" t="s">
        <v>476</v>
      </c>
      <c r="B3205">
        <v>2026</v>
      </c>
      <c r="C3205">
        <v>1</v>
      </c>
      <c r="D3205" t="s">
        <v>75</v>
      </c>
      <c r="E3205" t="s">
        <v>78</v>
      </c>
      <c r="F3205">
        <v>19</v>
      </c>
      <c r="G3205">
        <v>82.3</v>
      </c>
      <c r="H3205" t="s">
        <v>13</v>
      </c>
      <c r="I3205" t="str">
        <f t="shared" si="50"/>
        <v>Alta</v>
      </c>
    </row>
    <row r="3206" spans="1:9">
      <c r="A3206" t="s">
        <v>499</v>
      </c>
      <c r="B3206">
        <v>2026</v>
      </c>
      <c r="C3206">
        <v>2</v>
      </c>
      <c r="D3206" t="s">
        <v>75</v>
      </c>
      <c r="E3206" t="s">
        <v>78</v>
      </c>
      <c r="F3206">
        <v>19</v>
      </c>
      <c r="G3206">
        <v>95.5</v>
      </c>
      <c r="H3206" t="s">
        <v>13</v>
      </c>
      <c r="I3206" t="str">
        <f t="shared" si="50"/>
        <v>Alta</v>
      </c>
    </row>
    <row r="3207" spans="1:9">
      <c r="A3207" t="s">
        <v>126</v>
      </c>
      <c r="B3207">
        <v>2024</v>
      </c>
      <c r="C3207">
        <v>1</v>
      </c>
      <c r="D3207" t="s">
        <v>75</v>
      </c>
      <c r="E3207" t="s">
        <v>78</v>
      </c>
      <c r="F3207">
        <v>19.100000000000001</v>
      </c>
      <c r="G3207">
        <v>96</v>
      </c>
      <c r="H3207" t="s">
        <v>13</v>
      </c>
      <c r="I3207" t="str">
        <f t="shared" si="50"/>
        <v>Alta</v>
      </c>
    </row>
    <row r="3208" spans="1:9">
      <c r="A3208" t="s">
        <v>147</v>
      </c>
      <c r="B3208">
        <v>2024</v>
      </c>
      <c r="C3208">
        <v>2</v>
      </c>
      <c r="D3208" t="s">
        <v>139</v>
      </c>
      <c r="E3208" t="s">
        <v>141</v>
      </c>
      <c r="F3208">
        <v>19.100000000000001</v>
      </c>
      <c r="G3208">
        <v>96.6</v>
      </c>
      <c r="H3208" t="s">
        <v>13</v>
      </c>
      <c r="I3208" t="str">
        <f t="shared" si="50"/>
        <v>Alta</v>
      </c>
    </row>
    <row r="3209" spans="1:9">
      <c r="A3209" t="s">
        <v>378</v>
      </c>
      <c r="B3209">
        <v>2025</v>
      </c>
      <c r="C3209">
        <v>1</v>
      </c>
      <c r="D3209" t="s">
        <v>139</v>
      </c>
      <c r="E3209" t="s">
        <v>141</v>
      </c>
      <c r="F3209">
        <v>19.100000000000001</v>
      </c>
      <c r="G3209">
        <v>98.8</v>
      </c>
      <c r="H3209" t="s">
        <v>13</v>
      </c>
      <c r="I3209" t="str">
        <f t="shared" si="50"/>
        <v>Alta</v>
      </c>
    </row>
    <row r="3210" spans="1:9">
      <c r="A3210" t="s">
        <v>42</v>
      </c>
      <c r="B3210">
        <v>2024</v>
      </c>
      <c r="C3210">
        <v>2</v>
      </c>
      <c r="D3210" t="s">
        <v>9</v>
      </c>
      <c r="E3210" t="s">
        <v>12</v>
      </c>
      <c r="F3210">
        <v>19.2</v>
      </c>
      <c r="G3210">
        <v>94.3</v>
      </c>
      <c r="H3210" t="s">
        <v>13</v>
      </c>
      <c r="I3210" t="str">
        <f t="shared" si="50"/>
        <v>Alta</v>
      </c>
    </row>
    <row r="3211" spans="1:9">
      <c r="A3211" t="s">
        <v>286</v>
      </c>
      <c r="B3211">
        <v>2025</v>
      </c>
      <c r="C3211">
        <v>2</v>
      </c>
      <c r="D3211" t="s">
        <v>75</v>
      </c>
      <c r="E3211" t="s">
        <v>77</v>
      </c>
      <c r="F3211">
        <v>19.2</v>
      </c>
      <c r="G3211">
        <v>90.8</v>
      </c>
      <c r="H3211" t="s">
        <v>13</v>
      </c>
      <c r="I3211" t="str">
        <f t="shared" si="50"/>
        <v>Alta</v>
      </c>
    </row>
    <row r="3212" spans="1:9">
      <c r="A3212" t="s">
        <v>334</v>
      </c>
      <c r="B3212">
        <v>2025</v>
      </c>
      <c r="C3212">
        <v>2</v>
      </c>
      <c r="D3212" t="s">
        <v>139</v>
      </c>
      <c r="E3212" t="s">
        <v>141</v>
      </c>
      <c r="F3212">
        <v>19.2</v>
      </c>
      <c r="G3212">
        <v>72.8</v>
      </c>
      <c r="H3212" t="s">
        <v>13</v>
      </c>
      <c r="I3212" t="str">
        <f t="shared" si="50"/>
        <v>Média</v>
      </c>
    </row>
    <row r="3213" spans="1:9">
      <c r="A3213" t="s">
        <v>343</v>
      </c>
      <c r="B3213">
        <v>2025</v>
      </c>
      <c r="C3213">
        <v>2</v>
      </c>
      <c r="D3213" t="s">
        <v>139</v>
      </c>
      <c r="E3213" t="s">
        <v>10</v>
      </c>
      <c r="F3213">
        <v>19.2</v>
      </c>
      <c r="G3213">
        <v>80.8</v>
      </c>
      <c r="H3213" t="s">
        <v>13</v>
      </c>
      <c r="I3213" t="str">
        <f t="shared" si="50"/>
        <v>Alta</v>
      </c>
    </row>
    <row r="3214" spans="1:9">
      <c r="A3214" t="s">
        <v>428</v>
      </c>
      <c r="B3214">
        <v>2026</v>
      </c>
      <c r="C3214">
        <v>2</v>
      </c>
      <c r="D3214" t="s">
        <v>9</v>
      </c>
      <c r="E3214" t="s">
        <v>14</v>
      </c>
      <c r="F3214">
        <v>19.2</v>
      </c>
      <c r="G3214">
        <v>89.7</v>
      </c>
      <c r="H3214" t="s">
        <v>13</v>
      </c>
      <c r="I3214" t="str">
        <f t="shared" si="50"/>
        <v>Alta</v>
      </c>
    </row>
    <row r="3215" spans="1:9">
      <c r="A3215" t="s">
        <v>62</v>
      </c>
      <c r="B3215">
        <v>2024</v>
      </c>
      <c r="C3215">
        <v>1</v>
      </c>
      <c r="D3215" t="s">
        <v>9</v>
      </c>
      <c r="E3215" t="s">
        <v>10</v>
      </c>
      <c r="F3215">
        <v>19.3</v>
      </c>
      <c r="G3215">
        <v>98.1</v>
      </c>
      <c r="H3215" t="s">
        <v>13</v>
      </c>
      <c r="I3215" t="str">
        <f t="shared" si="50"/>
        <v>Alta</v>
      </c>
    </row>
    <row r="3216" spans="1:9">
      <c r="A3216" t="s">
        <v>167</v>
      </c>
      <c r="B3216">
        <v>2024</v>
      </c>
      <c r="C3216">
        <v>1</v>
      </c>
      <c r="D3216" t="s">
        <v>139</v>
      </c>
      <c r="E3216" t="s">
        <v>10</v>
      </c>
      <c r="F3216">
        <v>19.3</v>
      </c>
      <c r="G3216">
        <v>93.7</v>
      </c>
      <c r="H3216" t="s">
        <v>13</v>
      </c>
      <c r="I3216" t="str">
        <f t="shared" si="50"/>
        <v>Alta</v>
      </c>
    </row>
    <row r="3217" spans="1:9">
      <c r="A3217" t="s">
        <v>184</v>
      </c>
      <c r="B3217">
        <v>2024</v>
      </c>
      <c r="C3217">
        <v>2</v>
      </c>
      <c r="D3217" t="s">
        <v>139</v>
      </c>
      <c r="E3217" t="s">
        <v>140</v>
      </c>
      <c r="F3217">
        <v>19.3</v>
      </c>
      <c r="G3217">
        <v>78.599999999999994</v>
      </c>
      <c r="H3217" t="s">
        <v>13</v>
      </c>
      <c r="I3217" t="str">
        <f t="shared" si="50"/>
        <v>Alta</v>
      </c>
    </row>
    <row r="3218" spans="1:9">
      <c r="A3218" t="s">
        <v>323</v>
      </c>
      <c r="B3218">
        <v>2025</v>
      </c>
      <c r="C3218">
        <v>2</v>
      </c>
      <c r="D3218" t="s">
        <v>139</v>
      </c>
      <c r="E3218" t="s">
        <v>141</v>
      </c>
      <c r="F3218">
        <v>19.3</v>
      </c>
      <c r="G3218">
        <v>86.2</v>
      </c>
      <c r="H3218" t="s">
        <v>13</v>
      </c>
      <c r="I3218" t="str">
        <f t="shared" si="50"/>
        <v>Alta</v>
      </c>
    </row>
    <row r="3219" spans="1:9">
      <c r="A3219" t="s">
        <v>516</v>
      </c>
      <c r="B3219">
        <v>2026</v>
      </c>
      <c r="C3219">
        <v>1</v>
      </c>
      <c r="D3219" t="s">
        <v>139</v>
      </c>
      <c r="E3219" t="s">
        <v>141</v>
      </c>
      <c r="F3219">
        <v>19.3</v>
      </c>
      <c r="G3219">
        <v>83.1</v>
      </c>
      <c r="H3219" t="s">
        <v>13</v>
      </c>
      <c r="I3219" t="str">
        <f t="shared" si="50"/>
        <v>Alta</v>
      </c>
    </row>
    <row r="3220" spans="1:9">
      <c r="A3220" t="s">
        <v>148</v>
      </c>
      <c r="B3220">
        <v>2024</v>
      </c>
      <c r="C3220">
        <v>2</v>
      </c>
      <c r="D3220" t="s">
        <v>139</v>
      </c>
      <c r="E3220" t="s">
        <v>140</v>
      </c>
      <c r="F3220">
        <v>19.600000000000001</v>
      </c>
      <c r="G3220">
        <v>90.9</v>
      </c>
      <c r="H3220" t="s">
        <v>13</v>
      </c>
      <c r="I3220" t="str">
        <f t="shared" si="50"/>
        <v>Alta</v>
      </c>
    </row>
    <row r="3221" spans="1:9">
      <c r="A3221" t="s">
        <v>184</v>
      </c>
      <c r="B3221">
        <v>2024</v>
      </c>
      <c r="C3221">
        <v>2</v>
      </c>
      <c r="D3221" t="s">
        <v>139</v>
      </c>
      <c r="E3221" t="s">
        <v>141</v>
      </c>
      <c r="F3221">
        <v>19.600000000000001</v>
      </c>
      <c r="G3221">
        <v>99.7</v>
      </c>
      <c r="H3221" t="s">
        <v>13</v>
      </c>
      <c r="I3221" t="str">
        <f t="shared" si="50"/>
        <v>Alta</v>
      </c>
    </row>
    <row r="3222" spans="1:9">
      <c r="A3222" t="s">
        <v>65</v>
      </c>
      <c r="B3222">
        <v>2024</v>
      </c>
      <c r="C3222">
        <v>1</v>
      </c>
      <c r="D3222" t="s">
        <v>9</v>
      </c>
      <c r="E3222" t="s">
        <v>12</v>
      </c>
      <c r="F3222">
        <v>19.7</v>
      </c>
      <c r="G3222">
        <v>90.3</v>
      </c>
      <c r="H3222" t="s">
        <v>13</v>
      </c>
      <c r="I3222" t="str">
        <f t="shared" si="50"/>
        <v>Alta</v>
      </c>
    </row>
    <row r="3223" spans="1:9">
      <c r="A3223" t="s">
        <v>190</v>
      </c>
      <c r="B3223">
        <v>2024</v>
      </c>
      <c r="C3223">
        <v>1</v>
      </c>
      <c r="D3223" t="s">
        <v>139</v>
      </c>
      <c r="E3223" t="s">
        <v>140</v>
      </c>
      <c r="F3223">
        <v>19.7</v>
      </c>
      <c r="G3223">
        <v>98.8</v>
      </c>
      <c r="H3223" t="s">
        <v>13</v>
      </c>
      <c r="I3223" t="str">
        <f t="shared" si="50"/>
        <v>Alta</v>
      </c>
    </row>
    <row r="3224" spans="1:9">
      <c r="A3224" t="s">
        <v>388</v>
      </c>
      <c r="B3224">
        <v>2026</v>
      </c>
      <c r="C3224">
        <v>1</v>
      </c>
      <c r="D3224" t="s">
        <v>9</v>
      </c>
      <c r="E3224" t="s">
        <v>10</v>
      </c>
      <c r="F3224">
        <v>19.7</v>
      </c>
      <c r="G3224">
        <v>98.4</v>
      </c>
      <c r="H3224" t="s">
        <v>13</v>
      </c>
      <c r="I3224" t="str">
        <f t="shared" si="50"/>
        <v>Alta</v>
      </c>
    </row>
    <row r="3225" spans="1:9">
      <c r="A3225" t="s">
        <v>306</v>
      </c>
      <c r="B3225">
        <v>2025</v>
      </c>
      <c r="C3225">
        <v>2</v>
      </c>
      <c r="D3225" t="s">
        <v>75</v>
      </c>
      <c r="E3225" t="s">
        <v>78</v>
      </c>
      <c r="F3225">
        <v>19.8</v>
      </c>
      <c r="G3225">
        <v>90.4</v>
      </c>
      <c r="H3225" t="s">
        <v>13</v>
      </c>
      <c r="I3225" t="str">
        <f t="shared" si="50"/>
        <v>Alta</v>
      </c>
    </row>
    <row r="3226" spans="1:9">
      <c r="A3226" t="s">
        <v>269</v>
      </c>
      <c r="B3226">
        <v>2025</v>
      </c>
      <c r="C3226">
        <v>1</v>
      </c>
      <c r="D3226" t="s">
        <v>75</v>
      </c>
      <c r="E3226" t="s">
        <v>78</v>
      </c>
      <c r="F3226">
        <v>19.899999999999999</v>
      </c>
      <c r="G3226">
        <v>94.5</v>
      </c>
      <c r="H3226" t="s">
        <v>13</v>
      </c>
      <c r="I3226" t="str">
        <f t="shared" si="50"/>
        <v>Alta</v>
      </c>
    </row>
    <row r="3227" spans="1:9">
      <c r="A3227" t="s">
        <v>19</v>
      </c>
      <c r="B3227">
        <v>2024</v>
      </c>
      <c r="C3227">
        <v>2</v>
      </c>
      <c r="D3227" t="s">
        <v>9</v>
      </c>
      <c r="E3227" t="s">
        <v>14</v>
      </c>
      <c r="F3227">
        <v>20</v>
      </c>
      <c r="G3227">
        <v>97.2</v>
      </c>
      <c r="H3227" t="s">
        <v>13</v>
      </c>
      <c r="I3227" t="str">
        <f t="shared" si="50"/>
        <v>Alta</v>
      </c>
    </row>
    <row r="3228" spans="1:9">
      <c r="A3228" t="s">
        <v>130</v>
      </c>
      <c r="B3228">
        <v>2024</v>
      </c>
      <c r="C3228">
        <v>2</v>
      </c>
      <c r="D3228" t="s">
        <v>75</v>
      </c>
      <c r="E3228" t="s">
        <v>77</v>
      </c>
      <c r="F3228">
        <v>20</v>
      </c>
      <c r="G3228">
        <v>99.5</v>
      </c>
      <c r="H3228" t="s">
        <v>13</v>
      </c>
      <c r="I3228" t="str">
        <f t="shared" si="50"/>
        <v>Alta</v>
      </c>
    </row>
    <row r="3229" spans="1:9">
      <c r="A3229" t="s">
        <v>317</v>
      </c>
      <c r="B3229">
        <v>2025</v>
      </c>
      <c r="C3229">
        <v>1</v>
      </c>
      <c r="D3229" t="s">
        <v>75</v>
      </c>
      <c r="E3229" t="s">
        <v>77</v>
      </c>
      <c r="F3229">
        <v>20</v>
      </c>
      <c r="G3229">
        <v>83</v>
      </c>
      <c r="H3229" t="s">
        <v>13</v>
      </c>
      <c r="I3229" t="str">
        <f t="shared" si="50"/>
        <v>Alta</v>
      </c>
    </row>
    <row r="3230" spans="1:9">
      <c r="A3230" t="s">
        <v>326</v>
      </c>
      <c r="B3230">
        <v>2025</v>
      </c>
      <c r="C3230">
        <v>1</v>
      </c>
      <c r="D3230" t="s">
        <v>139</v>
      </c>
      <c r="E3230" t="s">
        <v>10</v>
      </c>
      <c r="F3230">
        <v>20</v>
      </c>
      <c r="G3230">
        <v>98.7</v>
      </c>
      <c r="H3230" t="s">
        <v>13</v>
      </c>
      <c r="I3230" t="str">
        <f t="shared" si="50"/>
        <v>Alta</v>
      </c>
    </row>
    <row r="3231" spans="1:9">
      <c r="A3231" t="s">
        <v>242</v>
      </c>
      <c r="B3231">
        <v>2025</v>
      </c>
      <c r="C3231">
        <v>2</v>
      </c>
      <c r="D3231" t="s">
        <v>9</v>
      </c>
      <c r="E3231" t="s">
        <v>12</v>
      </c>
      <c r="F3231">
        <v>20</v>
      </c>
      <c r="G3231">
        <v>67.2</v>
      </c>
      <c r="H3231" t="s">
        <v>13</v>
      </c>
      <c r="I3231" t="str">
        <f t="shared" si="50"/>
        <v>Média</v>
      </c>
    </row>
    <row r="3232" spans="1:9">
      <c r="A3232" t="s">
        <v>251</v>
      </c>
      <c r="B3232">
        <v>2025</v>
      </c>
      <c r="C3232">
        <v>2</v>
      </c>
      <c r="D3232" t="s">
        <v>9</v>
      </c>
      <c r="E3232" t="s">
        <v>12</v>
      </c>
      <c r="F3232">
        <v>20</v>
      </c>
      <c r="G3232">
        <v>92.8</v>
      </c>
      <c r="H3232" t="s">
        <v>13</v>
      </c>
      <c r="I3232" t="str">
        <f t="shared" si="50"/>
        <v>Alta</v>
      </c>
    </row>
    <row r="3233" spans="1:9">
      <c r="A3233" t="s">
        <v>303</v>
      </c>
      <c r="B3233">
        <v>2025</v>
      </c>
      <c r="C3233">
        <v>2</v>
      </c>
      <c r="D3233" t="s">
        <v>75</v>
      </c>
      <c r="E3233" t="s">
        <v>77</v>
      </c>
      <c r="F3233">
        <v>20</v>
      </c>
      <c r="G3233">
        <v>99.9</v>
      </c>
      <c r="H3233" t="s">
        <v>13</v>
      </c>
      <c r="I3233" t="str">
        <f t="shared" si="50"/>
        <v>Alta</v>
      </c>
    </row>
    <row r="3234" spans="1:9">
      <c r="A3234" t="s">
        <v>345</v>
      </c>
      <c r="B3234">
        <v>2025</v>
      </c>
      <c r="C3234">
        <v>2</v>
      </c>
      <c r="D3234" t="s">
        <v>139</v>
      </c>
      <c r="E3234" t="s">
        <v>140</v>
      </c>
      <c r="F3234">
        <v>20</v>
      </c>
      <c r="G3234">
        <v>78.400000000000006</v>
      </c>
      <c r="H3234" t="s">
        <v>13</v>
      </c>
      <c r="I3234" t="str">
        <f t="shared" si="50"/>
        <v>Alta</v>
      </c>
    </row>
    <row r="3235" spans="1:9">
      <c r="A3235" t="s">
        <v>437</v>
      </c>
      <c r="B3235">
        <v>2026</v>
      </c>
      <c r="C3235">
        <v>1</v>
      </c>
      <c r="D3235" t="s">
        <v>9</v>
      </c>
      <c r="E3235" t="s">
        <v>10</v>
      </c>
      <c r="F3235">
        <v>20</v>
      </c>
      <c r="G3235">
        <v>90.6</v>
      </c>
      <c r="H3235" t="s">
        <v>13</v>
      </c>
      <c r="I3235" t="str">
        <f t="shared" si="50"/>
        <v>Alta</v>
      </c>
    </row>
    <row r="3236" spans="1:9">
      <c r="A3236" t="s">
        <v>463</v>
      </c>
      <c r="B3236">
        <v>2026</v>
      </c>
      <c r="C3236">
        <v>1</v>
      </c>
      <c r="D3236" t="s">
        <v>75</v>
      </c>
      <c r="E3236" t="s">
        <v>76</v>
      </c>
      <c r="F3236">
        <v>20</v>
      </c>
      <c r="G3236">
        <v>96.4</v>
      </c>
      <c r="H3236" t="s">
        <v>13</v>
      </c>
      <c r="I3236" t="str">
        <f t="shared" si="50"/>
        <v>Alta</v>
      </c>
    </row>
    <row r="3237" spans="1:9">
      <c r="A3237" t="s">
        <v>474</v>
      </c>
      <c r="B3237">
        <v>2026</v>
      </c>
      <c r="C3237">
        <v>1</v>
      </c>
      <c r="D3237" t="s">
        <v>75</v>
      </c>
      <c r="E3237" t="s">
        <v>78</v>
      </c>
      <c r="F3237">
        <v>20</v>
      </c>
      <c r="G3237">
        <v>93.7</v>
      </c>
      <c r="H3237" t="s">
        <v>13</v>
      </c>
      <c r="I3237" t="str">
        <f t="shared" si="50"/>
        <v>Alta</v>
      </c>
    </row>
    <row r="3238" spans="1:9">
      <c r="A3238" t="s">
        <v>525</v>
      </c>
      <c r="B3238">
        <v>2026</v>
      </c>
      <c r="C3238">
        <v>1</v>
      </c>
      <c r="D3238" t="s">
        <v>139</v>
      </c>
      <c r="E3238" t="s">
        <v>140</v>
      </c>
      <c r="F3238">
        <v>20</v>
      </c>
      <c r="G3238">
        <v>96</v>
      </c>
      <c r="H3238" t="s">
        <v>13</v>
      </c>
      <c r="I3238" t="str">
        <f t="shared" si="50"/>
        <v>Alta</v>
      </c>
    </row>
    <row r="3239" spans="1:9">
      <c r="A3239" t="s">
        <v>400</v>
      </c>
      <c r="B3239">
        <v>2026</v>
      </c>
      <c r="C3239">
        <v>2</v>
      </c>
      <c r="D3239" t="s">
        <v>9</v>
      </c>
      <c r="E3239" t="s">
        <v>10</v>
      </c>
      <c r="F3239">
        <v>20</v>
      </c>
      <c r="G3239">
        <v>98.7</v>
      </c>
      <c r="H3239" t="s">
        <v>13</v>
      </c>
      <c r="I3239" t="str">
        <f t="shared" si="50"/>
        <v>Alta</v>
      </c>
    </row>
    <row r="3240" spans="1:9">
      <c r="A3240" t="s">
        <v>449</v>
      </c>
      <c r="B3240">
        <v>2026</v>
      </c>
      <c r="C3240">
        <v>2</v>
      </c>
      <c r="D3240" t="s">
        <v>75</v>
      </c>
      <c r="E3240" t="s">
        <v>76</v>
      </c>
      <c r="F3240">
        <v>20</v>
      </c>
      <c r="G3240">
        <v>75.099999999999994</v>
      </c>
      <c r="H3240" t="s">
        <v>13</v>
      </c>
      <c r="I3240" t="str">
        <f t="shared" si="50"/>
        <v>Alta</v>
      </c>
    </row>
    <row r="3241" spans="1:9">
      <c r="A3241" t="s">
        <v>539</v>
      </c>
      <c r="B3241">
        <v>2026</v>
      </c>
      <c r="C3241">
        <v>2</v>
      </c>
      <c r="D3241" t="s">
        <v>139</v>
      </c>
      <c r="E3241" t="s">
        <v>140</v>
      </c>
      <c r="F3241">
        <v>20</v>
      </c>
      <c r="G3241">
        <v>86</v>
      </c>
      <c r="H3241" t="s">
        <v>13</v>
      </c>
      <c r="I3241" t="str">
        <f t="shared" si="50"/>
        <v>Alta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B8" sqref="B8"/>
    </sheetView>
  </sheetViews>
  <sheetFormatPr baseColWidth="10" defaultColWidth="8.83203125" defaultRowHeight="14"/>
  <cols>
    <col min="1" max="1" width="43" customWidth="1"/>
    <col min="2" max="2" width="21" customWidth="1"/>
    <col min="3" max="4" width="20" customWidth="1"/>
  </cols>
  <sheetData>
    <row r="1" spans="1:4" ht="42" customHeight="1">
      <c r="A1" s="5" t="s">
        <v>561</v>
      </c>
      <c r="B1" s="5"/>
      <c r="C1" s="5"/>
      <c r="D1" s="5"/>
    </row>
    <row r="3" spans="1:4" ht="15">
      <c r="A3" s="4" t="s">
        <v>595</v>
      </c>
      <c r="B3">
        <f>COUNTA(Dados!A2:A3241)</f>
        <v>3240</v>
      </c>
    </row>
    <row r="4" spans="1:4" ht="15">
      <c r="A4" s="4" t="s">
        <v>562</v>
      </c>
      <c r="B4">
        <f>COUNTIF(Dados!H2:H3241,"Aprovado")</f>
        <v>1924</v>
      </c>
    </row>
    <row r="5" spans="1:4" ht="15">
      <c r="A5" s="4" t="s">
        <v>563</v>
      </c>
      <c r="B5">
        <f>COUNTIF(Dados!H2:H3241,"Reprovado")</f>
        <v>1316</v>
      </c>
    </row>
    <row r="6" spans="1:4" ht="15">
      <c r="A6" s="4" t="s">
        <v>564</v>
      </c>
      <c r="B6" s="2">
        <f>IFERROR(B4/B3,0)</f>
        <v>0.59382716049382711</v>
      </c>
    </row>
    <row r="7" spans="1:4" ht="15">
      <c r="A7" s="4" t="s">
        <v>599</v>
      </c>
      <c r="B7" s="3">
        <f>AVERAGE(Dados!F2:F3241)</f>
        <v>10.876327160493846</v>
      </c>
    </row>
    <row r="8" spans="1:4" ht="15">
      <c r="A8" s="4" t="s">
        <v>598</v>
      </c>
      <c r="B8" s="19">
        <f>AVERAGE(Dados!G2:G3241)</f>
        <v>72.462932098765506</v>
      </c>
    </row>
    <row r="9" spans="1:4" ht="15">
      <c r="A9" s="4" t="s">
        <v>566</v>
      </c>
      <c r="B9">
        <f>COUNTBLANK(Dados!F2:F3241)</f>
        <v>0</v>
      </c>
    </row>
    <row r="10" spans="1:4" ht="15">
      <c r="A10" s="4" t="s">
        <v>567</v>
      </c>
      <c r="B10">
        <f>COUNTIFS(Dados!F2:F3241,"&gt;=10",Dados!H2:H3241,"Reprovado")+COUNTIFS(Dados!F2:F3241,"&lt;10",Dados!H2:H3241,"Aprovado")</f>
        <v>0</v>
      </c>
    </row>
    <row r="12" spans="1:4">
      <c r="A12" s="6" t="s">
        <v>568</v>
      </c>
      <c r="B12" s="6"/>
      <c r="C12" s="6"/>
      <c r="D12" s="6"/>
    </row>
    <row r="13" spans="1:4">
      <c r="A13" s="6" t="s">
        <v>569</v>
      </c>
      <c r="B13" s="6"/>
      <c r="C13" s="6"/>
      <c r="D13" s="6"/>
    </row>
  </sheetData>
  <mergeCells count="3">
    <mergeCell ref="A1:D1"/>
    <mergeCell ref="A12:D12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E21" sqref="E21"/>
    </sheetView>
  </sheetViews>
  <sheetFormatPr baseColWidth="10" defaultColWidth="8.83203125" defaultRowHeight="14"/>
  <cols>
    <col min="1" max="1" width="38" customWidth="1"/>
    <col min="2" max="3" width="20" customWidth="1"/>
    <col min="4" max="4" width="23" customWidth="1"/>
    <col min="5" max="5" width="20" customWidth="1"/>
  </cols>
  <sheetData>
    <row r="1" spans="1:5" ht="40" customHeight="1">
      <c r="A1" s="1" t="s">
        <v>570</v>
      </c>
      <c r="B1" s="1" t="s">
        <v>571</v>
      </c>
      <c r="C1" s="1" t="s">
        <v>572</v>
      </c>
      <c r="D1" s="1" t="s">
        <v>573</v>
      </c>
      <c r="E1" s="1" t="s">
        <v>565</v>
      </c>
    </row>
    <row r="2" spans="1:5">
      <c r="A2" t="s">
        <v>9</v>
      </c>
      <c r="B2">
        <f>COUNTIF(Dados!D$2:D$3241,A2)</f>
        <v>1080</v>
      </c>
      <c r="C2">
        <f>COUNTIFS(Dados!D$2:D$3241,A2,Dados!H$2:H$3241,"Aprovado")</f>
        <v>640</v>
      </c>
      <c r="D2" s="2">
        <f>IFERROR(C2/B2,0)</f>
        <v>0.59259259259259256</v>
      </c>
      <c r="E2" s="3">
        <f>AVERAGEIF(Dados!D$2:D$3241,A2,Dados!F$2:F$3241)</f>
        <v>10.820833333333329</v>
      </c>
    </row>
    <row r="3" spans="1:5">
      <c r="A3" t="s">
        <v>75</v>
      </c>
      <c r="B3">
        <f>COUNTIF(Dados!D$2:D$3241,A3)</f>
        <v>1080</v>
      </c>
      <c r="C3">
        <f>COUNTIFS(Dados!D$2:D$3241,A3,Dados!H$2:H$3241,"Aprovado")</f>
        <v>646</v>
      </c>
      <c r="D3" s="2">
        <f>IFERROR(C3/B3,0)</f>
        <v>0.5981481481481481</v>
      </c>
      <c r="E3" s="3">
        <f>AVERAGEIF(Dados!D$2:D$3241,A3,Dados!F$2:F$3241)</f>
        <v>10.95759259259259</v>
      </c>
    </row>
    <row r="4" spans="1:5">
      <c r="A4" t="s">
        <v>139</v>
      </c>
      <c r="B4">
        <f>COUNTIF(Dados!D$2:D$3241,A4)</f>
        <v>1080</v>
      </c>
      <c r="C4">
        <f>COUNTIFS(Dados!D$2:D$3241,A4,Dados!H$2:H$3241,"Aprovado")</f>
        <v>638</v>
      </c>
      <c r="D4" s="2">
        <f>IFERROR(C4/B4,0)</f>
        <v>0.59074074074074079</v>
      </c>
      <c r="E4" s="3">
        <f>AVERAGEIF(Dados!D$2:D$3241,A4,Dados!F$2:F$3241)</f>
        <v>10.850555555555571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519B-854A-7C48-A180-508D2E4E00B3}">
  <dimension ref="A3:D8"/>
  <sheetViews>
    <sheetView workbookViewId="0">
      <selection activeCell="E39" sqref="E39"/>
    </sheetView>
  </sheetViews>
  <sheetFormatPr baseColWidth="10" defaultRowHeight="14"/>
  <cols>
    <col min="1" max="1" width="27.5" bestFit="1" customWidth="1"/>
    <col min="2" max="2" width="17" bestFit="1" customWidth="1"/>
    <col min="4" max="4" width="11.6640625" bestFit="1" customWidth="1"/>
  </cols>
  <sheetData>
    <row r="3" spans="1:4">
      <c r="A3" s="7" t="s">
        <v>577</v>
      </c>
      <c r="B3" s="7" t="s">
        <v>576</v>
      </c>
    </row>
    <row r="4" spans="1:4">
      <c r="A4" s="7" t="s">
        <v>574</v>
      </c>
      <c r="B4" t="s">
        <v>13</v>
      </c>
      <c r="C4" t="s">
        <v>11</v>
      </c>
      <c r="D4" t="s">
        <v>575</v>
      </c>
    </row>
    <row r="5" spans="1:4">
      <c r="A5" s="8" t="s">
        <v>9</v>
      </c>
      <c r="B5" s="9">
        <v>640</v>
      </c>
      <c r="C5" s="9">
        <v>440</v>
      </c>
      <c r="D5" s="9">
        <v>1080</v>
      </c>
    </row>
    <row r="6" spans="1:4">
      <c r="A6" s="8" t="s">
        <v>75</v>
      </c>
      <c r="B6" s="9">
        <v>646</v>
      </c>
      <c r="C6" s="9">
        <v>434</v>
      </c>
      <c r="D6" s="9">
        <v>1080</v>
      </c>
    </row>
    <row r="7" spans="1:4">
      <c r="A7" s="8" t="s">
        <v>139</v>
      </c>
      <c r="B7" s="9">
        <v>638</v>
      </c>
      <c r="C7" s="9">
        <v>442</v>
      </c>
      <c r="D7" s="9">
        <v>1080</v>
      </c>
    </row>
    <row r="8" spans="1:4">
      <c r="A8" s="8" t="s">
        <v>575</v>
      </c>
      <c r="B8" s="9">
        <v>1924</v>
      </c>
      <c r="C8" s="9">
        <v>1316</v>
      </c>
      <c r="D8" s="9">
        <v>3240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7D1A-C9BC-C444-B1DA-A13EF879DB55}">
  <dimension ref="A1"/>
  <sheetViews>
    <sheetView workbookViewId="0">
      <selection activeCell="A3" sqref="A3"/>
    </sheetView>
  </sheetViews>
  <sheetFormatPr baseColWidth="10" defaultRowHeight="14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5233-759B-C746-A218-33378F6C0474}">
  <dimension ref="A1:B31"/>
  <sheetViews>
    <sheetView workbookViewId="0">
      <selection activeCell="G48" sqref="G48"/>
    </sheetView>
  </sheetViews>
  <sheetFormatPr baseColWidth="10" defaultRowHeight="14"/>
  <cols>
    <col min="1" max="1" width="14" bestFit="1" customWidth="1"/>
    <col min="2" max="2" width="21.1640625" style="10" bestFit="1" customWidth="1"/>
    <col min="3" max="3" width="18.5" bestFit="1" customWidth="1"/>
    <col min="4" max="4" width="11.6640625" bestFit="1" customWidth="1"/>
  </cols>
  <sheetData>
    <row r="1" spans="1:2">
      <c r="A1" s="7" t="s">
        <v>574</v>
      </c>
      <c r="B1" s="10" t="s">
        <v>583</v>
      </c>
    </row>
    <row r="2" spans="1:2">
      <c r="A2" s="8" t="s">
        <v>580</v>
      </c>
      <c r="B2" s="10">
        <v>8.2941747572815601</v>
      </c>
    </row>
    <row r="3" spans="1:2">
      <c r="A3" s="8" t="s">
        <v>581</v>
      </c>
      <c r="B3" s="10">
        <v>9.677869415807578</v>
      </c>
    </row>
    <row r="4" spans="1:2">
      <c r="A4" s="8" t="s">
        <v>579</v>
      </c>
      <c r="B4" s="10">
        <v>12.598306233062342</v>
      </c>
    </row>
    <row r="5" spans="1:2">
      <c r="A5" s="8" t="s">
        <v>575</v>
      </c>
      <c r="B5" s="10">
        <v>10.876327160493815</v>
      </c>
    </row>
    <row r="8" spans="1:2">
      <c r="A8" s="7" t="s">
        <v>574</v>
      </c>
      <c r="B8" t="s">
        <v>582</v>
      </c>
    </row>
    <row r="9" spans="1:2">
      <c r="A9" s="8" t="s">
        <v>579</v>
      </c>
      <c r="B9" s="9">
        <v>1476</v>
      </c>
    </row>
    <row r="10" spans="1:2">
      <c r="A10" s="8" t="s">
        <v>580</v>
      </c>
      <c r="B10" s="9">
        <v>309</v>
      </c>
    </row>
    <row r="11" spans="1:2">
      <c r="A11" s="8" t="s">
        <v>581</v>
      </c>
      <c r="B11" s="9">
        <v>1455</v>
      </c>
    </row>
    <row r="12" spans="1:2">
      <c r="A12" s="8" t="s">
        <v>575</v>
      </c>
      <c r="B12" s="9">
        <v>3240</v>
      </c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B580-581D-114E-9773-0A6B7D77AE7A}">
  <dimension ref="A1:D21"/>
  <sheetViews>
    <sheetView workbookViewId="0">
      <selection activeCell="I27" sqref="I27"/>
    </sheetView>
  </sheetViews>
  <sheetFormatPr baseColWidth="10" defaultRowHeight="14"/>
  <cols>
    <col min="1" max="1" width="21.1640625" bestFit="1" customWidth="1"/>
    <col min="2" max="2" width="17" bestFit="1" customWidth="1"/>
    <col min="3" max="3" width="14.1640625" customWidth="1"/>
    <col min="4" max="4" width="20.33203125" customWidth="1"/>
  </cols>
  <sheetData>
    <row r="1" spans="1:4">
      <c r="A1" s="7" t="s">
        <v>577</v>
      </c>
      <c r="B1" s="7" t="s">
        <v>576</v>
      </c>
    </row>
    <row r="2" spans="1:4">
      <c r="A2" s="7" t="s">
        <v>574</v>
      </c>
      <c r="B2" t="s">
        <v>13</v>
      </c>
      <c r="C2" t="s">
        <v>11</v>
      </c>
      <c r="D2" t="s">
        <v>575</v>
      </c>
    </row>
    <row r="3" spans="1:4">
      <c r="A3" s="8">
        <v>2024</v>
      </c>
      <c r="B3" s="9">
        <v>657</v>
      </c>
      <c r="C3" s="9">
        <v>423</v>
      </c>
      <c r="D3" s="9">
        <v>1080</v>
      </c>
    </row>
    <row r="4" spans="1:4">
      <c r="A4" s="11">
        <v>1</v>
      </c>
      <c r="B4" s="9">
        <v>336</v>
      </c>
      <c r="C4" s="9">
        <v>204</v>
      </c>
      <c r="D4" s="9">
        <v>540</v>
      </c>
    </row>
    <row r="5" spans="1:4">
      <c r="A5" s="11">
        <v>2</v>
      </c>
      <c r="B5" s="9">
        <v>321</v>
      </c>
      <c r="C5" s="9">
        <v>219</v>
      </c>
      <c r="D5" s="9">
        <v>540</v>
      </c>
    </row>
    <row r="6" spans="1:4">
      <c r="A6" s="8">
        <v>2025</v>
      </c>
      <c r="B6" s="9">
        <v>627</v>
      </c>
      <c r="C6" s="9">
        <v>453</v>
      </c>
      <c r="D6" s="9">
        <v>1080</v>
      </c>
    </row>
    <row r="7" spans="1:4">
      <c r="A7" s="11">
        <v>1</v>
      </c>
      <c r="B7" s="9">
        <v>303</v>
      </c>
      <c r="C7" s="9">
        <v>237</v>
      </c>
      <c r="D7" s="9">
        <v>540</v>
      </c>
    </row>
    <row r="8" spans="1:4">
      <c r="A8" s="11">
        <v>2</v>
      </c>
      <c r="B8" s="9">
        <v>324</v>
      </c>
      <c r="C8" s="9">
        <v>216</v>
      </c>
      <c r="D8" s="9">
        <v>540</v>
      </c>
    </row>
    <row r="9" spans="1:4">
      <c r="A9" s="8">
        <v>2026</v>
      </c>
      <c r="B9" s="9">
        <v>640</v>
      </c>
      <c r="C9" s="9">
        <v>440</v>
      </c>
      <c r="D9" s="9">
        <v>1080</v>
      </c>
    </row>
    <row r="10" spans="1:4">
      <c r="A10" s="11">
        <v>1</v>
      </c>
      <c r="B10" s="9">
        <v>326</v>
      </c>
      <c r="C10" s="9">
        <v>214</v>
      </c>
      <c r="D10" s="9">
        <v>540</v>
      </c>
    </row>
    <row r="11" spans="1:4">
      <c r="A11" s="11">
        <v>2</v>
      </c>
      <c r="B11" s="9">
        <v>314</v>
      </c>
      <c r="C11" s="9">
        <v>226</v>
      </c>
      <c r="D11" s="9">
        <v>540</v>
      </c>
    </row>
    <row r="12" spans="1:4">
      <c r="A12" s="8" t="s">
        <v>575</v>
      </c>
      <c r="B12" s="9">
        <v>1924</v>
      </c>
      <c r="C12" s="9">
        <v>1316</v>
      </c>
      <c r="D12" s="9">
        <v>3240</v>
      </c>
    </row>
    <row r="15" spans="1:4">
      <c r="A15" t="s">
        <v>592</v>
      </c>
      <c r="B15" t="s">
        <v>584</v>
      </c>
      <c r="C15" t="s">
        <v>585</v>
      </c>
      <c r="D15" t="s">
        <v>586</v>
      </c>
    </row>
    <row r="16" spans="1:4">
      <c r="A16" t="s">
        <v>587</v>
      </c>
      <c r="B16">
        <v>336</v>
      </c>
      <c r="C16">
        <v>204</v>
      </c>
      <c r="D16" s="12">
        <f>IFERROR(B16/(B16+C16),0)</f>
        <v>0.62222222222222223</v>
      </c>
    </row>
    <row r="17" spans="1:4">
      <c r="A17" t="s">
        <v>588</v>
      </c>
      <c r="B17">
        <v>321</v>
      </c>
      <c r="C17">
        <v>219</v>
      </c>
      <c r="D17" s="12">
        <f t="shared" ref="D17:D21" si="0">IFERROR(B17/(B17+C17),0)</f>
        <v>0.59444444444444444</v>
      </c>
    </row>
    <row r="18" spans="1:4">
      <c r="A18" t="s">
        <v>589</v>
      </c>
      <c r="B18">
        <v>303</v>
      </c>
      <c r="C18">
        <v>237</v>
      </c>
      <c r="D18" s="12">
        <f t="shared" si="0"/>
        <v>0.56111111111111112</v>
      </c>
    </row>
    <row r="19" spans="1:4">
      <c r="A19" t="s">
        <v>590</v>
      </c>
      <c r="B19">
        <v>324</v>
      </c>
      <c r="C19">
        <v>216</v>
      </c>
      <c r="D19" s="12">
        <f t="shared" si="0"/>
        <v>0.6</v>
      </c>
    </row>
    <row r="20" spans="1:4">
      <c r="A20" t="s">
        <v>593</v>
      </c>
      <c r="B20">
        <v>326</v>
      </c>
      <c r="C20">
        <v>214</v>
      </c>
      <c r="D20" s="12">
        <f t="shared" si="0"/>
        <v>0.60370370370370374</v>
      </c>
    </row>
    <row r="21" spans="1:4">
      <c r="A21" t="s">
        <v>591</v>
      </c>
      <c r="B21">
        <v>314</v>
      </c>
      <c r="C21">
        <v>226</v>
      </c>
      <c r="D21" s="12">
        <f t="shared" si="0"/>
        <v>0.58148148148148149</v>
      </c>
    </row>
  </sheetData>
  <phoneticPr fontId="5" type="noConversion"/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39ED-5620-BA44-A060-A18D9DFD3CE9}">
  <dimension ref="B1:M45"/>
  <sheetViews>
    <sheetView showGridLines="0" workbookViewId="0">
      <selection activeCell="P29" sqref="P29"/>
    </sheetView>
  </sheetViews>
  <sheetFormatPr baseColWidth="10" defaultRowHeight="14"/>
  <cols>
    <col min="1" max="1" width="5.83203125" customWidth="1"/>
    <col min="2" max="2" width="17.33203125" customWidth="1"/>
    <col min="3" max="3" width="10.33203125" customWidth="1"/>
    <col min="4" max="4" width="6.33203125" customWidth="1"/>
    <col min="5" max="5" width="17.1640625" customWidth="1"/>
    <col min="6" max="6" width="10.33203125" customWidth="1"/>
    <col min="7" max="7" width="5.6640625" customWidth="1"/>
    <col min="8" max="9" width="10.33203125" customWidth="1"/>
    <col min="10" max="10" width="6.83203125" customWidth="1"/>
    <col min="11" max="11" width="18" bestFit="1" customWidth="1"/>
    <col min="12" max="14" width="10.33203125" customWidth="1"/>
  </cols>
  <sheetData>
    <row r="1" spans="2:13" ht="29" customHeight="1"/>
    <row r="2" spans="2:13">
      <c r="B2" s="18" t="s">
        <v>594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2:13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5" spans="2:13" ht="14" customHeight="1">
      <c r="B5" s="25">
        <f>Indicadores!B3</f>
        <v>3240</v>
      </c>
      <c r="C5" s="25"/>
      <c r="D5" s="26"/>
      <c r="E5" s="27">
        <f>Indicadores!B6</f>
        <v>0.59382716049382711</v>
      </c>
      <c r="F5" s="27"/>
      <c r="G5" s="28"/>
      <c r="H5" s="29">
        <f>Indicadores!B7</f>
        <v>10.876327160493846</v>
      </c>
      <c r="I5" s="17"/>
      <c r="J5" s="22"/>
      <c r="K5" s="23">
        <f>Indicadores!B8</f>
        <v>72.462932098765506</v>
      </c>
      <c r="L5" s="23"/>
      <c r="M5" s="23"/>
    </row>
    <row r="6" spans="2:13" ht="14" customHeight="1">
      <c r="B6" s="25"/>
      <c r="C6" s="25"/>
      <c r="D6" s="26"/>
      <c r="E6" s="27"/>
      <c r="F6" s="27"/>
      <c r="G6" s="28"/>
      <c r="H6" s="29"/>
      <c r="I6" s="17"/>
      <c r="J6" s="22"/>
      <c r="K6" s="23"/>
      <c r="L6" s="23"/>
      <c r="M6" s="23"/>
    </row>
    <row r="7" spans="2:13" ht="14" customHeight="1">
      <c r="B7" s="30" t="s">
        <v>595</v>
      </c>
      <c r="C7" s="30"/>
      <c r="D7" s="31"/>
      <c r="E7" s="24" t="s">
        <v>586</v>
      </c>
      <c r="F7" s="24"/>
      <c r="G7" s="32"/>
      <c r="H7" s="24" t="s">
        <v>596</v>
      </c>
      <c r="I7" s="16"/>
      <c r="J7" s="21"/>
      <c r="K7" s="24" t="s">
        <v>597</v>
      </c>
      <c r="L7" s="24"/>
      <c r="M7" s="24"/>
    </row>
    <row r="8" spans="2:13" ht="14" customHeight="1">
      <c r="B8" s="15"/>
      <c r="C8" s="15"/>
      <c r="D8" s="20"/>
      <c r="E8" s="16"/>
      <c r="F8" s="16"/>
      <c r="G8" s="21"/>
      <c r="H8" s="16"/>
      <c r="I8" s="16"/>
      <c r="J8" s="21"/>
      <c r="K8" s="24"/>
      <c r="L8" s="24"/>
      <c r="M8" s="24"/>
    </row>
    <row r="10" spans="2:13">
      <c r="B10" s="13"/>
    </row>
    <row r="11" spans="2:13">
      <c r="B11" s="14"/>
      <c r="C11" s="14"/>
      <c r="D11" s="14"/>
      <c r="E11" s="14"/>
      <c r="F11" s="14"/>
      <c r="G11" s="14"/>
    </row>
    <row r="12" spans="2:13">
      <c r="B12" s="14"/>
      <c r="C12" s="14"/>
      <c r="D12" s="14"/>
      <c r="E12" s="14"/>
      <c r="F12" s="14"/>
      <c r="G12" s="14"/>
    </row>
    <row r="13" spans="2:13">
      <c r="B13" s="14"/>
      <c r="C13" s="14"/>
      <c r="D13" s="14"/>
      <c r="E13" s="14"/>
      <c r="F13" s="14"/>
      <c r="G13" s="14"/>
    </row>
    <row r="14" spans="2:13">
      <c r="B14" s="14"/>
      <c r="C14" s="14"/>
      <c r="D14" s="14"/>
      <c r="E14" s="14"/>
      <c r="F14" s="14"/>
      <c r="G14" s="14"/>
    </row>
    <row r="15" spans="2:13">
      <c r="B15" s="14"/>
      <c r="C15" s="14"/>
      <c r="D15" s="14"/>
      <c r="E15" s="14"/>
      <c r="F15" s="14"/>
      <c r="G15" s="14"/>
    </row>
    <row r="16" spans="2:13">
      <c r="B16" s="14"/>
      <c r="C16" s="14"/>
      <c r="D16" s="14"/>
      <c r="E16" s="14"/>
      <c r="F16" s="14"/>
      <c r="G16" s="14"/>
    </row>
    <row r="17" spans="2:7">
      <c r="B17" s="14"/>
      <c r="C17" s="14"/>
      <c r="D17" s="14"/>
      <c r="E17" s="14"/>
      <c r="F17" s="14"/>
      <c r="G17" s="14"/>
    </row>
    <row r="18" spans="2:7">
      <c r="B18" s="14"/>
      <c r="C18" s="14"/>
      <c r="D18" s="14"/>
      <c r="E18" s="14"/>
      <c r="F18" s="14"/>
      <c r="G18" s="14"/>
    </row>
    <row r="19" spans="2:7">
      <c r="B19" s="14"/>
      <c r="C19" s="14"/>
      <c r="D19" s="14"/>
      <c r="E19" s="14"/>
      <c r="F19" s="14"/>
      <c r="G19" s="14"/>
    </row>
    <row r="20" spans="2:7">
      <c r="B20" s="14"/>
      <c r="C20" s="14"/>
      <c r="D20" s="14"/>
      <c r="E20" s="14"/>
      <c r="F20" s="14"/>
      <c r="G20" s="14"/>
    </row>
    <row r="21" spans="2:7">
      <c r="B21" s="14"/>
      <c r="C21" s="14"/>
      <c r="D21" s="14"/>
      <c r="E21" s="14"/>
      <c r="F21" s="14"/>
      <c r="G21" s="14"/>
    </row>
    <row r="22" spans="2:7">
      <c r="B22" s="14"/>
      <c r="C22" s="14"/>
      <c r="D22" s="14"/>
      <c r="E22" s="14"/>
      <c r="F22" s="14"/>
      <c r="G22" s="14"/>
    </row>
    <row r="23" spans="2:7">
      <c r="B23" s="14"/>
      <c r="C23" s="14"/>
      <c r="D23" s="14"/>
      <c r="E23" s="14"/>
      <c r="F23" s="14"/>
      <c r="G23" s="14"/>
    </row>
    <row r="24" spans="2:7">
      <c r="B24" s="14"/>
      <c r="C24" s="14"/>
      <c r="D24" s="14"/>
      <c r="E24" s="14"/>
      <c r="F24" s="14"/>
      <c r="G24" s="14"/>
    </row>
    <row r="25" spans="2:7">
      <c r="B25" s="14"/>
      <c r="C25" s="14"/>
      <c r="D25" s="14"/>
      <c r="E25" s="14"/>
      <c r="F25" s="14"/>
      <c r="G25" s="14"/>
    </row>
    <row r="45" spans="2:13">
      <c r="B45" s="33" t="s">
        <v>600</v>
      </c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</row>
  </sheetData>
  <mergeCells count="10">
    <mergeCell ref="B45:M45"/>
    <mergeCell ref="K5:M6"/>
    <mergeCell ref="B5:C6"/>
    <mergeCell ref="B7:C8"/>
    <mergeCell ref="E5:F6"/>
    <mergeCell ref="E7:F8"/>
    <mergeCell ref="H5:I6"/>
    <mergeCell ref="H7:I8"/>
    <mergeCell ref="K7:M8"/>
    <mergeCell ref="B2:M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Dados</vt:lpstr>
      <vt:lpstr>Indicadores</vt:lpstr>
      <vt:lpstr>AvalPorCurso</vt:lpstr>
      <vt:lpstr>AnaliseCursos</vt:lpstr>
      <vt:lpstr>Dashboard Excel</vt:lpstr>
      <vt:lpstr>AnaliseAssi</vt:lpstr>
      <vt:lpstr>EvolTemporal</vt:lpstr>
      <vt:lpstr>DashExecutivo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Kuyota</cp:lastModifiedBy>
  <dcterms:modified xsi:type="dcterms:W3CDTF">2026-10-29T18:45:56Z</dcterms:modified>
</cp:coreProperties>
</file>